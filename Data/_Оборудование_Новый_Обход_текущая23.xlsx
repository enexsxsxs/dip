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sa\YandexDisk\_clinics\"/>
    </mc:Choice>
  </mc:AlternateContent>
  <xr:revisionPtr revIDLastSave="0" documentId="13_ncr:1_{990C448A-1192-4F79-BBEF-8681E52BB290}" xr6:coauthVersionLast="47" xr6:coauthVersionMax="47" xr10:uidLastSave="{00000000-0000-0000-0000-000000000000}"/>
  <bookViews>
    <workbookView xWindow="-120" yWindow="-120" windowWidth="29040" windowHeight="15840" tabRatio="705" xr2:uid="{00000000-000D-0000-FFFF-FFFF00000000}"/>
  </bookViews>
  <sheets>
    <sheet name="Общее" sheetId="1" r:id="rId1"/>
    <sheet name="Холодильники" sheetId="13" r:id="rId2"/>
    <sheet name="Офто" sheetId="12" r:id="rId3"/>
    <sheet name="Лаб" sheetId="11" r:id="rId4"/>
    <sheet name="РАО-ФД" sheetId="10" r:id="rId5"/>
    <sheet name="Общемед" sheetId="9" r:id="rId6"/>
    <sheet name="Статрая таблица" sheetId="7" r:id="rId7"/>
    <sheet name="Холодильнтки" sheetId="6" r:id="rId8"/>
    <sheet name="ЦСМ Все отделения" sheetId="5" r:id="rId9"/>
    <sheet name="ОРБ-1Н" sheetId="4" r:id="rId10"/>
    <sheet name="Стерилизация" sheetId="2" r:id="rId11"/>
    <sheet name="Рентген" sheetId="3" r:id="rId12"/>
    <sheet name="НФ" sheetId="8" r:id="rId13"/>
  </sheets>
  <definedNames>
    <definedName name="_xlnm._FilterDatabase" localSheetId="0" hidden="1">Общее!$B$1:$S$1597</definedName>
    <definedName name="_xlnm._FilterDatabase" localSheetId="9" hidden="1">'ОРБ-1Н'!$A$1:$G$73</definedName>
    <definedName name="_xlnm._FilterDatabase" localSheetId="6" hidden="1">'Статрая таблица'!$A$1:$R$178</definedName>
    <definedName name="_xlnm._FilterDatabase" localSheetId="10" hidden="1">Стерилизация!$A$1:$S$62</definedName>
    <definedName name="_xlnm._FilterDatabase" localSheetId="8" hidden="1">'ЦСМ Все отделения'!$B$1:$H$405</definedName>
    <definedName name="Z_026EB64F_A55E_4418_A397_D7B670E810CA_.wvu.Cols" localSheetId="0">Общее!$Q:$U</definedName>
    <definedName name="Z_026EB64F_A55E_4418_A397_D7B670E810CA_.wvu.Cols" localSheetId="11">Рентген!$K:$Q</definedName>
    <definedName name="Z_026EB64F_A55E_4418_A397_D7B670E810CA_.wvu.Cols" localSheetId="10">(Стерилизация!$A:$A, Стерилизация!$K:$S)</definedName>
    <definedName name="Z_026EB64F_A55E_4418_A397_D7B670E810CA_.wvu.FilterData" localSheetId="0">Общее!$B$4:$V$1536</definedName>
    <definedName name="Z_026EB64F_A55E_4418_A397_D7B670E810CA_.wvu.FilterData" localSheetId="11">Рентген!$A$1:$R$2001</definedName>
    <definedName name="Z_026EB64F_A55E_4418_A397_D7B670E810CA_.wvu.FilterData" localSheetId="10">Стерилизация!$A$1:$S$58</definedName>
    <definedName name="Z_11E19EA1_0D2C_48E6_A529_374A86CE93E2_.wvu.FilterData" localSheetId="0">Общее!$B$4:$V$1536</definedName>
    <definedName name="Z_27EA2BD6_F361_489C_A001_1501813EC814_.wvu.FilterData" localSheetId="0">Общее!$B$4:$V$1536</definedName>
    <definedName name="_xlnm.Print_Titles" localSheetId="9">'ОРБ-1Н'!$1:$1</definedName>
    <definedName name="_xlnm.Print_Area" localSheetId="9">'ОРБ-1Н'!$A$1:$G$72</definedName>
  </definedNames>
  <calcPr calcId="191029"/>
</workbook>
</file>

<file path=xl/calcChain.xml><?xml version="1.0" encoding="utf-8"?>
<calcChain xmlns="http://schemas.openxmlformats.org/spreadsheetml/2006/main">
  <c r="I676" i="1" l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M791" i="1"/>
  <c r="M792" i="1"/>
  <c r="M793" i="1"/>
  <c r="M794" i="1"/>
  <c r="M795" i="1"/>
  <c r="I791" i="1"/>
  <c r="I792" i="1"/>
  <c r="I793" i="1"/>
  <c r="I794" i="1"/>
  <c r="I795" i="1"/>
  <c r="M1558" i="1"/>
  <c r="I1558" i="1"/>
  <c r="I1598" i="1"/>
  <c r="I1580" i="1"/>
  <c r="I274" i="1"/>
  <c r="I273" i="1"/>
  <c r="I1579" i="1"/>
  <c r="I1576" i="1"/>
  <c r="I1575" i="1"/>
  <c r="I1574" i="1"/>
  <c r="I286" i="1"/>
  <c r="I285" i="1"/>
  <c r="I284" i="1"/>
  <c r="I1545" i="1"/>
  <c r="I262" i="1" l="1"/>
  <c r="I1524" i="1" l="1"/>
  <c r="I2" i="1" l="1"/>
  <c r="I3" i="1"/>
  <c r="I283" i="1" l="1"/>
  <c r="I874" i="1"/>
  <c r="I408" i="1"/>
  <c r="I409" i="1"/>
  <c r="I410" i="1"/>
  <c r="I411" i="1"/>
  <c r="I412" i="1"/>
  <c r="I413" i="1"/>
  <c r="I414" i="1"/>
  <c r="I415" i="1"/>
  <c r="I406" i="1"/>
  <c r="I429" i="1"/>
  <c r="I430" i="1"/>
  <c r="I431" i="1"/>
  <c r="I405" i="1"/>
  <c r="I407" i="1"/>
  <c r="I421" i="1"/>
  <c r="I422" i="1"/>
  <c r="I416" i="1"/>
  <c r="I419" i="1"/>
  <c r="I417" i="1"/>
  <c r="I418" i="1"/>
  <c r="I420" i="1"/>
  <c r="I423" i="1"/>
  <c r="M419" i="1"/>
  <c r="M417" i="1"/>
  <c r="M418" i="1"/>
  <c r="M420" i="1"/>
  <c r="M423" i="1"/>
  <c r="M1545" i="1" l="1"/>
  <c r="I1222" i="1" l="1"/>
  <c r="I750" i="1"/>
  <c r="I751" i="1"/>
  <c r="I752" i="1"/>
  <c r="I789" i="1"/>
  <c r="I790" i="1"/>
  <c r="I758" i="1"/>
  <c r="I1409" i="1"/>
  <c r="I1413" i="1"/>
  <c r="I1414" i="1"/>
  <c r="I1411" i="1"/>
  <c r="I893" i="1"/>
  <c r="I897" i="1"/>
  <c r="I894" i="1"/>
  <c r="I233" i="1"/>
  <c r="I234" i="1"/>
  <c r="I235" i="1"/>
  <c r="I121" i="1"/>
  <c r="I122" i="1"/>
  <c r="I138" i="1"/>
  <c r="I139" i="1"/>
  <c r="I143" i="1"/>
  <c r="I144" i="1"/>
  <c r="I145" i="1"/>
  <c r="I140" i="1"/>
  <c r="I371" i="1"/>
  <c r="I370" i="1"/>
  <c r="I248" i="1"/>
  <c r="I149" i="1"/>
  <c r="M149" i="1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M870" i="1"/>
  <c r="M869" i="1"/>
  <c r="M871" i="1"/>
  <c r="M872" i="1"/>
  <c r="M873" i="1"/>
  <c r="M412" i="1"/>
  <c r="M407" i="1"/>
  <c r="M413" i="1"/>
  <c r="M410" i="1"/>
  <c r="M411" i="1"/>
  <c r="M408" i="1"/>
  <c r="M409" i="1"/>
  <c r="M414" i="1"/>
  <c r="M425" i="1"/>
  <c r="M426" i="1"/>
  <c r="M428" i="1"/>
  <c r="M424" i="1"/>
  <c r="M427" i="1"/>
  <c r="M415" i="1"/>
  <c r="M406" i="1"/>
  <c r="M429" i="1"/>
  <c r="M430" i="1"/>
  <c r="M431" i="1"/>
  <c r="M405" i="1"/>
  <c r="M416" i="1"/>
  <c r="T983" i="7" l="1"/>
  <c r="T982" i="7"/>
  <c r="T981" i="7"/>
  <c r="T980" i="7"/>
  <c r="T979" i="7"/>
  <c r="M248" i="1"/>
  <c r="M1222" i="1"/>
  <c r="I1199" i="1"/>
  <c r="I873" i="1"/>
  <c r="I872" i="1"/>
  <c r="I871" i="1"/>
  <c r="I811" i="1"/>
  <c r="I821" i="1"/>
  <c r="I810" i="1"/>
  <c r="I869" i="1" l="1"/>
  <c r="I870" i="1"/>
  <c r="I1203" i="1"/>
  <c r="I240" i="1"/>
  <c r="I1518" i="1" l="1"/>
  <c r="M569" i="1"/>
  <c r="M624" i="1"/>
  <c r="M622" i="1"/>
  <c r="M595" i="1"/>
  <c r="M619" i="1"/>
  <c r="M652" i="1"/>
  <c r="M683" i="1"/>
  <c r="M684" i="1"/>
  <c r="M553" i="1"/>
  <c r="M620" i="1"/>
  <c r="M552" i="1"/>
  <c r="M554" i="1"/>
  <c r="M586" i="1"/>
  <c r="M555" i="1"/>
  <c r="M587" i="1"/>
  <c r="M628" i="1"/>
  <c r="M588" i="1"/>
  <c r="M556" i="1"/>
  <c r="M557" i="1"/>
  <c r="M558" i="1"/>
  <c r="M548" i="1"/>
  <c r="M560" i="1"/>
  <c r="M687" i="1"/>
  <c r="M576" i="1"/>
  <c r="M623" i="1"/>
  <c r="M561" i="1"/>
  <c r="M577" i="1"/>
  <c r="M629" i="1"/>
  <c r="M600" i="1"/>
  <c r="M601" i="1"/>
  <c r="M598" i="1"/>
  <c r="M578" i="1"/>
  <c r="M599" i="1"/>
  <c r="M579" i="1"/>
  <c r="M640" i="1"/>
  <c r="M604" i="1"/>
  <c r="M603" i="1"/>
  <c r="M633" i="1"/>
  <c r="M562" i="1"/>
  <c r="M621" i="1"/>
  <c r="M605" i="1"/>
  <c r="M606" i="1"/>
  <c r="M607" i="1"/>
  <c r="M642" i="1"/>
  <c r="M608" i="1"/>
  <c r="M609" i="1"/>
  <c r="M611" i="1"/>
  <c r="M563" i="1"/>
  <c r="M688" i="1"/>
  <c r="M689" i="1"/>
  <c r="M643" i="1"/>
  <c r="M644" i="1"/>
  <c r="M653" i="1"/>
  <c r="M591" i="1"/>
  <c r="M592" i="1"/>
  <c r="M574" i="1"/>
  <c r="M635" i="1"/>
  <c r="M614" i="1"/>
  <c r="M565" i="1"/>
  <c r="M645" i="1"/>
  <c r="M636" i="1"/>
  <c r="M691" i="1"/>
  <c r="M637" i="1"/>
  <c r="M549" i="1"/>
  <c r="M692" i="1"/>
  <c r="M693" i="1"/>
  <c r="M694" i="1"/>
  <c r="M695" i="1"/>
  <c r="M589" i="1"/>
  <c r="M580" i="1"/>
  <c r="M646" i="1"/>
  <c r="M570" i="1"/>
  <c r="M647" i="1"/>
  <c r="M615" i="1"/>
  <c r="M655" i="1"/>
  <c r="M648" i="1"/>
  <c r="M550" i="1"/>
  <c r="M547" i="1"/>
  <c r="M566" i="1"/>
  <c r="M616" i="1"/>
  <c r="M567" i="1"/>
  <c r="M649" i="1"/>
  <c r="M700" i="1"/>
  <c r="M551" i="1"/>
  <c r="M679" i="1"/>
  <c r="M618" i="1"/>
  <c r="M626" i="1"/>
  <c r="M625" i="1"/>
  <c r="M627" i="1"/>
  <c r="M575" i="1"/>
  <c r="M685" i="1"/>
  <c r="M686" i="1"/>
  <c r="M597" i="1"/>
  <c r="M559" i="1"/>
  <c r="M656" i="1"/>
  <c r="M632" i="1"/>
  <c r="M631" i="1"/>
  <c r="M630" i="1"/>
  <c r="M658" i="1"/>
  <c r="M660" i="1"/>
  <c r="M659" i="1"/>
  <c r="M657" i="1"/>
  <c r="M668" i="1"/>
  <c r="M602" i="1"/>
  <c r="M667" i="1"/>
  <c r="M669" i="1"/>
  <c r="M670" i="1"/>
  <c r="M661" i="1"/>
  <c r="M663" i="1"/>
  <c r="M664" i="1"/>
  <c r="M673" i="1"/>
  <c r="M671" i="1"/>
  <c r="M665" i="1"/>
  <c r="M641" i="1"/>
  <c r="M666" i="1"/>
  <c r="M672" i="1"/>
  <c r="M662" i="1"/>
  <c r="M639" i="1"/>
  <c r="M610" i="1"/>
  <c r="M612" i="1"/>
  <c r="M613" i="1"/>
  <c r="M634" i="1"/>
  <c r="M675" i="1"/>
  <c r="M654" i="1"/>
  <c r="M674" i="1"/>
  <c r="M596" i="1"/>
  <c r="M572" i="1"/>
  <c r="M573" i="1"/>
  <c r="M17" i="1"/>
  <c r="M18" i="1"/>
  <c r="M19" i="1"/>
  <c r="M22" i="1"/>
  <c r="M48" i="1"/>
  <c r="M78" i="1"/>
  <c r="M46" i="1"/>
  <c r="M33" i="1"/>
  <c r="M34" i="1"/>
  <c r="M44" i="1"/>
  <c r="M20" i="1"/>
  <c r="M45" i="1"/>
  <c r="M63" i="1"/>
  <c r="M64" i="1"/>
  <c r="M74" i="1"/>
  <c r="M75" i="1"/>
  <c r="M71" i="1"/>
  <c r="M49" i="1"/>
  <c r="M65" i="1"/>
  <c r="M66" i="1"/>
  <c r="M67" i="1"/>
  <c r="M68" i="1"/>
  <c r="M69" i="1"/>
  <c r="M70" i="1"/>
  <c r="M72" i="1"/>
  <c r="M50" i="1"/>
  <c r="M51" i="1"/>
  <c r="M79" i="1"/>
  <c r="M52" i="1"/>
  <c r="M24" i="1"/>
  <c r="M23" i="1"/>
  <c r="M25" i="1"/>
  <c r="M26" i="1"/>
  <c r="M54" i="1"/>
  <c r="M53" i="1"/>
  <c r="M35" i="1"/>
  <c r="M36" i="1"/>
  <c r="M38" i="1"/>
  <c r="M37" i="1"/>
  <c r="M39" i="1"/>
  <c r="M40" i="1"/>
  <c r="M41" i="1"/>
  <c r="M27" i="1"/>
  <c r="M28" i="1"/>
  <c r="M43" i="1"/>
  <c r="M42" i="1"/>
  <c r="M55" i="1"/>
  <c r="M56" i="1"/>
  <c r="M29" i="1"/>
  <c r="M30" i="1"/>
  <c r="M31" i="1"/>
  <c r="M57" i="1"/>
  <c r="M32" i="1"/>
  <c r="M76" i="1"/>
  <c r="M47" i="1"/>
  <c r="M81" i="1"/>
  <c r="M82" i="1"/>
  <c r="M83" i="1"/>
  <c r="M80" i="1"/>
  <c r="M58" i="1"/>
  <c r="M59" i="1"/>
  <c r="M60" i="1"/>
  <c r="M61" i="1"/>
  <c r="M62" i="1"/>
  <c r="M77" i="1"/>
  <c r="M21" i="1"/>
  <c r="M73" i="1"/>
  <c r="M1291" i="1"/>
  <c r="M1212" i="1"/>
  <c r="M94" i="1"/>
  <c r="M115" i="1"/>
  <c r="M105" i="1"/>
  <c r="M117" i="1"/>
  <c r="M1201" i="1"/>
  <c r="M116" i="1"/>
  <c r="M1316" i="1"/>
  <c r="M101" i="1"/>
  <c r="M97" i="1"/>
  <c r="M106" i="1"/>
  <c r="M111" i="1"/>
  <c r="M1317" i="1"/>
  <c r="M112" i="1"/>
  <c r="M1464" i="1"/>
  <c r="M152" i="1"/>
  <c r="M153" i="1"/>
  <c r="M90" i="1"/>
  <c r="M85" i="1"/>
  <c r="M86" i="1"/>
  <c r="M113" i="1"/>
  <c r="M109" i="1"/>
  <c r="M87" i="1"/>
  <c r="M88" i="1"/>
  <c r="M92" i="1"/>
  <c r="M9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7" i="1"/>
  <c r="M206" i="1"/>
  <c r="M208" i="1"/>
  <c r="M209" i="1"/>
  <c r="M210" i="1"/>
  <c r="M141" i="1"/>
  <c r="M211" i="1"/>
  <c r="M212" i="1"/>
  <c r="M213" i="1"/>
  <c r="M214" i="1"/>
  <c r="M216" i="1"/>
  <c r="M215" i="1"/>
  <c r="M217" i="1"/>
  <c r="M125" i="1"/>
  <c r="M130" i="1"/>
  <c r="M131" i="1"/>
  <c r="M123" i="1"/>
  <c r="M124" i="1"/>
  <c r="M132" i="1"/>
  <c r="M137" i="1"/>
  <c r="M126" i="1"/>
  <c r="M127" i="1"/>
  <c r="M133" i="1"/>
  <c r="M136" i="1"/>
  <c r="M134" i="1"/>
  <c r="M128" i="1"/>
  <c r="M129" i="1"/>
  <c r="M135" i="1"/>
  <c r="M218" i="1"/>
  <c r="M219" i="1"/>
  <c r="M220" i="1"/>
  <c r="M221" i="1"/>
  <c r="M222" i="1"/>
  <c r="M1465" i="1"/>
  <c r="M1466" i="1"/>
  <c r="M1468" i="1"/>
  <c r="M226" i="1"/>
  <c r="M227" i="1"/>
  <c r="M95" i="1"/>
  <c r="M91" i="1"/>
  <c r="M228" i="1"/>
  <c r="M89" i="1"/>
  <c r="M96" i="1"/>
  <c r="M98" i="1"/>
  <c r="M99" i="1"/>
  <c r="M229" i="1"/>
  <c r="M107" i="1"/>
  <c r="M114" i="1"/>
  <c r="M230" i="1"/>
  <c r="M100" i="1"/>
  <c r="M102" i="1"/>
  <c r="M103" i="1"/>
  <c r="M231" i="1"/>
  <c r="M146" i="1"/>
  <c r="M142" i="1"/>
  <c r="M104" i="1"/>
  <c r="M147" i="1"/>
  <c r="M148" i="1"/>
  <c r="M232" i="1"/>
  <c r="M233" i="1"/>
  <c r="M1475" i="1"/>
  <c r="M235" i="1"/>
  <c r="M236" i="1"/>
  <c r="M237" i="1"/>
  <c r="M238" i="1"/>
  <c r="M240" i="1"/>
  <c r="M242" i="1"/>
  <c r="M1476" i="1"/>
  <c r="M258" i="1"/>
  <c r="M257" i="1"/>
  <c r="M254" i="1"/>
  <c r="M1469" i="1"/>
  <c r="M244" i="1"/>
  <c r="M284" i="1"/>
  <c r="M285" i="1"/>
  <c r="M286" i="1"/>
  <c r="M1574" i="1"/>
  <c r="M1575" i="1"/>
  <c r="M1576" i="1"/>
  <c r="M1470" i="1"/>
  <c r="M239" i="1"/>
  <c r="M259" i="1"/>
  <c r="M250" i="1"/>
  <c r="M264" i="1"/>
  <c r="M278" i="1"/>
  <c r="M269" i="1"/>
  <c r="M277" i="1"/>
  <c r="M270" i="1"/>
  <c r="M267" i="1"/>
  <c r="M268" i="1"/>
  <c r="M276" i="1"/>
  <c r="M263" i="1"/>
  <c r="M266" i="1"/>
  <c r="M265" i="1"/>
  <c r="M279" i="1"/>
  <c r="M275" i="1"/>
  <c r="M280" i="1"/>
  <c r="M245" i="1"/>
  <c r="M1471" i="1"/>
  <c r="M260" i="1"/>
  <c r="M255" i="1"/>
  <c r="M256" i="1"/>
  <c r="M246" i="1"/>
  <c r="M252" i="1"/>
  <c r="M1473" i="1"/>
  <c r="M1579" i="1"/>
  <c r="M271" i="1"/>
  <c r="M272" i="1"/>
  <c r="M261" i="1"/>
  <c r="M241" i="1"/>
  <c r="M312" i="1"/>
  <c r="M289" i="1"/>
  <c r="M327" i="1"/>
  <c r="M315" i="1"/>
  <c r="M298" i="1"/>
  <c r="M328" i="1"/>
  <c r="M376" i="1"/>
  <c r="M377" i="1"/>
  <c r="M320" i="1"/>
  <c r="M330" i="1"/>
  <c r="M316" i="1"/>
  <c r="M321" i="1"/>
  <c r="M322" i="1"/>
  <c r="M300" i="1"/>
  <c r="M301" i="1"/>
  <c r="M317" i="1"/>
  <c r="M329" i="1"/>
  <c r="M296" i="1"/>
  <c r="M313" i="1"/>
  <c r="M299" i="1"/>
  <c r="M378" i="1"/>
  <c r="M287" i="1"/>
  <c r="M379" i="1"/>
  <c r="M302" i="1"/>
  <c r="M305" i="1"/>
  <c r="M304" i="1"/>
  <c r="M318" i="1"/>
  <c r="M303" i="1"/>
  <c r="M323" i="1"/>
  <c r="M326" i="1"/>
  <c r="M294" i="1"/>
  <c r="M297" i="1"/>
  <c r="M380" i="1"/>
  <c r="M332" i="1"/>
  <c r="M331" i="1"/>
  <c r="M306" i="1"/>
  <c r="M325" i="1"/>
  <c r="M324" i="1"/>
  <c r="M308" i="1"/>
  <c r="M309" i="1"/>
  <c r="M337" i="1"/>
  <c r="M336" i="1"/>
  <c r="M338" i="1"/>
  <c r="M333" i="1"/>
  <c r="M335" i="1"/>
  <c r="M381" i="1"/>
  <c r="M334" i="1"/>
  <c r="M292" i="1"/>
  <c r="M288" i="1"/>
  <c r="M307" i="1"/>
  <c r="M310" i="1"/>
  <c r="M295" i="1"/>
  <c r="M347" i="1"/>
  <c r="M382" i="1"/>
  <c r="M383" i="1"/>
  <c r="M385" i="1"/>
  <c r="M387" i="1"/>
  <c r="M394" i="1"/>
  <c r="M391" i="1"/>
  <c r="M384" i="1"/>
  <c r="M395" i="1"/>
  <c r="M388" i="1"/>
  <c r="M392" i="1"/>
  <c r="M386" i="1"/>
  <c r="M396" i="1"/>
  <c r="M390" i="1"/>
  <c r="M389" i="1"/>
  <c r="M397" i="1"/>
  <c r="M393" i="1"/>
  <c r="M354" i="1"/>
  <c r="M353" i="1"/>
  <c r="M398" i="1"/>
  <c r="M355" i="1"/>
  <c r="M356" i="1"/>
  <c r="M357" i="1"/>
  <c r="M358" i="1"/>
  <c r="M359" i="1"/>
  <c r="M360" i="1"/>
  <c r="M361" i="1"/>
  <c r="M362" i="1"/>
  <c r="M363" i="1"/>
  <c r="M399" i="1"/>
  <c r="M352" i="1"/>
  <c r="M341" i="1"/>
  <c r="M400" i="1"/>
  <c r="M314" i="1"/>
  <c r="M339" i="1"/>
  <c r="M401" i="1"/>
  <c r="M293" i="1"/>
  <c r="M372" i="1"/>
  <c r="M364" i="1"/>
  <c r="M349" i="1"/>
  <c r="M345" i="1"/>
  <c r="M344" i="1"/>
  <c r="M365" i="1"/>
  <c r="M351" i="1"/>
  <c r="M366" i="1"/>
  <c r="M367" i="1"/>
  <c r="M373" i="1"/>
  <c r="M374" i="1"/>
  <c r="M350" i="1"/>
  <c r="M368" i="1"/>
  <c r="M343" i="1"/>
  <c r="M375" i="1"/>
  <c r="M402" i="1"/>
  <c r="M346" i="1"/>
  <c r="M403" i="1"/>
  <c r="M348" i="1"/>
  <c r="M340" i="1"/>
  <c r="M319" i="1"/>
  <c r="M342" i="1"/>
  <c r="M404" i="1"/>
  <c r="M369" i="1"/>
  <c r="M291" i="1"/>
  <c r="M290" i="1"/>
  <c r="M311" i="1"/>
  <c r="M1472" i="1"/>
  <c r="M1474" i="1"/>
  <c r="M492" i="1"/>
  <c r="M1477" i="1"/>
  <c r="M1495" i="1"/>
  <c r="M1498" i="1"/>
  <c r="M467" i="1"/>
  <c r="M1503" i="1"/>
  <c r="M462" i="1"/>
  <c r="M1478" i="1"/>
  <c r="M470" i="1"/>
  <c r="M448" i="1"/>
  <c r="M452" i="1"/>
  <c r="M471" i="1"/>
  <c r="M1480" i="1"/>
  <c r="M1481" i="1"/>
  <c r="M495" i="1"/>
  <c r="M1483" i="1"/>
  <c r="M1484" i="1"/>
  <c r="M496" i="1"/>
  <c r="M438" i="1"/>
  <c r="M497" i="1"/>
  <c r="M1485" i="1"/>
  <c r="M1486" i="1"/>
  <c r="M439" i="1"/>
  <c r="M477" i="1"/>
  <c r="M500" i="1"/>
  <c r="M440" i="1"/>
  <c r="M463" i="1"/>
  <c r="M457" i="1"/>
  <c r="M1487" i="1"/>
  <c r="M1489" i="1"/>
  <c r="M441" i="1"/>
  <c r="M503" i="1"/>
  <c r="M506" i="1"/>
  <c r="M507" i="1"/>
  <c r="M1492" i="1"/>
  <c r="M1493" i="1"/>
  <c r="M442" i="1"/>
  <c r="M1494" i="1"/>
  <c r="M1496" i="1"/>
  <c r="M1497" i="1"/>
  <c r="M1499" i="1"/>
  <c r="M443" i="1"/>
  <c r="M508" i="1"/>
  <c r="M1500" i="1"/>
  <c r="M510" i="1"/>
  <c r="M444" i="1"/>
  <c r="M464" i="1"/>
  <c r="M1501" i="1"/>
  <c r="M458" i="1"/>
  <c r="M513" i="1"/>
  <c r="M445" i="1"/>
  <c r="M514" i="1"/>
  <c r="M465" i="1"/>
  <c r="M1502" i="1"/>
  <c r="M454" i="1"/>
  <c r="M455" i="1"/>
  <c r="M456" i="1"/>
  <c r="M515" i="1"/>
  <c r="M466" i="1"/>
  <c r="M474" i="1"/>
  <c r="M1479" i="1"/>
  <c r="M459" i="1"/>
  <c r="M1482" i="1"/>
  <c r="M1488" i="1"/>
  <c r="M518" i="1"/>
  <c r="M519" i="1"/>
  <c r="M520" i="1"/>
  <c r="M523" i="1"/>
  <c r="M525" i="1"/>
  <c r="M526" i="1"/>
  <c r="M521" i="1"/>
  <c r="M522" i="1"/>
  <c r="M524" i="1"/>
  <c r="M488" i="1"/>
  <c r="M489" i="1"/>
  <c r="M436" i="1"/>
  <c r="M527" i="1"/>
  <c r="M485" i="1"/>
  <c r="M486" i="1"/>
  <c r="M487" i="1"/>
  <c r="M481" i="1"/>
  <c r="M482" i="1"/>
  <c r="M472" i="1"/>
  <c r="M473" i="1"/>
  <c r="M1490" i="1"/>
  <c r="M1491" i="1"/>
  <c r="M449" i="1"/>
  <c r="M450" i="1"/>
  <c r="M1504" i="1"/>
  <c r="M1505" i="1"/>
  <c r="M1506" i="1"/>
  <c r="M1510" i="1"/>
  <c r="M460" i="1"/>
  <c r="M490" i="1"/>
  <c r="M491" i="1"/>
  <c r="M446" i="1"/>
  <c r="M493" i="1"/>
  <c r="M478" i="1"/>
  <c r="M479" i="1"/>
  <c r="M480" i="1"/>
  <c r="M532" i="1"/>
  <c r="M475" i="1"/>
  <c r="M476" i="1"/>
  <c r="M453" i="1"/>
  <c r="M533" i="1"/>
  <c r="M534" i="1"/>
  <c r="M447" i="1"/>
  <c r="M535" i="1"/>
  <c r="M469" i="1"/>
  <c r="M536" i="1"/>
  <c r="M537" i="1"/>
  <c r="M538" i="1"/>
  <c r="M461" i="1"/>
  <c r="M539" i="1"/>
  <c r="M540" i="1"/>
  <c r="M494" i="1"/>
  <c r="M437" i="1"/>
  <c r="M434" i="1"/>
  <c r="M544" i="1"/>
  <c r="M708" i="1"/>
  <c r="M709" i="1"/>
  <c r="M710" i="1"/>
  <c r="M712" i="1"/>
  <c r="M711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89" i="1"/>
  <c r="M790" i="1"/>
  <c r="M758" i="1"/>
  <c r="M778" i="1"/>
  <c r="M754" i="1"/>
  <c r="M759" i="1"/>
  <c r="M779" i="1"/>
  <c r="M765" i="1"/>
  <c r="M780" i="1"/>
  <c r="M753" i="1"/>
  <c r="M785" i="1"/>
  <c r="M766" i="1"/>
  <c r="M777" i="1"/>
  <c r="M760" i="1"/>
  <c r="M755" i="1"/>
  <c r="M756" i="1"/>
  <c r="M796" i="1"/>
  <c r="M781" i="1"/>
  <c r="M786" i="1"/>
  <c r="M787" i="1"/>
  <c r="M788" i="1"/>
  <c r="M797" i="1"/>
  <c r="M763" i="1"/>
  <c r="M767" i="1"/>
  <c r="M764" i="1"/>
  <c r="M768" i="1"/>
  <c r="M769" i="1"/>
  <c r="M770" i="1"/>
  <c r="M771" i="1"/>
  <c r="M772" i="1"/>
  <c r="M773" i="1"/>
  <c r="M774" i="1"/>
  <c r="M761" i="1"/>
  <c r="M762" i="1"/>
  <c r="M775" i="1"/>
  <c r="M798" i="1"/>
  <c r="M799" i="1"/>
  <c r="M782" i="1"/>
  <c r="M800" i="1"/>
  <c r="M801" i="1"/>
  <c r="M776" i="1"/>
  <c r="M784" i="1"/>
  <c r="M757" i="1"/>
  <c r="M886" i="1"/>
  <c r="M888" i="1"/>
  <c r="M815" i="1"/>
  <c r="M845" i="1"/>
  <c r="M846" i="1"/>
  <c r="M834" i="1"/>
  <c r="M816" i="1"/>
  <c r="M830" i="1"/>
  <c r="M863" i="1"/>
  <c r="M864" i="1"/>
  <c r="M1195" i="1"/>
  <c r="M243" i="1"/>
  <c r="M803" i="1"/>
  <c r="M892" i="1"/>
  <c r="M895" i="1"/>
  <c r="M896" i="1"/>
  <c r="M900" i="1"/>
  <c r="M885" i="1"/>
  <c r="M847" i="1"/>
  <c r="M901" i="1"/>
  <c r="M818" i="1"/>
  <c r="M856" i="1"/>
  <c r="M835" i="1"/>
  <c r="M836" i="1"/>
  <c r="M902" i="1"/>
  <c r="M903" i="1"/>
  <c r="M904" i="1"/>
  <c r="M867" i="1"/>
  <c r="M848" i="1"/>
  <c r="M849" i="1"/>
  <c r="M899" i="1"/>
  <c r="M898" i="1"/>
  <c r="M905" i="1"/>
  <c r="M906" i="1"/>
  <c r="M884" i="1"/>
  <c r="M907" i="1"/>
  <c r="M876" i="1"/>
  <c r="M877" i="1"/>
  <c r="M878" i="1"/>
  <c r="M879" i="1"/>
  <c r="M880" i="1"/>
  <c r="M881" i="1"/>
  <c r="M826" i="1"/>
  <c r="M827" i="1"/>
  <c r="M828" i="1"/>
  <c r="M829" i="1"/>
  <c r="M908" i="1"/>
  <c r="M909" i="1"/>
  <c r="M850" i="1"/>
  <c r="M851" i="1"/>
  <c r="M819" i="1"/>
  <c r="M804" i="1"/>
  <c r="M809" i="1"/>
  <c r="M820" i="1"/>
  <c r="M805" i="1"/>
  <c r="M806" i="1"/>
  <c r="M858" i="1"/>
  <c r="M857" i="1"/>
  <c r="M810" i="1"/>
  <c r="M821" i="1"/>
  <c r="M811" i="1"/>
  <c r="M887" i="1"/>
  <c r="M910" i="1"/>
  <c r="M911" i="1"/>
  <c r="M838" i="1"/>
  <c r="M832" i="1"/>
  <c r="M839" i="1"/>
  <c r="M840" i="1"/>
  <c r="M812" i="1"/>
  <c r="M807" i="1"/>
  <c r="M822" i="1"/>
  <c r="M841" i="1"/>
  <c r="M842" i="1"/>
  <c r="M824" i="1"/>
  <c r="M823" i="1"/>
  <c r="M843" i="1"/>
  <c r="M814" i="1"/>
  <c r="M859" i="1"/>
  <c r="M860" i="1"/>
  <c r="M861" i="1"/>
  <c r="M914" i="1"/>
  <c r="M889" i="1"/>
  <c r="M890" i="1"/>
  <c r="M891" i="1"/>
  <c r="M912" i="1"/>
  <c r="M913" i="1"/>
  <c r="M813" i="1"/>
  <c r="M865" i="1"/>
  <c r="M866" i="1"/>
  <c r="M854" i="1"/>
  <c r="M855" i="1"/>
  <c r="M915" i="1"/>
  <c r="M916" i="1"/>
  <c r="M468" i="1"/>
  <c r="M918" i="1"/>
  <c r="M919" i="1"/>
  <c r="M920" i="1"/>
  <c r="M921" i="1"/>
  <c r="M1219" i="1"/>
  <c r="M844" i="1"/>
  <c r="M883" i="1"/>
  <c r="M922" i="1"/>
  <c r="M923" i="1"/>
  <c r="M882" i="1"/>
  <c r="M925" i="1"/>
  <c r="M924" i="1"/>
  <c r="M926" i="1"/>
  <c r="M833" i="1"/>
  <c r="M451" i="1"/>
  <c r="M853" i="1"/>
  <c r="M852" i="1"/>
  <c r="M875" i="1"/>
  <c r="M862" i="1"/>
  <c r="M1578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27" i="1"/>
  <c r="M944" i="1"/>
  <c r="M945" i="1"/>
  <c r="M946" i="1"/>
  <c r="M947" i="1"/>
  <c r="M948" i="1"/>
  <c r="M950" i="1"/>
  <c r="M949" i="1"/>
  <c r="M951" i="1"/>
  <c r="M952" i="1"/>
  <c r="M953" i="1"/>
  <c r="M954" i="1"/>
  <c r="M955" i="1"/>
  <c r="M956" i="1"/>
  <c r="M957" i="1"/>
  <c r="M958" i="1"/>
  <c r="M928" i="1"/>
  <c r="M959" i="1"/>
  <c r="M960" i="1"/>
  <c r="M961" i="1"/>
  <c r="M962" i="1"/>
  <c r="M963" i="1"/>
  <c r="M964" i="1"/>
  <c r="M966" i="1"/>
  <c r="M967" i="1"/>
  <c r="M968" i="1"/>
  <c r="M969" i="1"/>
  <c r="M970" i="1"/>
  <c r="M971" i="1"/>
  <c r="M972" i="1"/>
  <c r="M973" i="1"/>
  <c r="M975" i="1"/>
  <c r="M977" i="1"/>
  <c r="M976" i="1"/>
  <c r="M978" i="1"/>
  <c r="M979" i="1"/>
  <c r="M980" i="1"/>
  <c r="M981" i="1"/>
  <c r="M982" i="1"/>
  <c r="M983" i="1"/>
  <c r="M984" i="1"/>
  <c r="M985" i="1"/>
  <c r="M986" i="1"/>
  <c r="M987" i="1"/>
  <c r="M988" i="1"/>
  <c r="M1001" i="1"/>
  <c r="M1003" i="1"/>
  <c r="M1002" i="1"/>
  <c r="M1004" i="1"/>
  <c r="M989" i="1"/>
  <c r="M990" i="1"/>
  <c r="M999" i="1"/>
  <c r="M994" i="1"/>
  <c r="M997" i="1"/>
  <c r="M993" i="1"/>
  <c r="M991" i="1"/>
  <c r="M996" i="1"/>
  <c r="M998" i="1"/>
  <c r="M992" i="1"/>
  <c r="M1000" i="1"/>
  <c r="M995" i="1"/>
  <c r="M1040" i="1"/>
  <c r="M1048" i="1"/>
  <c r="M1061" i="1"/>
  <c r="M1057" i="1"/>
  <c r="M1045" i="1"/>
  <c r="M1062" i="1"/>
  <c r="M1052" i="1"/>
  <c r="M1042" i="1"/>
  <c r="M1046" i="1"/>
  <c r="M1041" i="1"/>
  <c r="M1054" i="1"/>
  <c r="M1044" i="1"/>
  <c r="M1059" i="1"/>
  <c r="M1060" i="1"/>
  <c r="M1063" i="1"/>
  <c r="M1064" i="1"/>
  <c r="M1039" i="1"/>
  <c r="M1065" i="1"/>
  <c r="M1047" i="1"/>
  <c r="M1050" i="1"/>
  <c r="M1066" i="1"/>
  <c r="M1056" i="1"/>
  <c r="M1055" i="1"/>
  <c r="M1067" i="1"/>
  <c r="M1068" i="1"/>
  <c r="M1051" i="1"/>
  <c r="M1043" i="1"/>
  <c r="M1053" i="1"/>
  <c r="M1058" i="1"/>
  <c r="M1049" i="1"/>
  <c r="M1072" i="1"/>
  <c r="M1070" i="1"/>
  <c r="M1078" i="1"/>
  <c r="M1077" i="1"/>
  <c r="M1076" i="1"/>
  <c r="M1079" i="1"/>
  <c r="M1075" i="1"/>
  <c r="M1071" i="1"/>
  <c r="M1074" i="1"/>
  <c r="M1069" i="1"/>
  <c r="M1073" i="1"/>
  <c r="M1037" i="1"/>
  <c r="M1038" i="1"/>
  <c r="M1006" i="1"/>
  <c r="M1008" i="1"/>
  <c r="M974" i="1"/>
  <c r="M1018" i="1"/>
  <c r="M1011" i="1"/>
  <c r="M1016" i="1"/>
  <c r="M1014" i="1"/>
  <c r="M1009" i="1"/>
  <c r="M1013" i="1"/>
  <c r="M1019" i="1"/>
  <c r="M1005" i="1"/>
  <c r="M1007" i="1"/>
  <c r="M1012" i="1"/>
  <c r="M1017" i="1"/>
  <c r="M1020" i="1"/>
  <c r="M1021" i="1"/>
  <c r="M1022" i="1"/>
  <c r="M1010" i="1"/>
  <c r="M1015" i="1"/>
  <c r="M1023" i="1"/>
  <c r="M1024" i="1"/>
  <c r="M1032" i="1"/>
  <c r="M1034" i="1"/>
  <c r="M1030" i="1"/>
  <c r="M1029" i="1"/>
  <c r="M1026" i="1"/>
  <c r="M1028" i="1"/>
  <c r="M1033" i="1"/>
  <c r="M1027" i="1"/>
  <c r="M1025" i="1"/>
  <c r="M1031" i="1"/>
  <c r="M1035" i="1"/>
  <c r="M1036" i="1"/>
  <c r="M1140" i="1"/>
  <c r="M1133" i="1"/>
  <c r="M1134" i="1"/>
  <c r="M1108" i="1"/>
  <c r="M1141" i="1"/>
  <c r="M1109" i="1"/>
  <c r="M1113" i="1"/>
  <c r="M1110" i="1"/>
  <c r="M1111" i="1"/>
  <c r="M1112" i="1"/>
  <c r="M1101" i="1"/>
  <c r="M1096" i="1"/>
  <c r="M1095" i="1"/>
  <c r="M1099" i="1"/>
  <c r="M1142" i="1"/>
  <c r="M1100" i="1"/>
  <c r="M1098" i="1"/>
  <c r="M1097" i="1"/>
  <c r="M1143" i="1"/>
  <c r="M1114" i="1"/>
  <c r="M1107" i="1"/>
  <c r="M1144" i="1"/>
  <c r="M1091" i="1"/>
  <c r="M1145" i="1"/>
  <c r="M1090" i="1"/>
  <c r="M1084" i="1"/>
  <c r="M1146" i="1"/>
  <c r="M1080" i="1"/>
  <c r="M1081" i="1"/>
  <c r="M1082" i="1"/>
  <c r="M1135" i="1"/>
  <c r="M1136" i="1"/>
  <c r="M1115" i="1"/>
  <c r="M1138" i="1"/>
  <c r="M1119" i="1"/>
  <c r="M1120" i="1"/>
  <c r="M1116" i="1"/>
  <c r="M1117" i="1"/>
  <c r="M1118" i="1"/>
  <c r="M1102" i="1"/>
  <c r="M1137" i="1"/>
  <c r="M1103" i="1"/>
  <c r="M1121" i="1"/>
  <c r="M1092" i="1"/>
  <c r="M1139" i="1"/>
  <c r="M1094" i="1"/>
  <c r="M1147" i="1"/>
  <c r="M1124" i="1"/>
  <c r="M1130" i="1"/>
  <c r="M1083" i="1"/>
  <c r="M1085" i="1"/>
  <c r="M1093" i="1"/>
  <c r="M1089" i="1"/>
  <c r="M1088" i="1"/>
  <c r="M1087" i="1"/>
  <c r="M1086" i="1"/>
  <c r="M1126" i="1"/>
  <c r="M1127" i="1"/>
  <c r="M1128" i="1"/>
  <c r="M1129" i="1"/>
  <c r="M1104" i="1"/>
  <c r="M1105" i="1"/>
  <c r="M1106" i="1"/>
  <c r="M1123" i="1"/>
  <c r="M1122" i="1"/>
  <c r="M1125" i="1"/>
  <c r="M1131" i="1"/>
  <c r="M1132" i="1"/>
  <c r="M1148" i="1"/>
  <c r="M1178" i="1"/>
  <c r="M1154" i="1"/>
  <c r="M1153" i="1"/>
  <c r="M1150" i="1"/>
  <c r="M1151" i="1"/>
  <c r="M1152" i="1"/>
  <c r="M1155" i="1"/>
  <c r="M1156" i="1"/>
  <c r="M1157" i="1"/>
  <c r="M1159" i="1"/>
  <c r="M1158" i="1"/>
  <c r="M1161" i="1"/>
  <c r="M1160" i="1"/>
  <c r="M1162" i="1"/>
  <c r="M1163" i="1"/>
  <c r="M1164" i="1"/>
  <c r="M1165" i="1"/>
  <c r="M1166" i="1"/>
  <c r="M1167" i="1"/>
  <c r="M1171" i="1"/>
  <c r="M1170" i="1"/>
  <c r="M1168" i="1"/>
  <c r="M1169" i="1"/>
  <c r="M1149" i="1"/>
  <c r="M1172" i="1"/>
  <c r="M1174" i="1"/>
  <c r="M1173" i="1"/>
  <c r="M1175" i="1"/>
  <c r="M1177" i="1"/>
  <c r="M1176" i="1"/>
  <c r="M1179" i="1"/>
  <c r="M1180" i="1"/>
  <c r="M1181" i="1"/>
  <c r="M1182" i="1"/>
  <c r="M1183" i="1"/>
  <c r="M1184" i="1"/>
  <c r="M1185" i="1"/>
  <c r="M1186" i="1"/>
  <c r="M1187" i="1"/>
  <c r="M1287" i="1"/>
  <c r="M1284" i="1"/>
  <c r="M1188" i="1"/>
  <c r="M1220" i="1"/>
  <c r="M1290" i="1"/>
  <c r="M1249" i="1"/>
  <c r="M1189" i="1"/>
  <c r="M1243" i="1"/>
  <c r="M1292" i="1"/>
  <c r="M1293" i="1"/>
  <c r="M1294" i="1"/>
  <c r="M1208" i="1"/>
  <c r="M1244" i="1"/>
  <c r="M1295" i="1"/>
  <c r="M1193" i="1"/>
  <c r="M1196" i="1"/>
  <c r="M1245" i="1"/>
  <c r="M1296" i="1"/>
  <c r="M435" i="1"/>
  <c r="M1297" i="1"/>
  <c r="M1298" i="1"/>
  <c r="M1299" i="1"/>
  <c r="M1300" i="1"/>
  <c r="M1301" i="1"/>
  <c r="M1305" i="1"/>
  <c r="M1303" i="1"/>
  <c r="M1302" i="1"/>
  <c r="M1304" i="1"/>
  <c r="M1306" i="1"/>
  <c r="M1213" i="1"/>
  <c r="M1307" i="1"/>
  <c r="M1309" i="1"/>
  <c r="M1308" i="1"/>
  <c r="M1262" i="1"/>
  <c r="M1232" i="1"/>
  <c r="M1209" i="1"/>
  <c r="M1258" i="1"/>
  <c r="M1221" i="1"/>
  <c r="M1310" i="1"/>
  <c r="M1311" i="1"/>
  <c r="M1210" i="1"/>
  <c r="M1312" i="1"/>
  <c r="M1214" i="1"/>
  <c r="M1240" i="1"/>
  <c r="M1255" i="1"/>
  <c r="M1256" i="1"/>
  <c r="M1257" i="1"/>
  <c r="M1313" i="1"/>
  <c r="M1259" i="1"/>
  <c r="M1260" i="1"/>
  <c r="M1314" i="1"/>
  <c r="M1315" i="1"/>
  <c r="M1250" i="1"/>
  <c r="M1198" i="1"/>
  <c r="M1191" i="1"/>
  <c r="M1190" i="1"/>
  <c r="M1223" i="1"/>
  <c r="M1264" i="1"/>
  <c r="M1233" i="1"/>
  <c r="M1251" i="1"/>
  <c r="M1263" i="1"/>
  <c r="M1289" i="1"/>
  <c r="M1224" i="1"/>
  <c r="M528" i="1"/>
  <c r="M1318" i="1"/>
  <c r="M1273" i="1"/>
  <c r="M1319" i="1"/>
  <c r="M1320" i="1"/>
  <c r="M1321" i="1"/>
  <c r="M1322" i="1"/>
  <c r="M1323" i="1"/>
  <c r="M1324" i="1"/>
  <c r="M529" i="1"/>
  <c r="M1194" i="1"/>
  <c r="M1205" i="1"/>
  <c r="M1225" i="1"/>
  <c r="M1199" i="1"/>
  <c r="M1200" i="1"/>
  <c r="M1326" i="1"/>
  <c r="M1226" i="1"/>
  <c r="M1252" i="1"/>
  <c r="M1192" i="1"/>
  <c r="M1327" i="1"/>
  <c r="M1328" i="1"/>
  <c r="M1253" i="1"/>
  <c r="M1246" i="1"/>
  <c r="M1274" i="1"/>
  <c r="M1280" i="1"/>
  <c r="M1282" i="1"/>
  <c r="M1279" i="1"/>
  <c r="M1281" i="1"/>
  <c r="M1278" i="1"/>
  <c r="M1277" i="1"/>
  <c r="M1276" i="1"/>
  <c r="M1265" i="1"/>
  <c r="M1275" i="1"/>
  <c r="M1206" i="1"/>
  <c r="M1329" i="1"/>
  <c r="M1215" i="1"/>
  <c r="M1234" i="1"/>
  <c r="M1235" i="1"/>
  <c r="M1236" i="1"/>
  <c r="M1237" i="1"/>
  <c r="M1238" i="1"/>
  <c r="M1266" i="1"/>
  <c r="M1288" i="1"/>
  <c r="M1247" i="1"/>
  <c r="M1216" i="1"/>
  <c r="M1217" i="1"/>
  <c r="M1218" i="1"/>
  <c r="M1267" i="1"/>
  <c r="M1268" i="1"/>
  <c r="M1227" i="1"/>
  <c r="M1228" i="1"/>
  <c r="M1330" i="1"/>
  <c r="M1229" i="1"/>
  <c r="M1331" i="1"/>
  <c r="M1197" i="1"/>
  <c r="M1204" i="1"/>
  <c r="M1203" i="1"/>
  <c r="M1230" i="1"/>
  <c r="M1332" i="1"/>
  <c r="M1333" i="1"/>
  <c r="M1334" i="1"/>
  <c r="M1335" i="1"/>
  <c r="M1336" i="1"/>
  <c r="M1269" i="1"/>
  <c r="M1337" i="1"/>
  <c r="M1338" i="1"/>
  <c r="M1339" i="1"/>
  <c r="M1231" i="1"/>
  <c r="M530" i="1"/>
  <c r="M1241" i="1"/>
  <c r="M1242" i="1"/>
  <c r="M1283" i="1"/>
  <c r="M1239" i="1"/>
  <c r="M1248" i="1"/>
  <c r="M1261" i="1"/>
  <c r="M1340" i="1"/>
  <c r="M516" i="1"/>
  <c r="M1342" i="1"/>
  <c r="M1285" i="1"/>
  <c r="M1254" i="1"/>
  <c r="M1343" i="1"/>
  <c r="M1286" i="1"/>
  <c r="M1270" i="1"/>
  <c r="M1211" i="1"/>
  <c r="M1207" i="1"/>
  <c r="M1526" i="1"/>
  <c r="M1271" i="1"/>
  <c r="M1202" i="1"/>
  <c r="M1272" i="1"/>
  <c r="M1527" i="1"/>
  <c r="M1377" i="1"/>
  <c r="M1371" i="1"/>
  <c r="M1372" i="1"/>
  <c r="M1373" i="1"/>
  <c r="M1374" i="1"/>
  <c r="M1375" i="1"/>
  <c r="M1376" i="1"/>
  <c r="M1359" i="1"/>
  <c r="M1364" i="1"/>
  <c r="M1354" i="1"/>
  <c r="M1363" i="1"/>
  <c r="M1365" i="1"/>
  <c r="M1355" i="1"/>
  <c r="M1366" i="1"/>
  <c r="M1353" i="1"/>
  <c r="M1356" i="1"/>
  <c r="M1358" i="1"/>
  <c r="M1367" i="1"/>
  <c r="M1357" i="1"/>
  <c r="M1361" i="1"/>
  <c r="M1360" i="1"/>
  <c r="M1362" i="1"/>
  <c r="M1351" i="1"/>
  <c r="M1344" i="1"/>
  <c r="M1348" i="1"/>
  <c r="M1347" i="1"/>
  <c r="M1345" i="1"/>
  <c r="M1404" i="1"/>
  <c r="M1405" i="1"/>
  <c r="M1402" i="1"/>
  <c r="M1403" i="1"/>
  <c r="M1397" i="1"/>
  <c r="M1383" i="1"/>
  <c r="M1391" i="1"/>
  <c r="M1392" i="1"/>
  <c r="M1393" i="1"/>
  <c r="M1394" i="1"/>
  <c r="M1406" i="1"/>
  <c r="M1395" i="1"/>
  <c r="M1396" i="1"/>
  <c r="M1384" i="1"/>
  <c r="M1385" i="1"/>
  <c r="M1386" i="1"/>
  <c r="M1387" i="1"/>
  <c r="M1388" i="1"/>
  <c r="M1389" i="1"/>
  <c r="M1390" i="1"/>
  <c r="M1379" i="1"/>
  <c r="M1398" i="1"/>
  <c r="M1378" i="1"/>
  <c r="M1399" i="1"/>
  <c r="M1400" i="1"/>
  <c r="M1381" i="1"/>
  <c r="M1382" i="1"/>
  <c r="M1380" i="1"/>
  <c r="M1401" i="1"/>
  <c r="M1349" i="1"/>
  <c r="M1408" i="1"/>
  <c r="M1369" i="1"/>
  <c r="M1368" i="1"/>
  <c r="M1407" i="1"/>
  <c r="M1352" i="1"/>
  <c r="M1409" i="1"/>
  <c r="M1410" i="1"/>
  <c r="M1412" i="1"/>
  <c r="M1346" i="1"/>
  <c r="M1370" i="1"/>
  <c r="M1350" i="1"/>
  <c r="M1416" i="1"/>
  <c r="M1454" i="1"/>
  <c r="M1428" i="1"/>
  <c r="M1419" i="1"/>
  <c r="M1455" i="1"/>
  <c r="M1420" i="1"/>
  <c r="M1456" i="1"/>
  <c r="M1445" i="1"/>
  <c r="M1429" i="1"/>
  <c r="M1421" i="1"/>
  <c r="M1457" i="1"/>
  <c r="M1430" i="1"/>
  <c r="M1431" i="1"/>
  <c r="M1418" i="1"/>
  <c r="M1458" i="1"/>
  <c r="M1459" i="1"/>
  <c r="M1448" i="1"/>
  <c r="M1432" i="1"/>
  <c r="M1433" i="1"/>
  <c r="M1434" i="1"/>
  <c r="M1435" i="1"/>
  <c r="M1446" i="1"/>
  <c r="M1447" i="1"/>
  <c r="M1436" i="1"/>
  <c r="M1437" i="1"/>
  <c r="M1438" i="1"/>
  <c r="M1439" i="1"/>
  <c r="M1440" i="1"/>
  <c r="M1441" i="1"/>
  <c r="M1449" i="1"/>
  <c r="M1450" i="1"/>
  <c r="M1452" i="1"/>
  <c r="M1451" i="1"/>
  <c r="M1460" i="1"/>
  <c r="M1424" i="1"/>
  <c r="M1425" i="1"/>
  <c r="M1426" i="1"/>
  <c r="M1427" i="1"/>
  <c r="M1461" i="1"/>
  <c r="M1462" i="1"/>
  <c r="M1463" i="1"/>
  <c r="M1442" i="1"/>
  <c r="M1422" i="1"/>
  <c r="M1423" i="1"/>
  <c r="M1415" i="1"/>
  <c r="M1417" i="1"/>
  <c r="M1453" i="1"/>
  <c r="M1443" i="1"/>
  <c r="M1444" i="1"/>
  <c r="M517" i="1"/>
  <c r="M531" i="1"/>
  <c r="M541" i="1"/>
  <c r="M1467" i="1"/>
  <c r="M542" i="1"/>
  <c r="M543" i="1"/>
  <c r="M498" i="1"/>
  <c r="M499" i="1"/>
  <c r="M501" i="1"/>
  <c r="M504" i="1"/>
  <c r="M502" i="1"/>
  <c r="M505" i="1"/>
  <c r="M509" i="1"/>
  <c r="M511" i="1"/>
  <c r="M512" i="1"/>
  <c r="M433" i="1"/>
  <c r="M484" i="1"/>
  <c r="M483" i="1"/>
  <c r="M150" i="1"/>
  <c r="M223" i="1"/>
  <c r="M151" i="1"/>
  <c r="M225" i="1"/>
  <c r="M108" i="1"/>
  <c r="M224" i="1"/>
  <c r="M110" i="1"/>
  <c r="M234" i="1"/>
  <c r="M247" i="1"/>
  <c r="M281" i="1"/>
  <c r="M282" i="1"/>
  <c r="M251" i="1"/>
  <c r="M253" i="1"/>
  <c r="M1325" i="1"/>
  <c r="M1341" i="1"/>
  <c r="M917" i="1"/>
  <c r="M868" i="1"/>
  <c r="M825" i="1"/>
  <c r="M831" i="1"/>
  <c r="M808" i="1"/>
  <c r="M817" i="1"/>
  <c r="M837" i="1"/>
  <c r="M118" i="1"/>
  <c r="M1507" i="1"/>
  <c r="M119" i="1"/>
  <c r="M1511" i="1"/>
  <c r="M1512" i="1"/>
  <c r="M1519" i="1"/>
  <c r="M1520" i="1"/>
  <c r="M1513" i="1"/>
  <c r="M1514" i="1"/>
  <c r="M1515" i="1"/>
  <c r="M1516" i="1"/>
  <c r="M1523" i="1"/>
  <c r="M1522" i="1"/>
  <c r="M1517" i="1"/>
  <c r="M1577" i="1"/>
  <c r="M1525" i="1"/>
  <c r="M1521" i="1"/>
  <c r="M1559" i="1"/>
  <c r="M802" i="1"/>
  <c r="M1560" i="1"/>
  <c r="M1561" i="1"/>
  <c r="M1562" i="1"/>
  <c r="M1563" i="1"/>
  <c r="M1544" i="1"/>
  <c r="M1533" i="1"/>
  <c r="M1557" i="1"/>
  <c r="M1531" i="1"/>
  <c r="M1567" i="1"/>
  <c r="M1549" i="1"/>
  <c r="M1539" i="1"/>
  <c r="M1540" i="1"/>
  <c r="M1555" i="1"/>
  <c r="M1534" i="1"/>
  <c r="M1550" i="1"/>
  <c r="M1556" i="1"/>
  <c r="M1551" i="1"/>
  <c r="M1554" i="1"/>
  <c r="M1568" i="1"/>
  <c r="M1546" i="1"/>
  <c r="M1528" i="1"/>
  <c r="M1565" i="1"/>
  <c r="M1566" i="1"/>
  <c r="M1569" i="1"/>
  <c r="M1570" i="1"/>
  <c r="M1552" i="1"/>
  <c r="M1541" i="1"/>
  <c r="M1535" i="1"/>
  <c r="M1571" i="1"/>
  <c r="M1536" i="1"/>
  <c r="M1537" i="1"/>
  <c r="M1542" i="1"/>
  <c r="M1529" i="1"/>
  <c r="M1532" i="1"/>
  <c r="M1564" i="1"/>
  <c r="M1548" i="1"/>
  <c r="M1547" i="1"/>
  <c r="M1530" i="1"/>
  <c r="M1572" i="1"/>
  <c r="M1538" i="1"/>
  <c r="M1543" i="1"/>
  <c r="M1553" i="1"/>
  <c r="M249" i="1"/>
  <c r="M564" i="1"/>
  <c r="M638" i="1"/>
  <c r="M545" i="1"/>
  <c r="M571" i="1"/>
  <c r="M650" i="1"/>
  <c r="M676" i="1"/>
  <c r="M581" i="1"/>
  <c r="M617" i="1"/>
  <c r="M677" i="1"/>
  <c r="M593" i="1"/>
  <c r="M546" i="1"/>
  <c r="M582" i="1"/>
  <c r="M583" i="1"/>
  <c r="M584" i="1"/>
  <c r="M585" i="1"/>
  <c r="M590" i="1"/>
  <c r="M678" i="1"/>
  <c r="M651" i="1"/>
  <c r="M594" i="1"/>
  <c r="M680" i="1"/>
  <c r="M681" i="1"/>
  <c r="M568" i="1"/>
  <c r="M682" i="1"/>
  <c r="M4" i="1"/>
  <c r="I1497" i="1" l="1"/>
  <c r="I594" i="1"/>
  <c r="I568" i="1"/>
  <c r="I569" i="1"/>
  <c r="I624" i="1"/>
  <c r="I622" i="1"/>
  <c r="I595" i="1"/>
  <c r="I619" i="1"/>
  <c r="I652" i="1"/>
  <c r="I553" i="1"/>
  <c r="I620" i="1"/>
  <c r="I552" i="1"/>
  <c r="I554" i="1"/>
  <c r="I586" i="1"/>
  <c r="I555" i="1"/>
  <c r="I587" i="1"/>
  <c r="I628" i="1"/>
  <c r="I588" i="1"/>
  <c r="I556" i="1"/>
  <c r="I557" i="1"/>
  <c r="I558" i="1"/>
  <c r="I548" i="1"/>
  <c r="I560" i="1"/>
  <c r="I576" i="1"/>
  <c r="I623" i="1"/>
  <c r="I561" i="1"/>
  <c r="I577" i="1"/>
  <c r="I629" i="1"/>
  <c r="I600" i="1"/>
  <c r="I601" i="1"/>
  <c r="I598" i="1"/>
  <c r="I578" i="1"/>
  <c r="I599" i="1"/>
  <c r="I579" i="1"/>
  <c r="I640" i="1"/>
  <c r="I604" i="1"/>
  <c r="I603" i="1"/>
  <c r="I633" i="1"/>
  <c r="I562" i="1"/>
  <c r="I621" i="1"/>
  <c r="I605" i="1"/>
  <c r="I606" i="1"/>
  <c r="I607" i="1"/>
  <c r="I642" i="1"/>
  <c r="I608" i="1"/>
  <c r="I609" i="1"/>
  <c r="I611" i="1"/>
  <c r="I563" i="1"/>
  <c r="I643" i="1"/>
  <c r="I644" i="1"/>
  <c r="I653" i="1"/>
  <c r="I591" i="1"/>
  <c r="I592" i="1"/>
  <c r="I574" i="1"/>
  <c r="I635" i="1"/>
  <c r="I614" i="1"/>
  <c r="I565" i="1"/>
  <c r="I645" i="1"/>
  <c r="I636" i="1"/>
  <c r="I637" i="1"/>
  <c r="I549" i="1"/>
  <c r="I589" i="1"/>
  <c r="I580" i="1"/>
  <c r="I646" i="1"/>
  <c r="I570" i="1"/>
  <c r="I647" i="1"/>
  <c r="I615" i="1"/>
  <c r="I655" i="1"/>
  <c r="I648" i="1"/>
  <c r="I550" i="1"/>
  <c r="I547" i="1"/>
  <c r="I566" i="1"/>
  <c r="I616" i="1"/>
  <c r="I567" i="1"/>
  <c r="I649" i="1"/>
  <c r="I551" i="1"/>
  <c r="I618" i="1"/>
  <c r="I626" i="1"/>
  <c r="I625" i="1"/>
  <c r="I627" i="1"/>
  <c r="I575" i="1"/>
  <c r="I597" i="1"/>
  <c r="I559" i="1"/>
  <c r="I656" i="1"/>
  <c r="I632" i="1"/>
  <c r="I631" i="1"/>
  <c r="I630" i="1"/>
  <c r="I658" i="1"/>
  <c r="I660" i="1"/>
  <c r="I659" i="1"/>
  <c r="I657" i="1"/>
  <c r="I668" i="1"/>
  <c r="I602" i="1"/>
  <c r="I667" i="1"/>
  <c r="I669" i="1"/>
  <c r="I670" i="1"/>
  <c r="I661" i="1"/>
  <c r="I663" i="1"/>
  <c r="I664" i="1"/>
  <c r="I673" i="1"/>
  <c r="I671" i="1"/>
  <c r="I665" i="1"/>
  <c r="I641" i="1"/>
  <c r="I666" i="1"/>
  <c r="I672" i="1"/>
  <c r="I662" i="1"/>
  <c r="I610" i="1"/>
  <c r="I612" i="1"/>
  <c r="I613" i="1"/>
  <c r="I634" i="1"/>
  <c r="I675" i="1"/>
  <c r="I654" i="1"/>
  <c r="I674" i="1"/>
  <c r="I596" i="1"/>
  <c r="I572" i="1"/>
  <c r="I573" i="1"/>
  <c r="I17" i="1"/>
  <c r="I18" i="1"/>
  <c r="I19" i="1"/>
  <c r="I22" i="1"/>
  <c r="I48" i="1"/>
  <c r="I78" i="1"/>
  <c r="I46" i="1"/>
  <c r="J46" i="1" s="1"/>
  <c r="I33" i="1"/>
  <c r="J33" i="1" s="1"/>
  <c r="I34" i="1"/>
  <c r="J34" i="1" s="1"/>
  <c r="I44" i="1"/>
  <c r="J44" i="1" s="1"/>
  <c r="I20" i="1"/>
  <c r="J20" i="1" s="1"/>
  <c r="I45" i="1"/>
  <c r="J45" i="1" s="1"/>
  <c r="I63" i="1"/>
  <c r="J63" i="1" s="1"/>
  <c r="I64" i="1"/>
  <c r="J64" i="1" s="1"/>
  <c r="I74" i="1"/>
  <c r="J74" i="1" s="1"/>
  <c r="I75" i="1"/>
  <c r="I71" i="1"/>
  <c r="I49" i="1"/>
  <c r="I65" i="1"/>
  <c r="I66" i="1"/>
  <c r="I67" i="1"/>
  <c r="I68" i="1"/>
  <c r="I69" i="1"/>
  <c r="I70" i="1"/>
  <c r="I72" i="1"/>
  <c r="I50" i="1"/>
  <c r="I51" i="1"/>
  <c r="I79" i="1"/>
  <c r="I52" i="1"/>
  <c r="I24" i="1"/>
  <c r="I23" i="1"/>
  <c r="I25" i="1"/>
  <c r="I26" i="1"/>
  <c r="I54" i="1"/>
  <c r="I53" i="1"/>
  <c r="I35" i="1"/>
  <c r="I36" i="1"/>
  <c r="I38" i="1"/>
  <c r="I37" i="1"/>
  <c r="I39" i="1"/>
  <c r="I40" i="1"/>
  <c r="I41" i="1"/>
  <c r="I27" i="1"/>
  <c r="I28" i="1"/>
  <c r="I43" i="1"/>
  <c r="I42" i="1"/>
  <c r="I55" i="1"/>
  <c r="I56" i="1"/>
  <c r="I29" i="1"/>
  <c r="I30" i="1"/>
  <c r="I31" i="1"/>
  <c r="I57" i="1"/>
  <c r="I32" i="1"/>
  <c r="I76" i="1"/>
  <c r="I47" i="1"/>
  <c r="I81" i="1"/>
  <c r="I82" i="1"/>
  <c r="I83" i="1"/>
  <c r="I80" i="1"/>
  <c r="I58" i="1"/>
  <c r="I59" i="1"/>
  <c r="I60" i="1"/>
  <c r="I61" i="1"/>
  <c r="I62" i="1"/>
  <c r="I77" i="1"/>
  <c r="I21" i="1"/>
  <c r="I73" i="1"/>
  <c r="I118" i="1"/>
  <c r="I119" i="1"/>
  <c r="I94" i="1"/>
  <c r="I115" i="1"/>
  <c r="I105" i="1"/>
  <c r="I117" i="1"/>
  <c r="I150" i="1"/>
  <c r="I116" i="1"/>
  <c r="I110" i="1"/>
  <c r="I101" i="1"/>
  <c r="I97" i="1"/>
  <c r="I106" i="1"/>
  <c r="I111" i="1"/>
  <c r="I108" i="1"/>
  <c r="I112" i="1"/>
  <c r="I151" i="1"/>
  <c r="I152" i="1"/>
  <c r="I90" i="1"/>
  <c r="I85" i="1"/>
  <c r="I86" i="1"/>
  <c r="I113" i="1"/>
  <c r="I109" i="1"/>
  <c r="I87" i="1"/>
  <c r="I88" i="1"/>
  <c r="I92" i="1"/>
  <c r="I9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7" i="1"/>
  <c r="I206" i="1"/>
  <c r="I208" i="1"/>
  <c r="I209" i="1"/>
  <c r="I210" i="1"/>
  <c r="I141" i="1"/>
  <c r="I211" i="1"/>
  <c r="I212" i="1"/>
  <c r="I213" i="1"/>
  <c r="I214" i="1"/>
  <c r="I216" i="1"/>
  <c r="I215" i="1"/>
  <c r="I217" i="1"/>
  <c r="I125" i="1"/>
  <c r="I130" i="1"/>
  <c r="I131" i="1"/>
  <c r="I123" i="1"/>
  <c r="I124" i="1"/>
  <c r="I132" i="1"/>
  <c r="I137" i="1"/>
  <c r="I126" i="1"/>
  <c r="I127" i="1"/>
  <c r="I133" i="1"/>
  <c r="I136" i="1"/>
  <c r="I134" i="1"/>
  <c r="I128" i="1"/>
  <c r="I129" i="1"/>
  <c r="I135" i="1"/>
  <c r="I218" i="1"/>
  <c r="I219" i="1"/>
  <c r="I220" i="1"/>
  <c r="I221" i="1"/>
  <c r="I222" i="1"/>
  <c r="I223" i="1"/>
  <c r="I224" i="1"/>
  <c r="I225" i="1"/>
  <c r="I226" i="1"/>
  <c r="I227" i="1"/>
  <c r="I95" i="1"/>
  <c r="I91" i="1"/>
  <c r="I228" i="1"/>
  <c r="I89" i="1"/>
  <c r="I96" i="1"/>
  <c r="I98" i="1"/>
  <c r="I99" i="1"/>
  <c r="I229" i="1"/>
  <c r="I107" i="1"/>
  <c r="I114" i="1"/>
  <c r="I230" i="1"/>
  <c r="I100" i="1"/>
  <c r="I102" i="1"/>
  <c r="I103" i="1"/>
  <c r="I231" i="1"/>
  <c r="I146" i="1"/>
  <c r="I142" i="1"/>
  <c r="I104" i="1"/>
  <c r="I147" i="1"/>
  <c r="I148" i="1"/>
  <c r="I232" i="1"/>
  <c r="I236" i="1"/>
  <c r="I237" i="1"/>
  <c r="I238" i="1"/>
  <c r="I242" i="1"/>
  <c r="I247" i="1"/>
  <c r="I254" i="1"/>
  <c r="I281" i="1"/>
  <c r="I244" i="1"/>
  <c r="I282" i="1"/>
  <c r="I239" i="1"/>
  <c r="I259" i="1"/>
  <c r="I250" i="1"/>
  <c r="I264" i="1"/>
  <c r="I278" i="1"/>
  <c r="I269" i="1"/>
  <c r="I277" i="1"/>
  <c r="I270" i="1"/>
  <c r="I267" i="1"/>
  <c r="I268" i="1"/>
  <c r="I276" i="1"/>
  <c r="I263" i="1"/>
  <c r="I266" i="1"/>
  <c r="I265" i="1"/>
  <c r="I279" i="1"/>
  <c r="I275" i="1"/>
  <c r="I280" i="1"/>
  <c r="I245" i="1"/>
  <c r="I251" i="1"/>
  <c r="I260" i="1"/>
  <c r="I255" i="1"/>
  <c r="I256" i="1"/>
  <c r="I246" i="1"/>
  <c r="I252" i="1"/>
  <c r="I253" i="1"/>
  <c r="I271" i="1"/>
  <c r="I272" i="1"/>
  <c r="I261" i="1"/>
  <c r="I241" i="1"/>
  <c r="I312" i="1"/>
  <c r="I289" i="1"/>
  <c r="I327" i="1"/>
  <c r="I315" i="1"/>
  <c r="I298" i="1"/>
  <c r="I328" i="1"/>
  <c r="I376" i="1"/>
  <c r="I377" i="1"/>
  <c r="I320" i="1"/>
  <c r="I330" i="1"/>
  <c r="I316" i="1"/>
  <c r="I321" i="1"/>
  <c r="I322" i="1"/>
  <c r="I300" i="1"/>
  <c r="I301" i="1"/>
  <c r="I317" i="1"/>
  <c r="I329" i="1"/>
  <c r="I296" i="1"/>
  <c r="I313" i="1"/>
  <c r="I299" i="1"/>
  <c r="I378" i="1"/>
  <c r="I287" i="1"/>
  <c r="I379" i="1"/>
  <c r="I302" i="1"/>
  <c r="I305" i="1"/>
  <c r="I304" i="1"/>
  <c r="I318" i="1"/>
  <c r="I303" i="1"/>
  <c r="I323" i="1"/>
  <c r="I326" i="1"/>
  <c r="I294" i="1"/>
  <c r="I297" i="1"/>
  <c r="I380" i="1"/>
  <c r="I332" i="1"/>
  <c r="I331" i="1"/>
  <c r="I306" i="1"/>
  <c r="I325" i="1"/>
  <c r="I324" i="1"/>
  <c r="I308" i="1"/>
  <c r="I309" i="1"/>
  <c r="I337" i="1"/>
  <c r="I336" i="1"/>
  <c r="I338" i="1"/>
  <c r="I333" i="1"/>
  <c r="I335" i="1"/>
  <c r="I381" i="1"/>
  <c r="I334" i="1"/>
  <c r="I292" i="1"/>
  <c r="I288" i="1"/>
  <c r="I307" i="1"/>
  <c r="I310" i="1"/>
  <c r="I295" i="1"/>
  <c r="I347" i="1"/>
  <c r="I382" i="1"/>
  <c r="I383" i="1"/>
  <c r="I385" i="1"/>
  <c r="I387" i="1"/>
  <c r="I394" i="1"/>
  <c r="I391" i="1"/>
  <c r="I384" i="1"/>
  <c r="I395" i="1"/>
  <c r="I388" i="1"/>
  <c r="I392" i="1"/>
  <c r="I386" i="1"/>
  <c r="I396" i="1"/>
  <c r="I390" i="1"/>
  <c r="I389" i="1"/>
  <c r="I397" i="1"/>
  <c r="I393" i="1"/>
  <c r="I354" i="1"/>
  <c r="I353" i="1"/>
  <c r="I398" i="1"/>
  <c r="I355" i="1"/>
  <c r="I356" i="1"/>
  <c r="I357" i="1"/>
  <c r="I358" i="1"/>
  <c r="I359" i="1"/>
  <c r="I360" i="1"/>
  <c r="I361" i="1"/>
  <c r="I362" i="1"/>
  <c r="I363" i="1"/>
  <c r="I399" i="1"/>
  <c r="I352" i="1"/>
  <c r="I341" i="1"/>
  <c r="I400" i="1"/>
  <c r="I314" i="1"/>
  <c r="I339" i="1"/>
  <c r="I401" i="1"/>
  <c r="I293" i="1"/>
  <c r="I372" i="1"/>
  <c r="I364" i="1"/>
  <c r="I349" i="1"/>
  <c r="I345" i="1"/>
  <c r="I344" i="1"/>
  <c r="I365" i="1"/>
  <c r="I351" i="1"/>
  <c r="I366" i="1"/>
  <c r="I367" i="1"/>
  <c r="I373" i="1"/>
  <c r="I374" i="1"/>
  <c r="I350" i="1"/>
  <c r="I368" i="1"/>
  <c r="I343" i="1"/>
  <c r="I375" i="1"/>
  <c r="I402" i="1"/>
  <c r="I346" i="1"/>
  <c r="I403" i="1"/>
  <c r="I348" i="1"/>
  <c r="I340" i="1"/>
  <c r="I319" i="1"/>
  <c r="I342" i="1"/>
  <c r="I404" i="1"/>
  <c r="I369" i="1"/>
  <c r="I291" i="1"/>
  <c r="I290" i="1"/>
  <c r="I311" i="1"/>
  <c r="I490" i="1"/>
  <c r="I491" i="1"/>
  <c r="I492" i="1"/>
  <c r="I493" i="1"/>
  <c r="I494" i="1"/>
  <c r="I467" i="1"/>
  <c r="I435" i="1"/>
  <c r="I462" i="1"/>
  <c r="I470" i="1"/>
  <c r="I448" i="1"/>
  <c r="I452" i="1"/>
  <c r="I471" i="1"/>
  <c r="I436" i="1"/>
  <c r="I437" i="1"/>
  <c r="I495" i="1"/>
  <c r="I496" i="1"/>
  <c r="I438" i="1"/>
  <c r="I497" i="1"/>
  <c r="I498" i="1"/>
  <c r="I499" i="1"/>
  <c r="I439" i="1"/>
  <c r="I477" i="1"/>
  <c r="I500" i="1"/>
  <c r="I440" i="1"/>
  <c r="I463" i="1"/>
  <c r="I457" i="1"/>
  <c r="I501" i="1"/>
  <c r="I504" i="1"/>
  <c r="I441" i="1"/>
  <c r="I503" i="1"/>
  <c r="I506" i="1"/>
  <c r="I507" i="1"/>
  <c r="I502" i="1"/>
  <c r="I505" i="1"/>
  <c r="I442" i="1"/>
  <c r="I528" i="1"/>
  <c r="I529" i="1"/>
  <c r="I530" i="1"/>
  <c r="I443" i="1"/>
  <c r="I508" i="1"/>
  <c r="I509" i="1"/>
  <c r="I510" i="1"/>
  <c r="I444" i="1"/>
  <c r="I464" i="1"/>
  <c r="I511" i="1"/>
  <c r="I458" i="1"/>
  <c r="I513" i="1"/>
  <c r="I445" i="1"/>
  <c r="I514" i="1"/>
  <c r="I465" i="1"/>
  <c r="I512" i="1"/>
  <c r="I454" i="1"/>
  <c r="I455" i="1"/>
  <c r="I456" i="1"/>
  <c r="I515" i="1"/>
  <c r="I466" i="1"/>
  <c r="I474" i="1"/>
  <c r="I516" i="1"/>
  <c r="I459" i="1"/>
  <c r="I433" i="1"/>
  <c r="I517" i="1"/>
  <c r="I518" i="1"/>
  <c r="I519" i="1"/>
  <c r="I520" i="1"/>
  <c r="I523" i="1"/>
  <c r="I525" i="1"/>
  <c r="I526" i="1"/>
  <c r="I521" i="1"/>
  <c r="I522" i="1"/>
  <c r="I524" i="1"/>
  <c r="I488" i="1"/>
  <c r="I489" i="1"/>
  <c r="I484" i="1"/>
  <c r="I527" i="1"/>
  <c r="I485" i="1"/>
  <c r="I486" i="1"/>
  <c r="I487" i="1"/>
  <c r="I483" i="1"/>
  <c r="I481" i="1"/>
  <c r="I482" i="1"/>
  <c r="I472" i="1"/>
  <c r="I473" i="1"/>
  <c r="I449" i="1"/>
  <c r="I450" i="1"/>
  <c r="I460" i="1"/>
  <c r="I468" i="1"/>
  <c r="I446" i="1"/>
  <c r="I531" i="1"/>
  <c r="I478" i="1"/>
  <c r="I479" i="1"/>
  <c r="I480" i="1"/>
  <c r="I532" i="1"/>
  <c r="I475" i="1"/>
  <c r="I476" i="1"/>
  <c r="I453" i="1"/>
  <c r="I533" i="1"/>
  <c r="I534" i="1"/>
  <c r="I447" i="1"/>
  <c r="I535" i="1"/>
  <c r="I469" i="1"/>
  <c r="I536" i="1"/>
  <c r="I537" i="1"/>
  <c r="I538" i="1"/>
  <c r="I461" i="1"/>
  <c r="I539" i="1"/>
  <c r="I540" i="1"/>
  <c r="I451" i="1"/>
  <c r="I541" i="1"/>
  <c r="I542" i="1"/>
  <c r="I543" i="1"/>
  <c r="I434" i="1"/>
  <c r="I544" i="1"/>
  <c r="I708" i="1"/>
  <c r="I709" i="1"/>
  <c r="I710" i="1"/>
  <c r="I712" i="1"/>
  <c r="I711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78" i="1"/>
  <c r="I754" i="1"/>
  <c r="I759" i="1"/>
  <c r="I779" i="1"/>
  <c r="I765" i="1"/>
  <c r="I780" i="1"/>
  <c r="I753" i="1"/>
  <c r="I785" i="1"/>
  <c r="I766" i="1"/>
  <c r="I777" i="1"/>
  <c r="I760" i="1"/>
  <c r="I755" i="1"/>
  <c r="I756" i="1"/>
  <c r="I796" i="1"/>
  <c r="I781" i="1"/>
  <c r="I786" i="1"/>
  <c r="I787" i="1"/>
  <c r="I788" i="1"/>
  <c r="I797" i="1"/>
  <c r="I763" i="1"/>
  <c r="I767" i="1"/>
  <c r="I764" i="1"/>
  <c r="I768" i="1"/>
  <c r="I769" i="1"/>
  <c r="I770" i="1"/>
  <c r="I771" i="1"/>
  <c r="I772" i="1"/>
  <c r="I773" i="1"/>
  <c r="I774" i="1"/>
  <c r="I761" i="1"/>
  <c r="I762" i="1"/>
  <c r="I775" i="1"/>
  <c r="I798" i="1"/>
  <c r="I799" i="1"/>
  <c r="I782" i="1"/>
  <c r="I800" i="1"/>
  <c r="I801" i="1"/>
  <c r="I776" i="1"/>
  <c r="I757" i="1"/>
  <c r="I886" i="1"/>
  <c r="I888" i="1"/>
  <c r="I815" i="1"/>
  <c r="I845" i="1"/>
  <c r="I846" i="1"/>
  <c r="I834" i="1"/>
  <c r="I816" i="1"/>
  <c r="I830" i="1"/>
  <c r="I863" i="1"/>
  <c r="I825" i="1"/>
  <c r="I817" i="1"/>
  <c r="I864" i="1"/>
  <c r="I1195" i="1"/>
  <c r="I243" i="1"/>
  <c r="I803" i="1"/>
  <c r="I892" i="1"/>
  <c r="I895" i="1"/>
  <c r="I896" i="1"/>
  <c r="I900" i="1"/>
  <c r="I885" i="1"/>
  <c r="I847" i="1"/>
  <c r="I901" i="1"/>
  <c r="I818" i="1"/>
  <c r="I856" i="1"/>
  <c r="I835" i="1"/>
  <c r="I836" i="1"/>
  <c r="I902" i="1"/>
  <c r="I903" i="1"/>
  <c r="I904" i="1"/>
  <c r="I831" i="1"/>
  <c r="I837" i="1"/>
  <c r="I867" i="1"/>
  <c r="I848" i="1"/>
  <c r="I849" i="1"/>
  <c r="I899" i="1"/>
  <c r="I898" i="1"/>
  <c r="I905" i="1"/>
  <c r="I906" i="1"/>
  <c r="I884" i="1"/>
  <c r="I907" i="1"/>
  <c r="I876" i="1"/>
  <c r="I877" i="1"/>
  <c r="I878" i="1"/>
  <c r="I879" i="1"/>
  <c r="I880" i="1"/>
  <c r="I881" i="1"/>
  <c r="I826" i="1"/>
  <c r="I827" i="1"/>
  <c r="I828" i="1"/>
  <c r="I829" i="1"/>
  <c r="I908" i="1"/>
  <c r="I909" i="1"/>
  <c r="I850" i="1"/>
  <c r="I851" i="1"/>
  <c r="I808" i="1"/>
  <c r="I819" i="1"/>
  <c r="I804" i="1"/>
  <c r="I809" i="1"/>
  <c r="I820" i="1"/>
  <c r="I805" i="1"/>
  <c r="I806" i="1"/>
  <c r="I858" i="1"/>
  <c r="I857" i="1"/>
  <c r="I887" i="1"/>
  <c r="I910" i="1"/>
  <c r="I911" i="1"/>
  <c r="I838" i="1"/>
  <c r="I832" i="1"/>
  <c r="I839" i="1"/>
  <c r="I840" i="1"/>
  <c r="I812" i="1"/>
  <c r="I807" i="1"/>
  <c r="I822" i="1"/>
  <c r="I841" i="1"/>
  <c r="I842" i="1"/>
  <c r="I824" i="1"/>
  <c r="I823" i="1"/>
  <c r="I843" i="1"/>
  <c r="I814" i="1"/>
  <c r="I859" i="1"/>
  <c r="I860" i="1"/>
  <c r="I861" i="1"/>
  <c r="I914" i="1"/>
  <c r="I889" i="1"/>
  <c r="I890" i="1"/>
  <c r="I891" i="1"/>
  <c r="I912" i="1"/>
  <c r="I913" i="1"/>
  <c r="I865" i="1"/>
  <c r="I866" i="1"/>
  <c r="I854" i="1"/>
  <c r="I855" i="1"/>
  <c r="I915" i="1"/>
  <c r="I916" i="1"/>
  <c r="I917" i="1"/>
  <c r="I918" i="1"/>
  <c r="I919" i="1"/>
  <c r="I920" i="1"/>
  <c r="I921" i="1"/>
  <c r="I1219" i="1"/>
  <c r="I844" i="1"/>
  <c r="I883" i="1"/>
  <c r="I922" i="1"/>
  <c r="I923" i="1"/>
  <c r="I882" i="1"/>
  <c r="I925" i="1"/>
  <c r="I924" i="1"/>
  <c r="I926" i="1"/>
  <c r="I833" i="1"/>
  <c r="I868" i="1"/>
  <c r="I862" i="1"/>
  <c r="I1578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27" i="1"/>
  <c r="I944" i="1"/>
  <c r="I945" i="1"/>
  <c r="I946" i="1"/>
  <c r="I947" i="1"/>
  <c r="I948" i="1"/>
  <c r="I950" i="1"/>
  <c r="I949" i="1"/>
  <c r="I951" i="1"/>
  <c r="I952" i="1"/>
  <c r="I953" i="1"/>
  <c r="I954" i="1"/>
  <c r="I955" i="1"/>
  <c r="I956" i="1"/>
  <c r="I957" i="1"/>
  <c r="I958" i="1"/>
  <c r="I928" i="1"/>
  <c r="I929" i="1"/>
  <c r="I959" i="1"/>
  <c r="I960" i="1"/>
  <c r="I961" i="1"/>
  <c r="I962" i="1"/>
  <c r="I963" i="1"/>
  <c r="I964" i="1"/>
  <c r="I966" i="1"/>
  <c r="I967" i="1"/>
  <c r="I968" i="1"/>
  <c r="I969" i="1"/>
  <c r="I970" i="1"/>
  <c r="I971" i="1"/>
  <c r="I972" i="1"/>
  <c r="I973" i="1"/>
  <c r="I975" i="1"/>
  <c r="I977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1001" i="1"/>
  <c r="I1003" i="1"/>
  <c r="I1002" i="1"/>
  <c r="I1004" i="1"/>
  <c r="I989" i="1"/>
  <c r="I990" i="1"/>
  <c r="I999" i="1"/>
  <c r="I994" i="1"/>
  <c r="I997" i="1"/>
  <c r="I993" i="1"/>
  <c r="I991" i="1"/>
  <c r="I996" i="1"/>
  <c r="I998" i="1"/>
  <c r="I992" i="1"/>
  <c r="I1000" i="1"/>
  <c r="I995" i="1"/>
  <c r="I1040" i="1"/>
  <c r="I1048" i="1"/>
  <c r="I1061" i="1"/>
  <c r="I1057" i="1"/>
  <c r="I1045" i="1"/>
  <c r="I1062" i="1"/>
  <c r="I1052" i="1"/>
  <c r="I1042" i="1"/>
  <c r="I1046" i="1"/>
  <c r="I1041" i="1"/>
  <c r="I1054" i="1"/>
  <c r="I1044" i="1"/>
  <c r="I1059" i="1"/>
  <c r="I1060" i="1"/>
  <c r="I1063" i="1"/>
  <c r="I1064" i="1"/>
  <c r="I1039" i="1"/>
  <c r="I1065" i="1"/>
  <c r="I1047" i="1"/>
  <c r="I1050" i="1"/>
  <c r="I1066" i="1"/>
  <c r="I1056" i="1"/>
  <c r="I1055" i="1"/>
  <c r="I1067" i="1"/>
  <c r="I1068" i="1"/>
  <c r="I1051" i="1"/>
  <c r="I1043" i="1"/>
  <c r="I1053" i="1"/>
  <c r="I1058" i="1"/>
  <c r="I1049" i="1"/>
  <c r="I1072" i="1"/>
  <c r="I1070" i="1"/>
  <c r="I1078" i="1"/>
  <c r="I1077" i="1"/>
  <c r="I1076" i="1"/>
  <c r="I1079" i="1"/>
  <c r="I1075" i="1"/>
  <c r="I1071" i="1"/>
  <c r="I1074" i="1"/>
  <c r="I1069" i="1"/>
  <c r="I1073" i="1"/>
  <c r="I1037" i="1"/>
  <c r="I1038" i="1"/>
  <c r="I1006" i="1"/>
  <c r="I1008" i="1"/>
  <c r="I974" i="1"/>
  <c r="I1018" i="1"/>
  <c r="I1011" i="1"/>
  <c r="I1016" i="1"/>
  <c r="I1014" i="1"/>
  <c r="I1009" i="1"/>
  <c r="I1013" i="1"/>
  <c r="I1019" i="1"/>
  <c r="I1005" i="1"/>
  <c r="I1007" i="1"/>
  <c r="I1012" i="1"/>
  <c r="I1017" i="1"/>
  <c r="I1020" i="1"/>
  <c r="I1021" i="1"/>
  <c r="I1022" i="1"/>
  <c r="I1010" i="1"/>
  <c r="I1015" i="1"/>
  <c r="I1023" i="1"/>
  <c r="I1024" i="1"/>
  <c r="I1032" i="1"/>
  <c r="I1034" i="1"/>
  <c r="I1030" i="1"/>
  <c r="I1029" i="1"/>
  <c r="I1026" i="1"/>
  <c r="I1028" i="1"/>
  <c r="I1033" i="1"/>
  <c r="I1027" i="1"/>
  <c r="I1025" i="1"/>
  <c r="I1031" i="1"/>
  <c r="I1035" i="1"/>
  <c r="I1036" i="1"/>
  <c r="I1140" i="1"/>
  <c r="I1133" i="1"/>
  <c r="I1134" i="1"/>
  <c r="I1108" i="1"/>
  <c r="I1141" i="1"/>
  <c r="I1109" i="1"/>
  <c r="I1113" i="1"/>
  <c r="I1110" i="1"/>
  <c r="I1111" i="1"/>
  <c r="I1112" i="1"/>
  <c r="I1101" i="1"/>
  <c r="I1096" i="1"/>
  <c r="I1095" i="1"/>
  <c r="I1099" i="1"/>
  <c r="I1142" i="1"/>
  <c r="I1100" i="1"/>
  <c r="I1098" i="1"/>
  <c r="I1097" i="1"/>
  <c r="I1143" i="1"/>
  <c r="I1114" i="1"/>
  <c r="I1107" i="1"/>
  <c r="I1144" i="1"/>
  <c r="I1091" i="1"/>
  <c r="I1145" i="1"/>
  <c r="I1090" i="1"/>
  <c r="I1084" i="1"/>
  <c r="I1146" i="1"/>
  <c r="I1080" i="1"/>
  <c r="I1081" i="1"/>
  <c r="I1082" i="1"/>
  <c r="I1135" i="1"/>
  <c r="I1136" i="1"/>
  <c r="I1115" i="1"/>
  <c r="I1138" i="1"/>
  <c r="I1119" i="1"/>
  <c r="I1120" i="1"/>
  <c r="I1116" i="1"/>
  <c r="I1117" i="1"/>
  <c r="I1118" i="1"/>
  <c r="I1102" i="1"/>
  <c r="I1137" i="1"/>
  <c r="I1103" i="1"/>
  <c r="I1121" i="1"/>
  <c r="I1092" i="1"/>
  <c r="I1139" i="1"/>
  <c r="I1094" i="1"/>
  <c r="I1147" i="1"/>
  <c r="I1124" i="1"/>
  <c r="I1130" i="1"/>
  <c r="I1083" i="1"/>
  <c r="I1085" i="1"/>
  <c r="I1093" i="1"/>
  <c r="I1089" i="1"/>
  <c r="I1088" i="1"/>
  <c r="I1087" i="1"/>
  <c r="I1086" i="1"/>
  <c r="I1126" i="1"/>
  <c r="I1127" i="1"/>
  <c r="I1128" i="1"/>
  <c r="I1129" i="1"/>
  <c r="I1104" i="1"/>
  <c r="I1105" i="1"/>
  <c r="I1106" i="1"/>
  <c r="I1123" i="1"/>
  <c r="I1122" i="1"/>
  <c r="I1125" i="1"/>
  <c r="I1131" i="1"/>
  <c r="I1132" i="1"/>
  <c r="I1148" i="1"/>
  <c r="I1178" i="1"/>
  <c r="I1154" i="1"/>
  <c r="I1153" i="1"/>
  <c r="I1150" i="1"/>
  <c r="I1151" i="1"/>
  <c r="I1152" i="1"/>
  <c r="I1155" i="1"/>
  <c r="I1156" i="1"/>
  <c r="I1157" i="1"/>
  <c r="I1159" i="1"/>
  <c r="I1158" i="1"/>
  <c r="I1161" i="1"/>
  <c r="I1160" i="1"/>
  <c r="I1162" i="1"/>
  <c r="I1163" i="1"/>
  <c r="I1164" i="1"/>
  <c r="I1165" i="1"/>
  <c r="I1166" i="1"/>
  <c r="I1167" i="1"/>
  <c r="I1171" i="1"/>
  <c r="I1170" i="1"/>
  <c r="I1168" i="1"/>
  <c r="I1169" i="1"/>
  <c r="I1149" i="1"/>
  <c r="I1172" i="1"/>
  <c r="I1174" i="1"/>
  <c r="I1173" i="1"/>
  <c r="I1175" i="1"/>
  <c r="I1177" i="1"/>
  <c r="I1176" i="1"/>
  <c r="I1179" i="1"/>
  <c r="I1180" i="1"/>
  <c r="I1181" i="1"/>
  <c r="I1182" i="1"/>
  <c r="I1183" i="1"/>
  <c r="I1184" i="1"/>
  <c r="I1185" i="1"/>
  <c r="I1186" i="1"/>
  <c r="I1187" i="1"/>
  <c r="I1287" i="1"/>
  <c r="I1284" i="1"/>
  <c r="I1188" i="1"/>
  <c r="I1220" i="1"/>
  <c r="I1290" i="1"/>
  <c r="I1249" i="1"/>
  <c r="I1189" i="1"/>
  <c r="I1243" i="1"/>
  <c r="I1291" i="1"/>
  <c r="I1292" i="1"/>
  <c r="I1293" i="1"/>
  <c r="I1294" i="1"/>
  <c r="I1208" i="1"/>
  <c r="I1244" i="1"/>
  <c r="I1295" i="1"/>
  <c r="I1193" i="1"/>
  <c r="I1196" i="1"/>
  <c r="I1245" i="1"/>
  <c r="I1296" i="1"/>
  <c r="I1212" i="1"/>
  <c r="I1297" i="1"/>
  <c r="I1298" i="1"/>
  <c r="I1299" i="1"/>
  <c r="I1300" i="1"/>
  <c r="I1301" i="1"/>
  <c r="I1305" i="1"/>
  <c r="I1303" i="1"/>
  <c r="I1302" i="1"/>
  <c r="I1304" i="1"/>
  <c r="I1306" i="1"/>
  <c r="I1213" i="1"/>
  <c r="I1307" i="1"/>
  <c r="I1309" i="1"/>
  <c r="I1308" i="1"/>
  <c r="I1262" i="1"/>
  <c r="I1232" i="1"/>
  <c r="I1209" i="1"/>
  <c r="I1258" i="1"/>
  <c r="I1221" i="1"/>
  <c r="I1310" i="1"/>
  <c r="I1311" i="1"/>
  <c r="I1210" i="1"/>
  <c r="I1312" i="1"/>
  <c r="I1214" i="1"/>
  <c r="I1240" i="1"/>
  <c r="I1255" i="1"/>
  <c r="I1256" i="1"/>
  <c r="I1257" i="1"/>
  <c r="I1313" i="1"/>
  <c r="I1259" i="1"/>
  <c r="I1260" i="1"/>
  <c r="I1314" i="1"/>
  <c r="I1315" i="1"/>
  <c r="I1250" i="1"/>
  <c r="I1198" i="1"/>
  <c r="I1191" i="1"/>
  <c r="I1190" i="1"/>
  <c r="I1316" i="1"/>
  <c r="I1223" i="1"/>
  <c r="I1264" i="1"/>
  <c r="I1233" i="1"/>
  <c r="I1251" i="1"/>
  <c r="I1263" i="1"/>
  <c r="I1289" i="1"/>
  <c r="I1224" i="1"/>
  <c r="I1317" i="1"/>
  <c r="I1318" i="1"/>
  <c r="I1273" i="1"/>
  <c r="I1319" i="1"/>
  <c r="I1320" i="1"/>
  <c r="I1321" i="1"/>
  <c r="I1322" i="1"/>
  <c r="I1323" i="1"/>
  <c r="I1324" i="1"/>
  <c r="I1325" i="1"/>
  <c r="I1205" i="1"/>
  <c r="I1225" i="1"/>
  <c r="I1200" i="1"/>
  <c r="I1326" i="1"/>
  <c r="I1226" i="1"/>
  <c r="I1252" i="1"/>
  <c r="I1192" i="1"/>
  <c r="I1327" i="1"/>
  <c r="I1328" i="1"/>
  <c r="I1253" i="1"/>
  <c r="I1246" i="1"/>
  <c r="I1274" i="1"/>
  <c r="I1280" i="1"/>
  <c r="I1282" i="1"/>
  <c r="I1279" i="1"/>
  <c r="I1281" i="1"/>
  <c r="I1278" i="1"/>
  <c r="I1277" i="1"/>
  <c r="I1276" i="1"/>
  <c r="I1265" i="1"/>
  <c r="I1275" i="1"/>
  <c r="I1206" i="1"/>
  <c r="I1329" i="1"/>
  <c r="I1215" i="1"/>
  <c r="I1234" i="1"/>
  <c r="I1235" i="1"/>
  <c r="I1236" i="1"/>
  <c r="I1237" i="1"/>
  <c r="I1238" i="1"/>
  <c r="I1266" i="1"/>
  <c r="I1288" i="1"/>
  <c r="I1247" i="1"/>
  <c r="I1216" i="1"/>
  <c r="I1217" i="1"/>
  <c r="I1218" i="1"/>
  <c r="I1267" i="1"/>
  <c r="I1268" i="1"/>
  <c r="I1227" i="1"/>
  <c r="I1228" i="1"/>
  <c r="I1330" i="1"/>
  <c r="I1229" i="1"/>
  <c r="I1331" i="1"/>
  <c r="I1197" i="1"/>
  <c r="I1204" i="1"/>
  <c r="I1230" i="1"/>
  <c r="I1332" i="1"/>
  <c r="I1333" i="1"/>
  <c r="I1334" i="1"/>
  <c r="I1335" i="1"/>
  <c r="I1336" i="1"/>
  <c r="I1269" i="1"/>
  <c r="I1337" i="1"/>
  <c r="I1338" i="1"/>
  <c r="I1339" i="1"/>
  <c r="I1231" i="1"/>
  <c r="I1201" i="1"/>
  <c r="I1241" i="1"/>
  <c r="I1242" i="1"/>
  <c r="I1283" i="1"/>
  <c r="I1239" i="1"/>
  <c r="I1248" i="1"/>
  <c r="I1261" i="1"/>
  <c r="I1340" i="1"/>
  <c r="I1341" i="1"/>
  <c r="I1342" i="1"/>
  <c r="I1285" i="1"/>
  <c r="I1254" i="1"/>
  <c r="I1343" i="1"/>
  <c r="I1286" i="1"/>
  <c r="I1270" i="1"/>
  <c r="I1211" i="1"/>
  <c r="I1207" i="1"/>
  <c r="I1526" i="1"/>
  <c r="I1271" i="1"/>
  <c r="I1202" i="1"/>
  <c r="I1272" i="1"/>
  <c r="I1527" i="1"/>
  <c r="I1377" i="1"/>
  <c r="I1371" i="1"/>
  <c r="I1372" i="1"/>
  <c r="I1373" i="1"/>
  <c r="I1374" i="1"/>
  <c r="I1375" i="1"/>
  <c r="I1376" i="1"/>
  <c r="I1359" i="1"/>
  <c r="I1354" i="1"/>
  <c r="I1363" i="1"/>
  <c r="I1365" i="1"/>
  <c r="I1355" i="1"/>
  <c r="I1366" i="1"/>
  <c r="I1353" i="1"/>
  <c r="I1356" i="1"/>
  <c r="I1358" i="1"/>
  <c r="I1367" i="1"/>
  <c r="I1357" i="1"/>
  <c r="I1361" i="1"/>
  <c r="I1360" i="1"/>
  <c r="I1362" i="1"/>
  <c r="I1351" i="1"/>
  <c r="I1344" i="1"/>
  <c r="I1348" i="1"/>
  <c r="I1347" i="1"/>
  <c r="I1345" i="1"/>
  <c r="I1404" i="1"/>
  <c r="I1405" i="1"/>
  <c r="I1402" i="1"/>
  <c r="I1403" i="1"/>
  <c r="I1397" i="1"/>
  <c r="I1383" i="1"/>
  <c r="I1391" i="1"/>
  <c r="I1392" i="1"/>
  <c r="I1393" i="1"/>
  <c r="I1394" i="1"/>
  <c r="I1406" i="1"/>
  <c r="I1395" i="1"/>
  <c r="I1396" i="1"/>
  <c r="I1384" i="1"/>
  <c r="I1385" i="1"/>
  <c r="I1386" i="1"/>
  <c r="I1387" i="1"/>
  <c r="I1388" i="1"/>
  <c r="I1389" i="1"/>
  <c r="I1390" i="1"/>
  <c r="I1379" i="1"/>
  <c r="I1398" i="1"/>
  <c r="I1378" i="1"/>
  <c r="I1399" i="1"/>
  <c r="I1400" i="1"/>
  <c r="I1382" i="1"/>
  <c r="I1380" i="1"/>
  <c r="I1401" i="1"/>
  <c r="I1349" i="1"/>
  <c r="I1408" i="1"/>
  <c r="I1369" i="1"/>
  <c r="I1368" i="1"/>
  <c r="I1407" i="1"/>
  <c r="I1352" i="1"/>
  <c r="I1410" i="1"/>
  <c r="I1412" i="1"/>
  <c r="I1346" i="1"/>
  <c r="I1370" i="1"/>
  <c r="I1416" i="1"/>
  <c r="I1454" i="1"/>
  <c r="I1428" i="1"/>
  <c r="I1419" i="1"/>
  <c r="I1455" i="1"/>
  <c r="I1420" i="1"/>
  <c r="I1456" i="1"/>
  <c r="I1445" i="1"/>
  <c r="I1429" i="1"/>
  <c r="I1421" i="1"/>
  <c r="I1457" i="1"/>
  <c r="I1430" i="1"/>
  <c r="I1431" i="1"/>
  <c r="I1418" i="1"/>
  <c r="I1458" i="1"/>
  <c r="I1459" i="1"/>
  <c r="I1448" i="1"/>
  <c r="I1432" i="1"/>
  <c r="I1433" i="1"/>
  <c r="I1434" i="1"/>
  <c r="I1435" i="1"/>
  <c r="I1446" i="1"/>
  <c r="I1447" i="1"/>
  <c r="I1436" i="1"/>
  <c r="I1437" i="1"/>
  <c r="I1438" i="1"/>
  <c r="I1439" i="1"/>
  <c r="I1440" i="1"/>
  <c r="I1441" i="1"/>
  <c r="I1449" i="1"/>
  <c r="I1450" i="1"/>
  <c r="I1452" i="1"/>
  <c r="I1451" i="1"/>
  <c r="I1460" i="1"/>
  <c r="I1424" i="1"/>
  <c r="I1425" i="1"/>
  <c r="I1426" i="1"/>
  <c r="I1427" i="1"/>
  <c r="I1461" i="1"/>
  <c r="I1462" i="1"/>
  <c r="I1463" i="1"/>
  <c r="I1442" i="1"/>
  <c r="I1422" i="1"/>
  <c r="I1423" i="1"/>
  <c r="I1415" i="1"/>
  <c r="I1417" i="1"/>
  <c r="I1453" i="1"/>
  <c r="I1464" i="1"/>
  <c r="I1465" i="1"/>
  <c r="I1466" i="1"/>
  <c r="I1467" i="1"/>
  <c r="I1468" i="1"/>
  <c r="I1469" i="1"/>
  <c r="I1470" i="1"/>
  <c r="I1471" i="1"/>
  <c r="I1473" i="1"/>
  <c r="I1472" i="1"/>
  <c r="I1474" i="1"/>
  <c r="I1475" i="1"/>
  <c r="I1476" i="1"/>
  <c r="I1477" i="1"/>
  <c r="I1478" i="1"/>
  <c r="I1480" i="1"/>
  <c r="I1481" i="1"/>
  <c r="I1483" i="1"/>
  <c r="I1484" i="1"/>
  <c r="I1485" i="1"/>
  <c r="I1486" i="1"/>
  <c r="I1487" i="1"/>
  <c r="I1489" i="1"/>
  <c r="I1490" i="1"/>
  <c r="I1492" i="1"/>
  <c r="I1493" i="1"/>
  <c r="I1494" i="1"/>
  <c r="I1495" i="1"/>
  <c r="I1496" i="1"/>
  <c r="I1498" i="1"/>
  <c r="I1499" i="1"/>
  <c r="I1500" i="1"/>
  <c r="I1501" i="1"/>
  <c r="I1503" i="1"/>
  <c r="I1502" i="1"/>
  <c r="I1479" i="1"/>
  <c r="I1482" i="1"/>
  <c r="I1488" i="1"/>
  <c r="I1491" i="1"/>
  <c r="I1504" i="1"/>
  <c r="I1505" i="1"/>
  <c r="I1506" i="1"/>
  <c r="I1507" i="1"/>
  <c r="I1510" i="1"/>
  <c r="I1511" i="1"/>
  <c r="I1512" i="1"/>
  <c r="I1519" i="1"/>
  <c r="I1520" i="1"/>
  <c r="I1513" i="1"/>
  <c r="I1514" i="1"/>
  <c r="I1515" i="1"/>
  <c r="I1516" i="1"/>
  <c r="I1523" i="1"/>
  <c r="I1522" i="1"/>
  <c r="I1517" i="1"/>
  <c r="I1577" i="1"/>
  <c r="I1525" i="1"/>
  <c r="I1521" i="1"/>
  <c r="I1559" i="1"/>
  <c r="I802" i="1"/>
  <c r="I1560" i="1"/>
  <c r="I1561" i="1"/>
  <c r="I1562" i="1"/>
  <c r="I1563" i="1"/>
  <c r="I1544" i="1"/>
  <c r="I1533" i="1"/>
  <c r="I1557" i="1"/>
  <c r="I1531" i="1"/>
  <c r="I1567" i="1"/>
  <c r="I1549" i="1"/>
  <c r="I1539" i="1"/>
  <c r="I1540" i="1"/>
  <c r="I1555" i="1"/>
  <c r="I1534" i="1"/>
  <c r="I1550" i="1"/>
  <c r="I1556" i="1"/>
  <c r="I1551" i="1"/>
  <c r="I1554" i="1"/>
  <c r="I1568" i="1"/>
  <c r="I1546" i="1"/>
  <c r="I1528" i="1"/>
  <c r="I1565" i="1"/>
  <c r="I1566" i="1"/>
  <c r="I1569" i="1"/>
  <c r="I1570" i="1"/>
  <c r="I1552" i="1"/>
  <c r="I1541" i="1"/>
  <c r="I1535" i="1"/>
  <c r="I1571" i="1"/>
  <c r="I1536" i="1"/>
  <c r="I1537" i="1"/>
  <c r="I1542" i="1"/>
  <c r="I1529" i="1"/>
  <c r="I1532" i="1"/>
  <c r="I1564" i="1"/>
  <c r="I1548" i="1"/>
  <c r="I1547" i="1"/>
  <c r="I1530" i="1"/>
  <c r="I1572" i="1"/>
  <c r="I1538" i="1"/>
  <c r="I1543" i="1"/>
  <c r="I1553" i="1"/>
  <c r="I564" i="1"/>
  <c r="I638" i="1"/>
  <c r="I545" i="1"/>
  <c r="I571" i="1"/>
  <c r="I650" i="1"/>
  <c r="I581" i="1"/>
  <c r="I617" i="1"/>
  <c r="I546" i="1"/>
  <c r="I582" i="1"/>
  <c r="I583" i="1"/>
  <c r="I584" i="1"/>
  <c r="I585" i="1"/>
  <c r="I590" i="1"/>
  <c r="I651" i="1"/>
  <c r="I4" i="1"/>
</calcChain>
</file>

<file path=xl/sharedStrings.xml><?xml version="1.0" encoding="utf-8"?>
<sst xmlns="http://schemas.openxmlformats.org/spreadsheetml/2006/main" count="23868" uniqueCount="5669">
  <si>
    <t>Флаг</t>
  </si>
  <si>
    <t>№</t>
  </si>
  <si>
    <t>Вид оборудования</t>
  </si>
  <si>
    <t>Название</t>
  </si>
  <si>
    <t>Заводской 
номер [SN]</t>
  </si>
  <si>
    <t>Дата 
произв.</t>
  </si>
  <si>
    <t>Инвентарный 
номер [IN]</t>
  </si>
  <si>
    <t>Отделение</t>
  </si>
  <si>
    <t>Кабинет</t>
  </si>
  <si>
    <t>Группа</t>
  </si>
  <si>
    <t>Дата 
закупки</t>
  </si>
  <si>
    <t>Состояние</t>
  </si>
  <si>
    <t>РУ</t>
  </si>
  <si>
    <t>Срок РУ</t>
  </si>
  <si>
    <t>ГРСИ</t>
  </si>
  <si>
    <t>Срок ГРСИ</t>
  </si>
  <si>
    <t>Тип оборуд.
(М, И, Х)</t>
  </si>
  <si>
    <t>Примечение</t>
  </si>
  <si>
    <t>Измеритель артериального давления</t>
  </si>
  <si>
    <t>Omron M2 Basic (HEM-7121-ARU)</t>
  </si>
  <si>
    <t>20130522750LG</t>
  </si>
  <si>
    <t>08102661_3</t>
  </si>
  <si>
    <t>Приемное</t>
  </si>
  <si>
    <t>101</t>
  </si>
  <si>
    <t>Облучатель-рециркулятор</t>
  </si>
  <si>
    <t>КРОНТ ОРУБн-3-5 (ДЕЗАР-5)</t>
  </si>
  <si>
    <t>39108</t>
  </si>
  <si>
    <t>71012400124</t>
  </si>
  <si>
    <t>Ростомер</t>
  </si>
  <si>
    <t>Медтехника ТРПМ-200 Д1</t>
  </si>
  <si>
    <t>204</t>
  </si>
  <si>
    <t>01380273</t>
  </si>
  <si>
    <t>Little Doctor LD-100</t>
  </si>
  <si>
    <t>A201708048 / 000776</t>
  </si>
  <si>
    <t>102</t>
  </si>
  <si>
    <t>20190119401LG</t>
  </si>
  <si>
    <t>BA0000002715</t>
  </si>
  <si>
    <t>КРОНТ ОРУБн-3-3 (ДЕЗАР-3)</t>
  </si>
  <si>
    <t>15134</t>
  </si>
  <si>
    <t>08105132</t>
  </si>
  <si>
    <t>1498</t>
  </si>
  <si>
    <t>2015</t>
  </si>
  <si>
    <t>7240000199</t>
  </si>
  <si>
    <t>104</t>
  </si>
  <si>
    <t>A201708048 / 000908</t>
  </si>
  <si>
    <t>КРОНТ ОРУБн-2-01 (ДЕЗАР-2)</t>
  </si>
  <si>
    <t>36087</t>
  </si>
  <si>
    <t>2010</t>
  </si>
  <si>
    <t>08102853_3</t>
  </si>
  <si>
    <t>ТВЕС РЭП</t>
  </si>
  <si>
    <t>00499</t>
  </si>
  <si>
    <t>2014</t>
  </si>
  <si>
    <t>27403</t>
  </si>
  <si>
    <t>105</t>
  </si>
  <si>
    <t>CS Medica CS-107</t>
  </si>
  <si>
    <t>028290218</t>
  </si>
  <si>
    <t>106</t>
  </si>
  <si>
    <t>A201708048 / 000804</t>
  </si>
  <si>
    <t>15073</t>
  </si>
  <si>
    <t>2013</t>
  </si>
  <si>
    <t>08105134</t>
  </si>
  <si>
    <t>Термометр инфракрасный</t>
  </si>
  <si>
    <t>SENSITEC NF-3101</t>
  </si>
  <si>
    <t>08107640</t>
  </si>
  <si>
    <t>ТВЕС ВМЭН-150-50/100-Д1-А</t>
  </si>
  <si>
    <t>00199</t>
  </si>
  <si>
    <t>2019</t>
  </si>
  <si>
    <t>21012400323</t>
  </si>
  <si>
    <t>109</t>
  </si>
  <si>
    <t>Omron M3 Expert (HEM-7132-ALRU)</t>
  </si>
  <si>
    <t>20160500897LG</t>
  </si>
  <si>
    <t>7240000606</t>
  </si>
  <si>
    <t>ОрБН-2х15-01 "КАМА"</t>
  </si>
  <si>
    <t>08102433_2</t>
  </si>
  <si>
    <t>121201107</t>
  </si>
  <si>
    <t>08105523</t>
  </si>
  <si>
    <t>Аппарат электрохирургический высокочастотный</t>
  </si>
  <si>
    <t>ФОТЕК ЭХВЧа-140-02</t>
  </si>
  <si>
    <t>09192</t>
  </si>
  <si>
    <t>2009</t>
  </si>
  <si>
    <t>08102630_2</t>
  </si>
  <si>
    <t>Гинекология</t>
  </si>
  <si>
    <t>Блок управления</t>
  </si>
  <si>
    <t>ECLERIS TOPMED</t>
  </si>
  <si>
    <t>MC410C13R0020180009</t>
  </si>
  <si>
    <t>04.2018</t>
  </si>
  <si>
    <t>41012400126</t>
  </si>
  <si>
    <t>Видеокольпоскоп цифровой</t>
  </si>
  <si>
    <t>SENSITEC SLC-2000</t>
  </si>
  <si>
    <t>J440AIT-018</t>
  </si>
  <si>
    <t>2008</t>
  </si>
  <si>
    <t>Камера УФ-бактерицидная</t>
  </si>
  <si>
    <t>Ферропласт Медикал КБ-"Я"-ФП</t>
  </si>
  <si>
    <t>27209</t>
  </si>
  <si>
    <t>08102728_2</t>
  </si>
  <si>
    <t>Кольпоскоп</t>
  </si>
  <si>
    <t>TOPMED Colposcope HD</t>
  </si>
  <si>
    <t>C100FHD1C13R0020180009</t>
  </si>
  <si>
    <t>26</t>
  </si>
  <si>
    <t>08103946</t>
  </si>
  <si>
    <t>Лампа медицинская</t>
  </si>
  <si>
    <t>KaWe MasterLight</t>
  </si>
  <si>
    <t>0480055</t>
  </si>
  <si>
    <t>Списан</t>
  </si>
  <si>
    <t>СПДС-60-Р</t>
  </si>
  <si>
    <t>113065</t>
  </si>
  <si>
    <t>08102992_2</t>
  </si>
  <si>
    <t>113026</t>
  </si>
  <si>
    <t>08102993</t>
  </si>
  <si>
    <t>Сканер диагностический</t>
  </si>
  <si>
    <t>TruScreen CSB-112</t>
  </si>
  <si>
    <t>C8683</t>
  </si>
  <si>
    <t>09.06.2011</t>
  </si>
  <si>
    <t>08104085</t>
  </si>
  <si>
    <t>14571</t>
  </si>
  <si>
    <t>04700205</t>
  </si>
  <si>
    <t>Коридор</t>
  </si>
  <si>
    <t>45072</t>
  </si>
  <si>
    <t>7101240122</t>
  </si>
  <si>
    <t>Регистратура</t>
  </si>
  <si>
    <t>41915</t>
  </si>
  <si>
    <t>7101240121</t>
  </si>
  <si>
    <t>Холл</t>
  </si>
  <si>
    <t>46062</t>
  </si>
  <si>
    <t>2018</t>
  </si>
  <si>
    <t>71012400123</t>
  </si>
  <si>
    <t>Холл 104</t>
  </si>
  <si>
    <t>A201708048 / 000943</t>
  </si>
  <si>
    <t>15005</t>
  </si>
  <si>
    <t>08105133</t>
  </si>
  <si>
    <t>X-RAY CONTROL</t>
  </si>
  <si>
    <t>01370112</t>
  </si>
  <si>
    <t>Рентген</t>
  </si>
  <si>
    <t>Маммография</t>
  </si>
  <si>
    <t>X-RAY TUBE</t>
  </si>
  <si>
    <t>921154</t>
  </si>
  <si>
    <t>X-RAY TUBE HOUSING</t>
  </si>
  <si>
    <t>39220</t>
  </si>
  <si>
    <t>Маммограф</t>
  </si>
  <si>
    <t>Phillips Mammo Diagnost UC</t>
  </si>
  <si>
    <t>0216998\89</t>
  </si>
  <si>
    <t>Негатоскоп</t>
  </si>
  <si>
    <t>04700208</t>
  </si>
  <si>
    <t>08105174</t>
  </si>
  <si>
    <t>Injector head</t>
  </si>
  <si>
    <t>NEMOTO DUAL SHOT alpha</t>
  </si>
  <si>
    <t>HCB00137</t>
  </si>
  <si>
    <t>07.2011</t>
  </si>
  <si>
    <t>08104476</t>
  </si>
  <si>
    <t>МСКТ</t>
  </si>
  <si>
    <t>Генератор</t>
  </si>
  <si>
    <t>Jedi 60 DC</t>
  </si>
  <si>
    <t>150246WG7</t>
  </si>
  <si>
    <t>04.2012</t>
  </si>
  <si>
    <t>Концентратор кислородный</t>
  </si>
  <si>
    <t>0256936</t>
  </si>
  <si>
    <t>71012400010</t>
  </si>
  <si>
    <t>СПДС-90-Р</t>
  </si>
  <si>
    <t>113672</t>
  </si>
  <si>
    <t>2012</t>
  </si>
  <si>
    <t>08105202</t>
  </si>
  <si>
    <t>Стол пациента</t>
  </si>
  <si>
    <t>GE BRIGHTSPEED Elite</t>
  </si>
  <si>
    <t>298392HM2</t>
  </si>
  <si>
    <t>23.08.2012</t>
  </si>
  <si>
    <t>Томограф рентгеновский 16-срезовый</t>
  </si>
  <si>
    <t>RU7576CT01</t>
  </si>
  <si>
    <t>Mobile-1000 II</t>
  </si>
  <si>
    <t>062200445</t>
  </si>
  <si>
    <t>04700191</t>
  </si>
  <si>
    <t>Остеоденситометр</t>
  </si>
  <si>
    <t>DMS STRATOS</t>
  </si>
  <si>
    <t>J12 016D 160</t>
  </si>
  <si>
    <t>08104485</t>
  </si>
  <si>
    <t>Остеоденситом</t>
  </si>
  <si>
    <t>Seca 769</t>
  </si>
  <si>
    <t>5769237121975</t>
  </si>
  <si>
    <t>08105056</t>
  </si>
  <si>
    <t>DUAL SHOT aplha console</t>
  </si>
  <si>
    <t>Пультовая МСКТ</t>
  </si>
  <si>
    <t>Hand Switch</t>
  </si>
  <si>
    <t>L 12-0191</t>
  </si>
  <si>
    <t>Консоль оператора</t>
  </si>
  <si>
    <t>298192HM6</t>
  </si>
  <si>
    <t>1330050</t>
  </si>
  <si>
    <t>173.03740</t>
  </si>
  <si>
    <t>Embedded Security for</t>
  </si>
  <si>
    <t>AGR074-01 Family</t>
  </si>
  <si>
    <t>018930</t>
  </si>
  <si>
    <t>4240000021</t>
  </si>
  <si>
    <t>Пультовая рентг</t>
  </si>
  <si>
    <t>Дозиметр рентгеновского излучения</t>
  </si>
  <si>
    <t>Diamentor M4-KDK</t>
  </si>
  <si>
    <t>001512</t>
  </si>
  <si>
    <t>08.2016</t>
  </si>
  <si>
    <t>FUJIFILM DRYPIX 2000</t>
  </si>
  <si>
    <t>86423284</t>
  </si>
  <si>
    <t>REMOTE CONTROL RF SYSTEM ZEXIRA</t>
  </si>
  <si>
    <t>TOSHIBA DREX-ZX80</t>
  </si>
  <si>
    <t>E6A1792013</t>
  </si>
  <si>
    <t>09.2017</t>
  </si>
  <si>
    <t>Машина проявочная</t>
  </si>
  <si>
    <t>Минимед-1</t>
  </si>
  <si>
    <t>04700122</t>
  </si>
  <si>
    <t>МСК-5907.02</t>
  </si>
  <si>
    <t>08104899</t>
  </si>
  <si>
    <t>МСК-5907.04</t>
  </si>
  <si>
    <t>08104777</t>
  </si>
  <si>
    <t>КРОНТ ОРУБп-3-3 (ДЕЗАР-4)</t>
  </si>
  <si>
    <t>5305</t>
  </si>
  <si>
    <t>08105179</t>
  </si>
  <si>
    <t>Рентген аппарат передвижной</t>
  </si>
  <si>
    <t>РЕНТГЕНПРОМ 10Л6-01</t>
  </si>
  <si>
    <t>258</t>
  </si>
  <si>
    <t>06.2012</t>
  </si>
  <si>
    <t>04700255</t>
  </si>
  <si>
    <t>Sony UP-DF550</t>
  </si>
  <si>
    <t>840146</t>
  </si>
  <si>
    <t>08.2017</t>
  </si>
  <si>
    <t>Система для рентгенографии</t>
  </si>
  <si>
    <t>Zexira (DREX-ZX80)</t>
  </si>
  <si>
    <t>DREX-ZX80T6A1792013</t>
  </si>
  <si>
    <t>08106411</t>
  </si>
  <si>
    <t>Трубка рентгеновская</t>
  </si>
  <si>
    <t>VARIAN EMERALD 130</t>
  </si>
  <si>
    <t>2021</t>
  </si>
  <si>
    <t>Установка телеуправляемая рентгенодиагностическая</t>
  </si>
  <si>
    <t>ITALRAY СLINODIGIT (PIXEL HF 650)</t>
  </si>
  <si>
    <t>17-515-04</t>
  </si>
  <si>
    <t>8004</t>
  </si>
  <si>
    <t>08105186</t>
  </si>
  <si>
    <t>Рентген коридор</t>
  </si>
  <si>
    <t>2007</t>
  </si>
  <si>
    <t>Аппарат цифровой радиографии</t>
  </si>
  <si>
    <t>FUJIFILM CR-IR 357</t>
  </si>
  <si>
    <t>96325600</t>
  </si>
  <si>
    <t>03.2009</t>
  </si>
  <si>
    <t>08102610_2</t>
  </si>
  <si>
    <t>ФотоЛаб</t>
  </si>
  <si>
    <t>Проявочная машина</t>
  </si>
  <si>
    <t>МТЛ МиниМед-МТ/4</t>
  </si>
  <si>
    <t>ММ4-178-07</t>
  </si>
  <si>
    <t>01.2007</t>
  </si>
  <si>
    <t>04700203</t>
  </si>
  <si>
    <t>GE C1-5-D</t>
  </si>
  <si>
    <t>99811YP2</t>
  </si>
  <si>
    <t>08.2012</t>
  </si>
  <si>
    <t>08104454</t>
  </si>
  <si>
    <t>ФД</t>
  </si>
  <si>
    <t>113, УЗИ</t>
  </si>
  <si>
    <t>GE 9L-D</t>
  </si>
  <si>
    <t>156043WP2</t>
  </si>
  <si>
    <t>06.2014</t>
  </si>
  <si>
    <t>GE ML6-15-D</t>
  </si>
  <si>
    <t>100158YP5</t>
  </si>
  <si>
    <t>09.2012</t>
  </si>
  <si>
    <t>2360000215</t>
  </si>
  <si>
    <t>GE IC5-9-D</t>
  </si>
  <si>
    <t>250267WX2</t>
  </si>
  <si>
    <t>GE M5S-D</t>
  </si>
  <si>
    <t>BD-120071</t>
  </si>
  <si>
    <t>24.08.2012</t>
  </si>
  <si>
    <t>Aloka UST-944B-3.5</t>
  </si>
  <si>
    <t>1A4425</t>
  </si>
  <si>
    <t>33465</t>
  </si>
  <si>
    <t>08103008</t>
  </si>
  <si>
    <t>GE LOGIQ E9</t>
  </si>
  <si>
    <t>113115US</t>
  </si>
  <si>
    <t>TOSHIBA PVT-375BT</t>
  </si>
  <si>
    <t>TDA0932374</t>
  </si>
  <si>
    <t>08102838_3</t>
  </si>
  <si>
    <t>114, УЗИ</t>
  </si>
  <si>
    <t>TOSHIBA PVT-661VT</t>
  </si>
  <si>
    <t>99B0934301</t>
  </si>
  <si>
    <t>TOSHIBA PLT-805AT</t>
  </si>
  <si>
    <t>99A0935067</t>
  </si>
  <si>
    <t>TOSHIBA PST-30BT</t>
  </si>
  <si>
    <t>99A0882090</t>
  </si>
  <si>
    <t>08.2008</t>
  </si>
  <si>
    <t>Модуль постоянно-волнового допплера</t>
  </si>
  <si>
    <t>TOSHIBA UICW-660A</t>
  </si>
  <si>
    <t>99C0936358</t>
  </si>
  <si>
    <t>113048</t>
  </si>
  <si>
    <t>2011</t>
  </si>
  <si>
    <t>08103007</t>
  </si>
  <si>
    <t>99С0936358</t>
  </si>
  <si>
    <t>TOSHIBA SSA-680A</t>
  </si>
  <si>
    <t>99D0943008</t>
  </si>
  <si>
    <t>04.2009</t>
  </si>
  <si>
    <t>Аппарат для спирометрии и пульсоксиметрии</t>
  </si>
  <si>
    <t>Spirolab II</t>
  </si>
  <si>
    <t>A23-050.5915</t>
  </si>
  <si>
    <t>04800224</t>
  </si>
  <si>
    <t>116, ЭКГ</t>
  </si>
  <si>
    <t>Spirolab III colour</t>
  </si>
  <si>
    <t>SN A23-053 / 10414</t>
  </si>
  <si>
    <t>2020</t>
  </si>
  <si>
    <t>08106161</t>
  </si>
  <si>
    <t>20180118931LG</t>
  </si>
  <si>
    <t>Комплекс аппаратно-программный носимый ЭКГ</t>
  </si>
  <si>
    <t>Кардиотехника-04-3Р</t>
  </si>
  <si>
    <t>08102108_2</t>
  </si>
  <si>
    <t>08102811_2</t>
  </si>
  <si>
    <t>08102891_3</t>
  </si>
  <si>
    <t>08102937_2</t>
  </si>
  <si>
    <t>Кардиотехника-04-8</t>
  </si>
  <si>
    <t>Комплекс аппаратно-программный носимый ЭКГ и АД</t>
  </si>
  <si>
    <t>Кардиотехника-04-АД-1</t>
  </si>
  <si>
    <t>08102106_2</t>
  </si>
  <si>
    <t>08102107_2</t>
  </si>
  <si>
    <t>08102109_2</t>
  </si>
  <si>
    <t>Комплекс суточного мониторирования АД</t>
  </si>
  <si>
    <t>БиПиЛАБ К (BPLab)</t>
  </si>
  <si>
    <t>13100181 / 13100182</t>
  </si>
  <si>
    <t>41012400123</t>
  </si>
  <si>
    <t>13100182</t>
  </si>
  <si>
    <t>113058</t>
  </si>
  <si>
    <t>08102892</t>
  </si>
  <si>
    <t>Регистратор АД</t>
  </si>
  <si>
    <t>BR-102 Plus</t>
  </si>
  <si>
    <t>290.08017</t>
  </si>
  <si>
    <t>290.08018</t>
  </si>
  <si>
    <t>08102938_2</t>
  </si>
  <si>
    <t>290.08021</t>
  </si>
  <si>
    <t>08102939_2</t>
  </si>
  <si>
    <t>Электрокардиограф</t>
  </si>
  <si>
    <t>03750</t>
  </si>
  <si>
    <t>2003</t>
  </si>
  <si>
    <t>04700047</t>
  </si>
  <si>
    <t>04700330</t>
  </si>
  <si>
    <t>SCHILLER AT-102</t>
  </si>
  <si>
    <t>070.15735</t>
  </si>
  <si>
    <t>24.09.2018</t>
  </si>
  <si>
    <t>41012400129</t>
  </si>
  <si>
    <t>SCHILLER АТ-10 Plus</t>
  </si>
  <si>
    <t>08104248</t>
  </si>
  <si>
    <t>SCHILLER AT-10 Plus</t>
  </si>
  <si>
    <t>173. 04844</t>
  </si>
  <si>
    <t>Кардиотехника-04</t>
  </si>
  <si>
    <t>08104247</t>
  </si>
  <si>
    <t>120, Орд ФД</t>
  </si>
  <si>
    <t>08104457</t>
  </si>
  <si>
    <t>БиПиЛАБ</t>
  </si>
  <si>
    <t>113019</t>
  </si>
  <si>
    <t>08103010_2</t>
  </si>
  <si>
    <t>Аппарат для ультразвуковой очистки</t>
  </si>
  <si>
    <t>OLYMPUS ENDOSONIC</t>
  </si>
  <si>
    <t>29 03092</t>
  </si>
  <si>
    <t>Эндоскопия</t>
  </si>
  <si>
    <t>118, Эндоскопия</t>
  </si>
  <si>
    <t>Draeger Fabius</t>
  </si>
  <si>
    <t>01370314</t>
  </si>
  <si>
    <t>Аппарат электрохирургический</t>
  </si>
  <si>
    <t>OLYMPUS PSD-30</t>
  </si>
  <si>
    <t>7853859</t>
  </si>
  <si>
    <t>Аспиратор</t>
  </si>
  <si>
    <t>OLYMPUS KV-5</t>
  </si>
  <si>
    <t>Бронхофиброскоп</t>
  </si>
  <si>
    <t>OLYMPUS BF-TE2</t>
  </si>
  <si>
    <t>Видеобронхоскоп</t>
  </si>
  <si>
    <t>OLYMPUS BF-P180</t>
  </si>
  <si>
    <t>OLYMPUS CF-Q180AL/I</t>
  </si>
  <si>
    <t>OLYMPUS CH-H180AL/I</t>
  </si>
  <si>
    <t>OLYMPUS GIF-2T160</t>
  </si>
  <si>
    <t>OLYMPUS GIF-H180</t>
  </si>
  <si>
    <t>OLYMPUS GIF-H180J</t>
  </si>
  <si>
    <t>OLYMPUS GIF-Q150</t>
  </si>
  <si>
    <t>OLYMPUS GIF-Q180</t>
  </si>
  <si>
    <t>Гастрофиброскоп</t>
  </si>
  <si>
    <t>OLYMPUS GIF-E3</t>
  </si>
  <si>
    <t>Дефибрилятор</t>
  </si>
  <si>
    <t>80978</t>
  </si>
  <si>
    <t>04700055</t>
  </si>
  <si>
    <t>ЖК-Монитор</t>
  </si>
  <si>
    <t>Aloka IPC-1710</t>
  </si>
  <si>
    <t>M01452</t>
  </si>
  <si>
    <t>Synergy SC-WU24-A1511</t>
  </si>
  <si>
    <t>12-196626</t>
  </si>
  <si>
    <t>Apexmed</t>
  </si>
  <si>
    <t>101162</t>
  </si>
  <si>
    <t>Источник света ксеноновый</t>
  </si>
  <si>
    <t>7808979</t>
  </si>
  <si>
    <t>08108442</t>
  </si>
  <si>
    <t>27678</t>
  </si>
  <si>
    <t>08102727</t>
  </si>
  <si>
    <t>Кресло медицинское универсальное</t>
  </si>
  <si>
    <t>TAKANO Conver-MT</t>
  </si>
  <si>
    <t>08104972</t>
  </si>
  <si>
    <t>14116</t>
  </si>
  <si>
    <t>08______ (№3)</t>
  </si>
  <si>
    <t>14370</t>
  </si>
  <si>
    <t>08102802</t>
  </si>
  <si>
    <t>113045</t>
  </si>
  <si>
    <t>OLYMPUS SSU-2</t>
  </si>
  <si>
    <t>28 09333</t>
  </si>
  <si>
    <t>Стойка эндоскопическая</t>
  </si>
  <si>
    <t>OLYMPUS WM-NP1</t>
  </si>
  <si>
    <t>29 15681</t>
  </si>
  <si>
    <t>08102787</t>
  </si>
  <si>
    <t>OLYMPUS CV-180</t>
  </si>
  <si>
    <t>7783619</t>
  </si>
  <si>
    <t>08102778</t>
  </si>
  <si>
    <t>OLYMPUS OKR-OER-AW</t>
  </si>
  <si>
    <t>119, ФГДС</t>
  </si>
  <si>
    <t>Ацидогастрометр</t>
  </si>
  <si>
    <t>ГастроСкан-5М АГМ-05К</t>
  </si>
  <si>
    <t>2070501</t>
  </si>
  <si>
    <t>08104206</t>
  </si>
  <si>
    <t>Видеомонитор</t>
  </si>
  <si>
    <t>OLYMPUS OEV-191H</t>
  </si>
  <si>
    <t>7925028</t>
  </si>
  <si>
    <t>07.2008</t>
  </si>
  <si>
    <t>Видеорекордер медицинский</t>
  </si>
  <si>
    <t>MediCapture MediCap USB300</t>
  </si>
  <si>
    <t>3112230</t>
  </si>
  <si>
    <t>Видеоцентр эндоскопический</t>
  </si>
  <si>
    <t>OLYMPUS EVIS EXERA II CV-180</t>
  </si>
  <si>
    <t>7204883</t>
  </si>
  <si>
    <t>08104620</t>
  </si>
  <si>
    <t>Гастроэнтеромонитор</t>
  </si>
  <si>
    <t>1110902</t>
  </si>
  <si>
    <t>Инсуффлятор углекислого газа</t>
  </si>
  <si>
    <t>OLYMPUS UCR</t>
  </si>
  <si>
    <t>7226265</t>
  </si>
  <si>
    <t>OLYMPUS EVIS EXERA II CLV-180</t>
  </si>
  <si>
    <t>7213792</t>
  </si>
  <si>
    <t>08103077_2</t>
  </si>
  <si>
    <t>КРОНТ ОРУБ-01 (ДЕЗАР-8)</t>
  </si>
  <si>
    <t>18615</t>
  </si>
  <si>
    <t>04800604</t>
  </si>
  <si>
    <t>19572</t>
  </si>
  <si>
    <t>08101404</t>
  </si>
  <si>
    <t>26 19616</t>
  </si>
  <si>
    <t>04700348</t>
  </si>
  <si>
    <t>Стол</t>
  </si>
  <si>
    <t>500-J6106</t>
  </si>
  <si>
    <t>03100799</t>
  </si>
  <si>
    <t>Электрогенератор хирургический</t>
  </si>
  <si>
    <t>ConMed SYSTEM 5000</t>
  </si>
  <si>
    <t>12FGP053</t>
  </si>
  <si>
    <t>08104618</t>
  </si>
  <si>
    <t>0070</t>
  </si>
  <si>
    <t>РАО</t>
  </si>
  <si>
    <t>118</t>
  </si>
  <si>
    <t>Монитор прикроватный</t>
  </si>
  <si>
    <t>Nihon Kohden BSM-2301K</t>
  </si>
  <si>
    <t>21957</t>
  </si>
  <si>
    <t>04700276</t>
  </si>
  <si>
    <t>58</t>
  </si>
  <si>
    <t>08103003</t>
  </si>
  <si>
    <t>221, Сан. Пропуск</t>
  </si>
  <si>
    <t>Размораживатель плазмы</t>
  </si>
  <si>
    <t>Биофизическая аппаратура РП 4-02-"БФА"</t>
  </si>
  <si>
    <t>469</t>
  </si>
  <si>
    <t>08105983</t>
  </si>
  <si>
    <t>Масса-К МК-32.2-А21</t>
  </si>
  <si>
    <t>154535</t>
  </si>
  <si>
    <t>08105905</t>
  </si>
  <si>
    <t>Дез. Обработка</t>
  </si>
  <si>
    <t>Nihon Kohden TEC-7721К</t>
  </si>
  <si>
    <t>Колоноскопия</t>
  </si>
  <si>
    <t>Аквадистилятор</t>
  </si>
  <si>
    <t>ТЗМОИ АЭ-10 МО</t>
  </si>
  <si>
    <t>830</t>
  </si>
  <si>
    <t>2006</t>
  </si>
  <si>
    <t>04700014</t>
  </si>
  <si>
    <t>Коридор РАО</t>
  </si>
  <si>
    <t>A&amp;D HL-3000WP</t>
  </si>
  <si>
    <t>P8915305</t>
  </si>
  <si>
    <t>7340000239</t>
  </si>
  <si>
    <t>P8915301</t>
  </si>
  <si>
    <t>7340000240</t>
  </si>
  <si>
    <t>A&amp;D SK-2000</t>
  </si>
  <si>
    <t>01370063</t>
  </si>
  <si>
    <t>Nihon Kohden AED-2100K</t>
  </si>
  <si>
    <t>08106106</t>
  </si>
  <si>
    <t>2360000204</t>
  </si>
  <si>
    <t>Массажер</t>
  </si>
  <si>
    <t>A&amp;D МН-103</t>
  </si>
  <si>
    <t>E 1604004609</t>
  </si>
  <si>
    <t>7240000725</t>
  </si>
  <si>
    <t>Насос инфузионный</t>
  </si>
  <si>
    <t>Aitecs SEP-21S Plus</t>
  </si>
  <si>
    <t>21A110207</t>
  </si>
  <si>
    <t>08103945</t>
  </si>
  <si>
    <t>Aitecs DF-12</t>
  </si>
  <si>
    <t>MP1AKH314</t>
  </si>
  <si>
    <t>02.09.2010</t>
  </si>
  <si>
    <t>08104234</t>
  </si>
  <si>
    <t>08102998</t>
  </si>
  <si>
    <t>Заменен</t>
  </si>
  <si>
    <t>Плазмаэкстрактор</t>
  </si>
  <si>
    <t>Гиперион НОСТАЛЬГИЯ</t>
  </si>
  <si>
    <t>1780</t>
  </si>
  <si>
    <t>71012400261</t>
  </si>
  <si>
    <t>Плазмоэкстрактор</t>
  </si>
  <si>
    <t>Гиперион ГЕМОПРЕСС</t>
  </si>
  <si>
    <t>031</t>
  </si>
  <si>
    <t>71012400262</t>
  </si>
  <si>
    <t>Стерилизатор воздушный</t>
  </si>
  <si>
    <t>СКТБ СПУ ГП-80</t>
  </si>
  <si>
    <t>41398</t>
  </si>
  <si>
    <t>08103944,
7360000331</t>
  </si>
  <si>
    <t>Центрифуга</t>
  </si>
  <si>
    <t>Andreas Hettich EBA 200</t>
  </si>
  <si>
    <t>0005655-01</t>
  </si>
  <si>
    <t>7240000169</t>
  </si>
  <si>
    <t>Электрокардиостимулятор</t>
  </si>
  <si>
    <t>Вектор-МС ЧЭЭКСп-3</t>
  </si>
  <si>
    <t>087</t>
  </si>
  <si>
    <t>06.2013</t>
  </si>
  <si>
    <t>08106043</t>
  </si>
  <si>
    <t>Аппарат наркозно-дыхательный</t>
  </si>
  <si>
    <t>Acoma Vigor 21</t>
  </si>
  <si>
    <t>Draeger Fabius Plus</t>
  </si>
  <si>
    <t>Операционная</t>
  </si>
  <si>
    <t>Монитор пациента</t>
  </si>
  <si>
    <t>0105</t>
  </si>
  <si>
    <t>7240000157</t>
  </si>
  <si>
    <t>URYL-0019</t>
  </si>
  <si>
    <t>08102704</t>
  </si>
  <si>
    <t>URYL-0003</t>
  </si>
  <si>
    <t>08102705</t>
  </si>
  <si>
    <t>59</t>
  </si>
  <si>
    <t>USHD-0093</t>
  </si>
  <si>
    <t>7240000154</t>
  </si>
  <si>
    <t>Видеоларингоскоп</t>
  </si>
  <si>
    <t>RX 3545</t>
  </si>
  <si>
    <t>08104896</t>
  </si>
  <si>
    <t>85468</t>
  </si>
  <si>
    <t>08104790</t>
  </si>
  <si>
    <t>Испаритель анестетиков</t>
  </si>
  <si>
    <t>Draeger Vapor 2000</t>
  </si>
  <si>
    <t>ASBL-1105</t>
  </si>
  <si>
    <t>08105191</t>
  </si>
  <si>
    <t>ASCL-0884</t>
  </si>
  <si>
    <t>ASHH-0626</t>
  </si>
  <si>
    <t>7240000155</t>
  </si>
  <si>
    <t>Компрессор для матрацов</t>
  </si>
  <si>
    <t>ЭлитМаксима ТермоЭлит MCI 2N</t>
  </si>
  <si>
    <t>190341</t>
  </si>
  <si>
    <t>08102670</t>
  </si>
  <si>
    <t>08102671</t>
  </si>
  <si>
    <t>08102672</t>
  </si>
  <si>
    <t>Draeger Vamos</t>
  </si>
  <si>
    <t>ASDL-0097</t>
  </si>
  <si>
    <t>08105190</t>
  </si>
  <si>
    <t>30336</t>
  </si>
  <si>
    <t>08103081</t>
  </si>
  <si>
    <t>13284</t>
  </si>
  <si>
    <t>2005</t>
  </si>
  <si>
    <t>04700192</t>
  </si>
  <si>
    <t>21A110208</t>
  </si>
  <si>
    <t>08103943</t>
  </si>
  <si>
    <t>21A120252</t>
  </si>
  <si>
    <t>08104599</t>
  </si>
  <si>
    <t>Medist MEVACS M46</t>
  </si>
  <si>
    <t>1314168.1</t>
  </si>
  <si>
    <t>2360000382</t>
  </si>
  <si>
    <t>1314166.1</t>
  </si>
  <si>
    <t>2360000383</t>
  </si>
  <si>
    <t>Система мониторинга глубины наркоза и седации</t>
  </si>
  <si>
    <t>Covidien BIS VISTA</t>
  </si>
  <si>
    <t>08103942</t>
  </si>
  <si>
    <t>Аппарат ИВЛ</t>
  </si>
  <si>
    <t>7584</t>
  </si>
  <si>
    <t>04700281</t>
  </si>
  <si>
    <t>Палата РАО 1</t>
  </si>
  <si>
    <t>13631</t>
  </si>
  <si>
    <t>08104792</t>
  </si>
  <si>
    <t>0240241</t>
  </si>
  <si>
    <t>224000077</t>
  </si>
  <si>
    <t>Кровать</t>
  </si>
  <si>
    <t>Futura PLUS</t>
  </si>
  <si>
    <t>111216-96282</t>
  </si>
  <si>
    <t>16.12.2011</t>
  </si>
  <si>
    <t>08103097</t>
  </si>
  <si>
    <t>120831-103901</t>
  </si>
  <si>
    <t>31.08.2012</t>
  </si>
  <si>
    <t>08104227</t>
  </si>
  <si>
    <t>04700162</t>
  </si>
  <si>
    <t>30324</t>
  </si>
  <si>
    <t>08103079</t>
  </si>
  <si>
    <t>46677</t>
  </si>
  <si>
    <t>71012400063</t>
  </si>
  <si>
    <t>Medist MEVACS M38</t>
  </si>
  <si>
    <t>121310.41</t>
  </si>
  <si>
    <t>08106044</t>
  </si>
  <si>
    <t>1213129.1</t>
  </si>
  <si>
    <t>08106045</t>
  </si>
  <si>
    <t>Thermo Electron Multifuge 4 KR</t>
  </si>
  <si>
    <t>41147550</t>
  </si>
  <si>
    <t>08102850</t>
  </si>
  <si>
    <t>SCHILLER AT-101</t>
  </si>
  <si>
    <t>080.24108</t>
  </si>
  <si>
    <t>08106042</t>
  </si>
  <si>
    <t>Hamilton Galileo</t>
  </si>
  <si>
    <t>7840</t>
  </si>
  <si>
    <t>04700180</t>
  </si>
  <si>
    <t>Палата РАО 2</t>
  </si>
  <si>
    <t>13334</t>
  </si>
  <si>
    <t>08103087</t>
  </si>
  <si>
    <t>13766</t>
  </si>
  <si>
    <t>08104791</t>
  </si>
  <si>
    <t>Аспиратор вакуумный</t>
  </si>
  <si>
    <t>Medela Basic 30</t>
  </si>
  <si>
    <t>1111255</t>
  </si>
  <si>
    <t>04700001</t>
  </si>
  <si>
    <t>Nihon Kohden TEC-5521K</t>
  </si>
  <si>
    <t>85457</t>
  </si>
  <si>
    <t>08104789</t>
  </si>
  <si>
    <t>54938</t>
  </si>
  <si>
    <t>21012400269</t>
  </si>
  <si>
    <t>Ферропласт Медикал КБ-02-"Я"-ФП</t>
  </si>
  <si>
    <t>40851</t>
  </si>
  <si>
    <t>2016</t>
  </si>
  <si>
    <t>Merivaara Futura PLUS</t>
  </si>
  <si>
    <t>120831-103904</t>
  </si>
  <si>
    <t>08104219</t>
  </si>
  <si>
    <t>120831-103906</t>
  </si>
  <si>
    <t>08104221</t>
  </si>
  <si>
    <t>120831-103905</t>
  </si>
  <si>
    <t>08104224</t>
  </si>
  <si>
    <t>120831-103909</t>
  </si>
  <si>
    <t>08104228</t>
  </si>
  <si>
    <t>08102669</t>
  </si>
  <si>
    <t>13283</t>
  </si>
  <si>
    <t>04700200</t>
  </si>
  <si>
    <t>13270</t>
  </si>
  <si>
    <t>08102710</t>
  </si>
  <si>
    <t>Nihon Kohden BSM-3763K</t>
  </si>
  <si>
    <t>01908</t>
  </si>
  <si>
    <t>2360000540</t>
  </si>
  <si>
    <t>2360000539</t>
  </si>
  <si>
    <t>Насос для энтерального питания</t>
  </si>
  <si>
    <t>Covidien Kangaroo</t>
  </si>
  <si>
    <t>C0829105</t>
  </si>
  <si>
    <t>09.2008</t>
  </si>
  <si>
    <t>08103083</t>
  </si>
  <si>
    <t>C0829087</t>
  </si>
  <si>
    <t>08103084_2</t>
  </si>
  <si>
    <t>10Y3387</t>
  </si>
  <si>
    <t>01370062</t>
  </si>
  <si>
    <t>18023</t>
  </si>
  <si>
    <t>08102677</t>
  </si>
  <si>
    <t>Вилтехмеда Aitecs SEP-10S Plus</t>
  </si>
  <si>
    <t>178507</t>
  </si>
  <si>
    <t>04700278</t>
  </si>
  <si>
    <t>Вилтехмеда Aitecs SEP-21S Plus</t>
  </si>
  <si>
    <t>21A100227</t>
  </si>
  <si>
    <t>08104233</t>
  </si>
  <si>
    <t>21A120253</t>
  </si>
  <si>
    <t>08104600</t>
  </si>
  <si>
    <t>б/н</t>
  </si>
  <si>
    <t>08104844</t>
  </si>
  <si>
    <t>Принтер портативный</t>
  </si>
  <si>
    <t>Abbott i-STAT Printer PR-300</t>
  </si>
  <si>
    <t>1707776</t>
  </si>
  <si>
    <t>21012400188</t>
  </si>
  <si>
    <t>57</t>
  </si>
  <si>
    <t>Эксперсс-анализатор</t>
  </si>
  <si>
    <t>400037</t>
  </si>
  <si>
    <t>02.2018</t>
  </si>
  <si>
    <t>Аппарат для мембранного лечебного и донорского плазмафереза</t>
  </si>
  <si>
    <t>ТРЕКПОР ТЕХНОЛОДЖИ АМПлд-«ТТ»</t>
  </si>
  <si>
    <t>00938</t>
  </si>
  <si>
    <t>08102900_3</t>
  </si>
  <si>
    <t>ПИТ</t>
  </si>
  <si>
    <t>Каталка медицинская</t>
  </si>
  <si>
    <t>Merivaara Емеrgo 6380</t>
  </si>
  <si>
    <t>111216-96271</t>
  </si>
  <si>
    <t>08104158</t>
  </si>
  <si>
    <t>18582</t>
  </si>
  <si>
    <t>04700164</t>
  </si>
  <si>
    <t>30332</t>
  </si>
  <si>
    <t>08103078</t>
  </si>
  <si>
    <t>08929105</t>
  </si>
  <si>
    <t>08103083_2</t>
  </si>
  <si>
    <t>SENSITEC WZ-50С6Т</t>
  </si>
  <si>
    <t>090307369</t>
  </si>
  <si>
    <t>08102699_2</t>
  </si>
  <si>
    <t>44405</t>
  </si>
  <si>
    <t>04700264</t>
  </si>
  <si>
    <t>Вилтехмеда DF-12K</t>
  </si>
  <si>
    <t>315</t>
  </si>
  <si>
    <t>08104235</t>
  </si>
  <si>
    <t>Microlife AG BP AG1-20</t>
  </si>
  <si>
    <t>08102674_2</t>
  </si>
  <si>
    <t>08107649</t>
  </si>
  <si>
    <t>08108764</t>
  </si>
  <si>
    <t>Пульсоксиметр</t>
  </si>
  <si>
    <t>Beijing Choice MD300 C1</t>
  </si>
  <si>
    <t>09422201269</t>
  </si>
  <si>
    <t>08102678_2</t>
  </si>
  <si>
    <t>09122201</t>
  </si>
  <si>
    <t>08102679_2</t>
  </si>
  <si>
    <t>Рукоять к ларингоскопу средняя</t>
  </si>
  <si>
    <t>08102914_2</t>
  </si>
  <si>
    <t>SCHILLER MINISCOPE MS-3</t>
  </si>
  <si>
    <t>260.011668</t>
  </si>
  <si>
    <t>04700273</t>
  </si>
  <si>
    <t>44045</t>
  </si>
  <si>
    <t>08104843</t>
  </si>
  <si>
    <t>ПИТ 1</t>
  </si>
  <si>
    <t>20130301609UF</t>
  </si>
  <si>
    <t>2360000203</t>
  </si>
  <si>
    <t>Старшая сестра</t>
  </si>
  <si>
    <t>20130301640UF</t>
  </si>
  <si>
    <t>Вилтехмеда DF-12</t>
  </si>
  <si>
    <t>MP1AHF011</t>
  </si>
  <si>
    <t>12.06.2007</t>
  </si>
  <si>
    <t>04700275</t>
  </si>
  <si>
    <t>Система противопролежневая</t>
  </si>
  <si>
    <t>Rehard Technologies BAS-3000 H</t>
  </si>
  <si>
    <t>13146137</t>
  </si>
  <si>
    <t>20.11.2013</t>
  </si>
  <si>
    <t>2360000229</t>
  </si>
  <si>
    <t>Rehard Technologies BAS-4000 C</t>
  </si>
  <si>
    <t>13087424</t>
  </si>
  <si>
    <t>2360000138</t>
  </si>
  <si>
    <t>13087511</t>
  </si>
  <si>
    <t>2360000139</t>
  </si>
  <si>
    <t>Электростимулятор для анестезии нервных сплетений</t>
  </si>
  <si>
    <t>B. Braun Melsungen AG Stimuplex HNS 12</t>
  </si>
  <si>
    <t>15.0808 / MD1104</t>
  </si>
  <si>
    <t>08103086_2</t>
  </si>
  <si>
    <t>Draeger Fabius CE</t>
  </si>
  <si>
    <t>0032</t>
  </si>
  <si>
    <t>04700005</t>
  </si>
  <si>
    <t>В ЧЛХ</t>
  </si>
  <si>
    <t>0254</t>
  </si>
  <si>
    <t>08103088_2</t>
  </si>
  <si>
    <t>В ЛОР</t>
  </si>
  <si>
    <t>A&amp;D NP-2000S</t>
  </si>
  <si>
    <t>Q94011182</t>
  </si>
  <si>
    <t>2000</t>
  </si>
  <si>
    <t>08102755</t>
  </si>
  <si>
    <t>RX  4491</t>
  </si>
  <si>
    <t>08104897</t>
  </si>
  <si>
    <t>0634</t>
  </si>
  <si>
    <t>08103092_2</t>
  </si>
  <si>
    <t>В Глазной</t>
  </si>
  <si>
    <t>0875</t>
  </si>
  <si>
    <t>081051191</t>
  </si>
  <si>
    <t>39921</t>
  </si>
  <si>
    <t>08105227</t>
  </si>
  <si>
    <t>Списание</t>
  </si>
  <si>
    <t>Ларингоскоп</t>
  </si>
  <si>
    <t>KaWe Macintosh</t>
  </si>
  <si>
    <t>03100646</t>
  </si>
  <si>
    <t>0069</t>
  </si>
  <si>
    <t>08103082_2</t>
  </si>
  <si>
    <t>21959</t>
  </si>
  <si>
    <t>04700277</t>
  </si>
  <si>
    <t>8602</t>
  </si>
  <si>
    <t>04700158</t>
  </si>
  <si>
    <t>04700268</t>
  </si>
  <si>
    <t>20966</t>
  </si>
  <si>
    <t>08103941</t>
  </si>
  <si>
    <t>СТЭЛ-120</t>
  </si>
  <si>
    <t>08102714_2</t>
  </si>
  <si>
    <t>080.08376</t>
  </si>
  <si>
    <t>04700340</t>
  </si>
  <si>
    <t>Блок освещения</t>
  </si>
  <si>
    <t>ЭМА Эмалюкс 80/80</t>
  </si>
  <si>
    <t>259</t>
  </si>
  <si>
    <t>Опер блок</t>
  </si>
  <si>
    <t>Большая опер</t>
  </si>
  <si>
    <t>Светильник операционный</t>
  </si>
  <si>
    <t>ЭМА Эмалюкс (80)</t>
  </si>
  <si>
    <t>POLE-CART</t>
  </si>
  <si>
    <t>UZWT-640A, GM-05700A10Z</t>
  </si>
  <si>
    <t>99A0962216</t>
  </si>
  <si>
    <t>08104621</t>
  </si>
  <si>
    <t>PRINTER SUPPORT KIT</t>
  </si>
  <si>
    <t>UEPS-641A, GM-05700A14E</t>
  </si>
  <si>
    <t>99A0952074, 000074, 000109</t>
  </si>
  <si>
    <t>272</t>
  </si>
  <si>
    <t>TOSHIBA SSA-640A</t>
  </si>
  <si>
    <t>E1A0962160</t>
  </si>
  <si>
    <t>07.2012</t>
  </si>
  <si>
    <t>TOSHIBA PLT-704ST</t>
  </si>
  <si>
    <t>99A0962145</t>
  </si>
  <si>
    <t>06.2009</t>
  </si>
  <si>
    <t>7621148</t>
  </si>
  <si>
    <t>01370489_2</t>
  </si>
  <si>
    <t>ФОТЕК ЭХВЧ-350-01-"ФОТЕК"</t>
  </si>
  <si>
    <t>05014</t>
  </si>
  <si>
    <t>04700077</t>
  </si>
  <si>
    <t>Karl Storz laparomat</t>
  </si>
  <si>
    <t>LG 0519</t>
  </si>
  <si>
    <t>03100165</t>
  </si>
  <si>
    <t>TOSHIBA PVT-375ST</t>
  </si>
  <si>
    <t>J0204161-003</t>
  </si>
  <si>
    <t>TOSHIBA UITC-640A</t>
  </si>
  <si>
    <t>99A0942117</t>
  </si>
  <si>
    <t>J0202139-037</t>
  </si>
  <si>
    <t>Видеокамера эндоскопическая</t>
  </si>
  <si>
    <t>Karl Storz Telecam DX pal</t>
  </si>
  <si>
    <t>IG605900-P</t>
  </si>
  <si>
    <t>01370488</t>
  </si>
  <si>
    <t>OLYMPUS OTV-S5C</t>
  </si>
  <si>
    <t>7775308</t>
  </si>
  <si>
    <t>01370458</t>
  </si>
  <si>
    <t>OLYMPUS OTV-S7V</t>
  </si>
  <si>
    <t>7561414</t>
  </si>
  <si>
    <t>04700053</t>
  </si>
  <si>
    <t>OLYMPUS UHI</t>
  </si>
  <si>
    <t>7500707</t>
  </si>
  <si>
    <t>01370461</t>
  </si>
  <si>
    <t>Karl Storz xenon nova, 20131520</t>
  </si>
  <si>
    <t>LH12809</t>
  </si>
  <si>
    <t>01370489</t>
  </si>
  <si>
    <t>Монитор</t>
  </si>
  <si>
    <t>Sony PVM-20M2MDE</t>
  </si>
  <si>
    <t>2016891</t>
  </si>
  <si>
    <t>09.2003</t>
  </si>
  <si>
    <t>31604</t>
  </si>
  <si>
    <t>08102442а</t>
  </si>
  <si>
    <t>POWER DRIVE</t>
  </si>
  <si>
    <t>Richard Wolf 2304</t>
  </si>
  <si>
    <t>1100156526</t>
  </si>
  <si>
    <t>MS-Westfalia ARES MR R9</t>
  </si>
  <si>
    <t>180/12/00078</t>
  </si>
  <si>
    <t>04700054</t>
  </si>
  <si>
    <t>ФОТЕК АИХ6-01</t>
  </si>
  <si>
    <t>1010-1</t>
  </si>
  <si>
    <t>08106007</t>
  </si>
  <si>
    <t>08522</t>
  </si>
  <si>
    <t>08102426_3</t>
  </si>
  <si>
    <t>08552</t>
  </si>
  <si>
    <t>08102827_2</t>
  </si>
  <si>
    <t>Блок электрохирургический</t>
  </si>
  <si>
    <t>OLYMPUS UES-40</t>
  </si>
  <si>
    <t>7814027</t>
  </si>
  <si>
    <t>7814371</t>
  </si>
  <si>
    <t>08102399</t>
  </si>
  <si>
    <t>OLYMPUS OTV-S7Pro</t>
  </si>
  <si>
    <t>7721020</t>
  </si>
  <si>
    <t>OLYMPUS OTV-SX</t>
  </si>
  <si>
    <t>1601661</t>
  </si>
  <si>
    <t>01370459</t>
  </si>
  <si>
    <t>Видеосистема эндоскопическая</t>
  </si>
  <si>
    <t>Richard Wol f5512 (1 CCD ENDOCAM)</t>
  </si>
  <si>
    <t>1100158250</t>
  </si>
  <si>
    <t>OLYMPUS OTV-S7</t>
  </si>
  <si>
    <t>7291026</t>
  </si>
  <si>
    <t>ЖК-монитор</t>
  </si>
  <si>
    <t>Sony LMD-1950MD</t>
  </si>
  <si>
    <t>07.2007</t>
  </si>
  <si>
    <t>7723397</t>
  </si>
  <si>
    <t>11.2007</t>
  </si>
  <si>
    <t>NDS SC-SX19-A1511</t>
  </si>
  <si>
    <t>12-196337</t>
  </si>
  <si>
    <t>OLYMPUS UHI-3</t>
  </si>
  <si>
    <t>1605950</t>
  </si>
  <si>
    <t>Richard Wolf 5124</t>
  </si>
  <si>
    <t>1100158066</t>
  </si>
  <si>
    <t>OLYMPUS CLV-S40</t>
  </si>
  <si>
    <t>7906565</t>
  </si>
  <si>
    <t>OLYMPUS OTV-S40Pro</t>
  </si>
  <si>
    <t>7924554</t>
  </si>
  <si>
    <t>Элекон-М Панмед-1Б</t>
  </si>
  <si>
    <t>0438-10</t>
  </si>
  <si>
    <t>08102820_2</t>
  </si>
  <si>
    <t>0456-10</t>
  </si>
  <si>
    <t>08102832</t>
  </si>
  <si>
    <t>Коаулятор электрический</t>
  </si>
  <si>
    <t>COVIDIEN ForceTriad</t>
  </si>
  <si>
    <t>T2E29598EX</t>
  </si>
  <si>
    <t>05.2012</t>
  </si>
  <si>
    <t>08104493</t>
  </si>
  <si>
    <t>Насос ирригационный</t>
  </si>
  <si>
    <t>Richard Wolf 2203</t>
  </si>
  <si>
    <t>SN110541</t>
  </si>
  <si>
    <t>08103093,
08103089</t>
  </si>
  <si>
    <t>Медстальконструкция МСК-907.01</t>
  </si>
  <si>
    <t>08103071_2</t>
  </si>
  <si>
    <t>Медстальконструкция МСК-907.03</t>
  </si>
  <si>
    <t>08103072_2</t>
  </si>
  <si>
    <t>Облучатель УФ-бактерицидный</t>
  </si>
  <si>
    <t>ЭМА ОБПе-450</t>
  </si>
  <si>
    <t>08106151</t>
  </si>
  <si>
    <t>08102442</t>
  </si>
  <si>
    <t>Стерилизатор озоновый</t>
  </si>
  <si>
    <t>Орион-Си ОП1-М</t>
  </si>
  <si>
    <t>3365</t>
  </si>
  <si>
    <t>08106010,
04700023</t>
  </si>
  <si>
    <t>1314167.1</t>
  </si>
  <si>
    <t>2360000384</t>
  </si>
  <si>
    <t>1314169.1</t>
  </si>
  <si>
    <t>2360000385</t>
  </si>
  <si>
    <t>Система высокочастотной биполярной абляции</t>
  </si>
  <si>
    <t>Mitek VAPR 3</t>
  </si>
  <si>
    <t>1121955</t>
  </si>
  <si>
    <t>09.2011</t>
  </si>
  <si>
    <t>08103098_2</t>
  </si>
  <si>
    <t>Скальпель радиочастотный хирургический</t>
  </si>
  <si>
    <t>ЭЛЕКТРОПУЛЬС С-350 РЧ</t>
  </si>
  <si>
    <t>473</t>
  </si>
  <si>
    <t>04700341</t>
  </si>
  <si>
    <t>ГРПЗ ГП-80-Ох-"ПЗ"</t>
  </si>
  <si>
    <t>608</t>
  </si>
  <si>
    <t>7240000618</t>
  </si>
  <si>
    <t>609</t>
  </si>
  <si>
    <t>7240000717,
7240000617</t>
  </si>
  <si>
    <t>21206750</t>
  </si>
  <si>
    <t>28 04579</t>
  </si>
  <si>
    <t xml:space="preserve">Стойка эндоскопическая </t>
  </si>
  <si>
    <t>Richard Wolf</t>
  </si>
  <si>
    <t>5000215340</t>
  </si>
  <si>
    <t>Стол операционный</t>
  </si>
  <si>
    <t>JW Medical CHS-790</t>
  </si>
  <si>
    <t>WOA00259</t>
  </si>
  <si>
    <t>30.11.2011</t>
  </si>
  <si>
    <t>08104231</t>
  </si>
  <si>
    <t>Famed SU-02.0</t>
  </si>
  <si>
    <t>0706/00917</t>
  </si>
  <si>
    <t>04700051</t>
  </si>
  <si>
    <t>Электоркоагулятор</t>
  </si>
  <si>
    <t>Karl Storz Autocon 200</t>
  </si>
  <si>
    <t>A-2113</t>
  </si>
  <si>
    <t>01370902</t>
  </si>
  <si>
    <t>5000215291</t>
  </si>
  <si>
    <t>36139</t>
  </si>
  <si>
    <t>08102439_3</t>
  </si>
  <si>
    <t>Коридор опер</t>
  </si>
  <si>
    <t>1011-1</t>
  </si>
  <si>
    <t>Малая опер</t>
  </si>
  <si>
    <t>7813939</t>
  </si>
  <si>
    <t>08104787</t>
  </si>
  <si>
    <t>7731121</t>
  </si>
  <si>
    <t>3111189</t>
  </si>
  <si>
    <t>04800301</t>
  </si>
  <si>
    <t>3111183</t>
  </si>
  <si>
    <t>08104788</t>
  </si>
  <si>
    <t>OLYMPUS SonoSurg-G2</t>
  </si>
  <si>
    <t>9723783</t>
  </si>
  <si>
    <t>04800302</t>
  </si>
  <si>
    <t>7028253</t>
  </si>
  <si>
    <t>06.2016</t>
  </si>
  <si>
    <t>7809725</t>
  </si>
  <si>
    <t>OLYMPUS CLV-S40 Pro</t>
  </si>
  <si>
    <t>7700967</t>
  </si>
  <si>
    <t>7024554</t>
  </si>
  <si>
    <t>0439-10</t>
  </si>
  <si>
    <t>08102819_2</t>
  </si>
  <si>
    <t>T4F41643EX</t>
  </si>
  <si>
    <t>05.2014</t>
  </si>
  <si>
    <t>2360000442</t>
  </si>
  <si>
    <t>08106150</t>
  </si>
  <si>
    <t>КРОНТ ОРУБп-3-5 (ДЕЗАР-7)</t>
  </si>
  <si>
    <t>08102434_2</t>
  </si>
  <si>
    <t>113021</t>
  </si>
  <si>
    <t>3366</t>
  </si>
  <si>
    <t>7240000012,
04700022</t>
  </si>
  <si>
    <t>AR 010048</t>
  </si>
  <si>
    <t>04700113</t>
  </si>
  <si>
    <t>AR 010060</t>
  </si>
  <si>
    <t>04700116</t>
  </si>
  <si>
    <t>635</t>
  </si>
  <si>
    <t>7240000619</t>
  </si>
  <si>
    <t>21206605</t>
  </si>
  <si>
    <t>OLYMPUS</t>
  </si>
  <si>
    <t>Famed SU-03.0</t>
  </si>
  <si>
    <t>0706/00354</t>
  </si>
  <si>
    <t>04700052</t>
  </si>
  <si>
    <t>ВИСМА-ПЛАНАР В-40А</t>
  </si>
  <si>
    <t>2232</t>
  </si>
  <si>
    <t>2017</t>
  </si>
  <si>
    <t>7240000732</t>
  </si>
  <si>
    <t>Материальная</t>
  </si>
  <si>
    <t>2231</t>
  </si>
  <si>
    <t>7240000733</t>
  </si>
  <si>
    <t>01370457</t>
  </si>
  <si>
    <t>Проф. Щербатых</t>
  </si>
  <si>
    <t>01370460</t>
  </si>
  <si>
    <t>Камера эндоскопическая</t>
  </si>
  <si>
    <t>01370509</t>
  </si>
  <si>
    <t>Sujccymat</t>
  </si>
  <si>
    <t>01370462</t>
  </si>
  <si>
    <t>Мойка ультразвуковая</t>
  </si>
  <si>
    <t>Elma Elmasonic S 300 H</t>
  </si>
  <si>
    <t>194305100</t>
  </si>
  <si>
    <t>08102894</t>
  </si>
  <si>
    <t>Стерилизац</t>
  </si>
  <si>
    <t>Автоклав</t>
  </si>
  <si>
    <t>Melag Euroklav 23 VS+</t>
  </si>
  <si>
    <t>08102934_2</t>
  </si>
  <si>
    <t>ФОТЕК ЭХВЧ-80</t>
  </si>
  <si>
    <t>123871</t>
  </si>
  <si>
    <t>08104187</t>
  </si>
  <si>
    <t>КРОНТ ОБП-450</t>
  </si>
  <si>
    <t>08106149</t>
  </si>
  <si>
    <t>50837</t>
  </si>
  <si>
    <t>71012400140</t>
  </si>
  <si>
    <t>49455</t>
  </si>
  <si>
    <t>71012400141</t>
  </si>
  <si>
    <t>Орион-Си ОТ-15/155</t>
  </si>
  <si>
    <t>3023</t>
  </si>
  <si>
    <t>08106070</t>
  </si>
  <si>
    <t>Ellman Surgitron FFPF EMC</t>
  </si>
  <si>
    <t>3003001</t>
  </si>
  <si>
    <t>08104189</t>
  </si>
  <si>
    <t>Хирургия</t>
  </si>
  <si>
    <t>117, Проктология</t>
  </si>
  <si>
    <t>DIXION VACUS 7018 (Вакус)</t>
  </si>
  <si>
    <t>718511001</t>
  </si>
  <si>
    <t>04700104</t>
  </si>
  <si>
    <t>39919</t>
  </si>
  <si>
    <t>08105226</t>
  </si>
  <si>
    <t>04700169</t>
  </si>
  <si>
    <t>319</t>
  </si>
  <si>
    <t>08102572_2</t>
  </si>
  <si>
    <t>Осветитель галогеновый</t>
  </si>
  <si>
    <t>КВАРЦ ОС-150</t>
  </si>
  <si>
    <t>114 5</t>
  </si>
  <si>
    <t>20130100669UF</t>
  </si>
  <si>
    <t>08105107</t>
  </si>
  <si>
    <t>203, Палата 6</t>
  </si>
  <si>
    <t>08102994</t>
  </si>
  <si>
    <t>44761</t>
  </si>
  <si>
    <t>08102901</t>
  </si>
  <si>
    <t>204, Палата 7</t>
  </si>
  <si>
    <t>08102995</t>
  </si>
  <si>
    <t>205, Палата 8</t>
  </si>
  <si>
    <t>12951</t>
  </si>
  <si>
    <t>2240000073</t>
  </si>
  <si>
    <t>209, Раздаточная</t>
  </si>
  <si>
    <t>02704</t>
  </si>
  <si>
    <t>7240000727</t>
  </si>
  <si>
    <t>210, Палата 9</t>
  </si>
  <si>
    <t>44615</t>
  </si>
  <si>
    <t>08102916</t>
  </si>
  <si>
    <t>211, Палата 10</t>
  </si>
  <si>
    <t>2240000070</t>
  </si>
  <si>
    <t>44618</t>
  </si>
  <si>
    <t>08102902</t>
  </si>
  <si>
    <t>212, Орд</t>
  </si>
  <si>
    <t>08102996</t>
  </si>
  <si>
    <t>214, Палата 14</t>
  </si>
  <si>
    <t>6559</t>
  </si>
  <si>
    <t>2004</t>
  </si>
  <si>
    <t>01370928</t>
  </si>
  <si>
    <t>217, Перевязоч</t>
  </si>
  <si>
    <t>04700193</t>
  </si>
  <si>
    <t>02720</t>
  </si>
  <si>
    <t>7240000726</t>
  </si>
  <si>
    <t>WOA00260</t>
  </si>
  <si>
    <t>09.11.2011</t>
  </si>
  <si>
    <t>08104230</t>
  </si>
  <si>
    <t>Шкаф сухожаровой</t>
  </si>
  <si>
    <t>ШСТ ГП80-410</t>
  </si>
  <si>
    <t>00800</t>
  </si>
  <si>
    <t>08104831</t>
  </si>
  <si>
    <t>12938</t>
  </si>
  <si>
    <t>2240000075</t>
  </si>
  <si>
    <t>226, Палата 1Б</t>
  </si>
  <si>
    <t>50845</t>
  </si>
  <si>
    <t>2240000072</t>
  </si>
  <si>
    <t>231, Палата 4</t>
  </si>
  <si>
    <t>Futura Plus</t>
  </si>
  <si>
    <t>120831-103900</t>
  </si>
  <si>
    <t>08104223</t>
  </si>
  <si>
    <t>232, Палата 5</t>
  </si>
  <si>
    <t>ОБНР 2х8-01 "КАМА"</t>
  </si>
  <si>
    <t>08104833</t>
  </si>
  <si>
    <t>Клизьменная</t>
  </si>
  <si>
    <t>12919</t>
  </si>
  <si>
    <t>2240000074</t>
  </si>
  <si>
    <t>Палата 1А</t>
  </si>
  <si>
    <t>20130100670UF</t>
  </si>
  <si>
    <t>08105104</t>
  </si>
  <si>
    <t>Пост</t>
  </si>
  <si>
    <t>153042</t>
  </si>
  <si>
    <t>08105912</t>
  </si>
  <si>
    <t>Процедурный</t>
  </si>
  <si>
    <t>33_8_</t>
  </si>
  <si>
    <t>20__</t>
  </si>
  <si>
    <t>7240000728</t>
  </si>
  <si>
    <t>08102810</t>
  </si>
  <si>
    <t>Столовая</t>
  </si>
  <si>
    <t>Азов ОБПе-450</t>
  </si>
  <si>
    <t>Хирургия, кор</t>
  </si>
  <si>
    <t>КРОНТ ОРУБп-03 (ДЕЗАР-4)</t>
  </si>
  <si>
    <t>1029</t>
  </si>
  <si>
    <t>08105181</t>
  </si>
  <si>
    <t>5530</t>
  </si>
  <si>
    <t>08105182</t>
  </si>
  <si>
    <t>14724</t>
  </si>
  <si>
    <t>08105184</t>
  </si>
  <si>
    <t>08102641</t>
  </si>
  <si>
    <t>39371</t>
  </si>
  <si>
    <t>2240000071</t>
  </si>
  <si>
    <t>07066</t>
  </si>
  <si>
    <t>04700329</t>
  </si>
  <si>
    <t>160108342</t>
  </si>
  <si>
    <t>417791</t>
  </si>
  <si>
    <t>200400472</t>
  </si>
  <si>
    <t>11.05.2020</t>
  </si>
  <si>
    <t>71012411592</t>
  </si>
  <si>
    <t>Терапия</t>
  </si>
  <si>
    <t>КРОНТ ДЕЗАР-4 (ОРУБп-3-3)</t>
  </si>
  <si>
    <t>23872</t>
  </si>
  <si>
    <t>08102568_2</t>
  </si>
  <si>
    <t>POZIS ОРБ-1Н</t>
  </si>
  <si>
    <t>301AV20025937</t>
  </si>
  <si>
    <t>09.2020</t>
  </si>
  <si>
    <t>Сан. Комната</t>
  </si>
  <si>
    <t>КРОНТ ДЕЗАР-4 (ОРУБп-03)</t>
  </si>
  <si>
    <t>14572</t>
  </si>
  <si>
    <t>Bitmos OXY 6000</t>
  </si>
  <si>
    <t>1615078912</t>
  </si>
  <si>
    <t>73600000156</t>
  </si>
  <si>
    <t>Armed 7F-5L</t>
  </si>
  <si>
    <t>YYT34500588</t>
  </si>
  <si>
    <t>71012411585</t>
  </si>
  <si>
    <t>200400072</t>
  </si>
  <si>
    <t>71012411851</t>
  </si>
  <si>
    <t>200400521</t>
  </si>
  <si>
    <t>YYT34500584</t>
  </si>
  <si>
    <t>71012411587</t>
  </si>
  <si>
    <t>200400007</t>
  </si>
  <si>
    <t>YYT34500790</t>
  </si>
  <si>
    <t>71012411583</t>
  </si>
  <si>
    <t>YYT34500791</t>
  </si>
  <si>
    <t>71012411588</t>
  </si>
  <si>
    <t>200400005</t>
  </si>
  <si>
    <t>71012411591</t>
  </si>
  <si>
    <t>200400040</t>
  </si>
  <si>
    <t>Срок 5 лет</t>
  </si>
  <si>
    <t>200400465</t>
  </si>
  <si>
    <t>71012411590</t>
  </si>
  <si>
    <t>200400443</t>
  </si>
  <si>
    <t>71012411594</t>
  </si>
  <si>
    <t>200400080</t>
  </si>
  <si>
    <t>71012411593</t>
  </si>
  <si>
    <t>200400042</t>
  </si>
  <si>
    <t>71012411595</t>
  </si>
  <si>
    <t>Phillips EverFlo | OPI</t>
  </si>
  <si>
    <t>2240000078</t>
  </si>
  <si>
    <t>POZIS ХФ-250-3</t>
  </si>
  <si>
    <t>212CV20007552</t>
  </si>
  <si>
    <t>09.2018</t>
  </si>
  <si>
    <t>ТВЕС ВМЭН-200-50/100-Д3</t>
  </si>
  <si>
    <t>00150</t>
  </si>
  <si>
    <t>71013400012</t>
  </si>
  <si>
    <t>НПП Монитор ЭК ЗТ-01-"Р-Д"/1</t>
  </si>
  <si>
    <t>U201104735</t>
  </si>
  <si>
    <t>71012412750</t>
  </si>
  <si>
    <t>301AV0026171</t>
  </si>
  <si>
    <t>41012412342</t>
  </si>
  <si>
    <t>41584</t>
  </si>
  <si>
    <t>2360000462</t>
  </si>
  <si>
    <t>Палата 1</t>
  </si>
  <si>
    <t>46004</t>
  </si>
  <si>
    <t>08105157</t>
  </si>
  <si>
    <t>Палата 2</t>
  </si>
  <si>
    <t>36140</t>
  </si>
  <si>
    <t>08105158</t>
  </si>
  <si>
    <t>Палата 3</t>
  </si>
  <si>
    <t>08105156 ЛОР</t>
  </si>
  <si>
    <t>301AV20025555</t>
  </si>
  <si>
    <t>41012412340</t>
  </si>
  <si>
    <t>Палата 4</t>
  </si>
  <si>
    <t>301AV20025957</t>
  </si>
  <si>
    <t>41012412339</t>
  </si>
  <si>
    <t>Палата 5</t>
  </si>
  <si>
    <t>08105180</t>
  </si>
  <si>
    <t>71012400256</t>
  </si>
  <si>
    <t>41592</t>
  </si>
  <si>
    <t>2360000458</t>
  </si>
  <si>
    <t>Палата 8</t>
  </si>
  <si>
    <t>41596</t>
  </si>
  <si>
    <t>2360000459</t>
  </si>
  <si>
    <t>Палата 9</t>
  </si>
  <si>
    <t>41620</t>
  </si>
  <si>
    <t>2360000470</t>
  </si>
  <si>
    <t>Палата 10</t>
  </si>
  <si>
    <t>41614</t>
  </si>
  <si>
    <t>2360000452</t>
  </si>
  <si>
    <t>Палата 11</t>
  </si>
  <si>
    <t>08107044</t>
  </si>
  <si>
    <t>33982</t>
  </si>
  <si>
    <t>2360000466</t>
  </si>
  <si>
    <t>Палата 13</t>
  </si>
  <si>
    <t>ЛОР</t>
  </si>
  <si>
    <t>41591</t>
  </si>
  <si>
    <t>2360000461</t>
  </si>
  <si>
    <t>Палата 14</t>
  </si>
  <si>
    <t>41608</t>
  </si>
  <si>
    <t>2360000460</t>
  </si>
  <si>
    <t>Палата 15</t>
  </si>
  <si>
    <t>15039</t>
  </si>
  <si>
    <t>2360000457</t>
  </si>
  <si>
    <t>Палата 16</t>
  </si>
  <si>
    <t>41617</t>
  </si>
  <si>
    <t>2360000455</t>
  </si>
  <si>
    <t>Палата 17</t>
  </si>
  <si>
    <t>301AV20025964</t>
  </si>
  <si>
    <t>2360000449</t>
  </si>
  <si>
    <t>Изолятор</t>
  </si>
  <si>
    <t>Подписан как КРОНТ</t>
  </si>
  <si>
    <t>Помпа шприцевая инфузионная</t>
  </si>
  <si>
    <t>Midray SK-500I</t>
  </si>
  <si>
    <t>61200103</t>
  </si>
  <si>
    <t>12.2016</t>
  </si>
  <si>
    <t>7240000665</t>
  </si>
  <si>
    <t>Проц 1</t>
  </si>
  <si>
    <t>Анализатор</t>
  </si>
  <si>
    <t>Abbott i-STAT 1 (300-G)</t>
  </si>
  <si>
    <t>356829</t>
  </si>
  <si>
    <t>08104453</t>
  </si>
  <si>
    <t>В терапии</t>
  </si>
  <si>
    <t>POZIS ХФД-280</t>
  </si>
  <si>
    <t>220TV20002936</t>
  </si>
  <si>
    <t>09.2019</t>
  </si>
  <si>
    <t>113062</t>
  </si>
  <si>
    <t>08102987</t>
  </si>
  <si>
    <t>2360000453</t>
  </si>
  <si>
    <t>Заведующая</t>
  </si>
  <si>
    <t>41613</t>
  </si>
  <si>
    <t>2360000454</t>
  </si>
  <si>
    <t>Раздаточная</t>
  </si>
  <si>
    <t>25189</t>
  </si>
  <si>
    <t>08102458_3</t>
  </si>
  <si>
    <t>08102988_2</t>
  </si>
  <si>
    <t>Орд 1</t>
  </si>
  <si>
    <t>15027</t>
  </si>
  <si>
    <t>2360000456</t>
  </si>
  <si>
    <t>Орд 2</t>
  </si>
  <si>
    <t>15180</t>
  </si>
  <si>
    <t>08105138</t>
  </si>
  <si>
    <t>Ингаляц</t>
  </si>
  <si>
    <t>301AV20026178</t>
  </si>
  <si>
    <t>2360000465</t>
  </si>
  <si>
    <t>УЗИ</t>
  </si>
  <si>
    <t>Samsung Medison HS40-RUS</t>
  </si>
  <si>
    <t>S1L2M3HMB000011H</t>
  </si>
  <si>
    <t>12.11.2019</t>
  </si>
  <si>
    <t>41012400323</t>
  </si>
  <si>
    <t>7360000712</t>
  </si>
  <si>
    <t>Лампа щелевая</t>
  </si>
  <si>
    <t>Shin Nippon SL-45</t>
  </si>
  <si>
    <t>880008</t>
  </si>
  <si>
    <t>08102447_3</t>
  </si>
  <si>
    <t>20190119405LG</t>
  </si>
  <si>
    <t>20180118935LG</t>
  </si>
  <si>
    <t>121204128</t>
  </si>
  <si>
    <t>20200135079LG</t>
  </si>
  <si>
    <t>20190119404LG</t>
  </si>
  <si>
    <t>Небулайзер (ингалятор)</t>
  </si>
  <si>
    <t>Omron NE-C900-RU</t>
  </si>
  <si>
    <t>20130301981UF</t>
  </si>
  <si>
    <t>20130301984UF</t>
  </si>
  <si>
    <t>08102825_2</t>
  </si>
  <si>
    <t>Omron NE-C28-RU</t>
  </si>
  <si>
    <t>20100626914UF</t>
  </si>
  <si>
    <t>Аппарат для коротковолновой УВЧ терапии</t>
  </si>
  <si>
    <t>PHYSIOMED PHYSIOTHERM-S</t>
  </si>
  <si>
    <t>2292</t>
  </si>
  <si>
    <t>08104611</t>
  </si>
  <si>
    <t>Неврология</t>
  </si>
  <si>
    <t>Физио</t>
  </si>
  <si>
    <t>Аппарат для УВЧ терапии</t>
  </si>
  <si>
    <t>04700090</t>
  </si>
  <si>
    <t>Аппарат для ультразвуковой терапии</t>
  </si>
  <si>
    <t>Малоярославец УЗТ-1.07Ф</t>
  </si>
  <si>
    <t>12201</t>
  </si>
  <si>
    <t>7360000230</t>
  </si>
  <si>
    <t>Мед ТеКо УВЧ-60</t>
  </si>
  <si>
    <t>1168</t>
  </si>
  <si>
    <t>71012400037</t>
  </si>
  <si>
    <t>Аппарат для электрофореза (гальванизатор)</t>
  </si>
  <si>
    <t>ЭМА Поток-1</t>
  </si>
  <si>
    <t>122424</t>
  </si>
  <si>
    <t>08104192</t>
  </si>
  <si>
    <t>123002</t>
  </si>
  <si>
    <t>08104202</t>
  </si>
  <si>
    <t>Аппарат для терапии диадинамическими токами и гальванизации</t>
  </si>
  <si>
    <t>КАСКАД ФТО ДДТ-50-8 "Тонус-1М"</t>
  </si>
  <si>
    <t>0412003</t>
  </si>
  <si>
    <t>7240000473</t>
  </si>
  <si>
    <t>Аппарат для комбинированной электростимулирующей и ультразвуковой терапии</t>
  </si>
  <si>
    <t>PHYSIOMED IONOSON-Expert</t>
  </si>
  <si>
    <t>ISE2-1213003rus</t>
  </si>
  <si>
    <t>08104164</t>
  </si>
  <si>
    <t>Аппарат для ИК-лазерной терапии</t>
  </si>
  <si>
    <t>МИЛТА-Ф-8-01</t>
  </si>
  <si>
    <t>КП-22542</t>
  </si>
  <si>
    <t>2360000205</t>
  </si>
  <si>
    <t>КП-19508</t>
  </si>
  <si>
    <t>08104046</t>
  </si>
  <si>
    <t>КП-25937</t>
  </si>
  <si>
    <t>71012400034</t>
  </si>
  <si>
    <t>Аппарат для дарсонвализации</t>
  </si>
  <si>
    <t>314</t>
  </si>
  <si>
    <t>72400006_3</t>
  </si>
  <si>
    <t>КАСКАД ФТО "ПоТок"</t>
  </si>
  <si>
    <t>06185160</t>
  </si>
  <si>
    <t>71012400033</t>
  </si>
  <si>
    <t>06185158</t>
  </si>
  <si>
    <t>71012400032</t>
  </si>
  <si>
    <t>06185159</t>
  </si>
  <si>
    <t>71012400038</t>
  </si>
  <si>
    <t>06185156</t>
  </si>
  <si>
    <t>01370151</t>
  </si>
  <si>
    <t>149</t>
  </si>
  <si>
    <t>08104250</t>
  </si>
  <si>
    <t>06185157</t>
  </si>
  <si>
    <t>71012400031</t>
  </si>
  <si>
    <t>Аппарат для СМВ терапии</t>
  </si>
  <si>
    <t>ЛУЧ-4 СМВ-20-4</t>
  </si>
  <si>
    <t>837</t>
  </si>
  <si>
    <t>08104197</t>
  </si>
  <si>
    <t>Аппарат импульсный низкочастотный физиотерапевтический</t>
  </si>
  <si>
    <t>ИНФИТА-М</t>
  </si>
  <si>
    <t>366</t>
  </si>
  <si>
    <t>08104179</t>
  </si>
  <si>
    <t>Электростимулятор офтальмологический микропроцессорный</t>
  </si>
  <si>
    <t>Нейрон ЭСОМ-Комет</t>
  </si>
  <si>
    <t>3180</t>
  </si>
  <si>
    <t>08104047</t>
  </si>
  <si>
    <t>Физиотерапевтическая приставка</t>
  </si>
  <si>
    <t>ИНСИДИТА-КОМБИ</t>
  </si>
  <si>
    <t>12К06</t>
  </si>
  <si>
    <t>Аппарат для низкочастотной физиотерапии</t>
  </si>
  <si>
    <t>Амплипульс-5</t>
  </si>
  <si>
    <t>1101</t>
  </si>
  <si>
    <t>1999</t>
  </si>
  <si>
    <t>01370138</t>
  </si>
  <si>
    <t>Аппарат для термотерапии</t>
  </si>
  <si>
    <t>TEPLON ULCHT-02 "ELAT" (УЛЧТ-02)</t>
  </si>
  <si>
    <t>00354</t>
  </si>
  <si>
    <t>08102607</t>
  </si>
  <si>
    <t>95 04527 08 16</t>
  </si>
  <si>
    <t>01370149</t>
  </si>
  <si>
    <t>95 04837 09 16</t>
  </si>
  <si>
    <t>21012400230</t>
  </si>
  <si>
    <t>Аппарат для магнитотерапии</t>
  </si>
  <si>
    <t>ЕЛАМЕД АЛМАГ-01</t>
  </si>
  <si>
    <t>01143</t>
  </si>
  <si>
    <t>10.2016</t>
  </si>
  <si>
    <t>28058</t>
  </si>
  <si>
    <t>06.2018</t>
  </si>
  <si>
    <t>09117</t>
  </si>
  <si>
    <t>04.2014</t>
  </si>
  <si>
    <t>01134</t>
  </si>
  <si>
    <t>52875</t>
  </si>
  <si>
    <t>02.2016</t>
  </si>
  <si>
    <t>05796</t>
  </si>
  <si>
    <t>05787</t>
  </si>
  <si>
    <t>09124</t>
  </si>
  <si>
    <t>03.2014</t>
  </si>
  <si>
    <t>398</t>
  </si>
  <si>
    <t>2002</t>
  </si>
  <si>
    <t>08102738_2</t>
  </si>
  <si>
    <t>01370639</t>
  </si>
  <si>
    <t>1182</t>
  </si>
  <si>
    <t>71012400036</t>
  </si>
  <si>
    <t>12308</t>
  </si>
  <si>
    <t>7240000616</t>
  </si>
  <si>
    <t>115884</t>
  </si>
  <si>
    <t>01644</t>
  </si>
  <si>
    <t>12.2011</t>
  </si>
  <si>
    <t>ЕЛАМЕД ДИАМАГ (АЛМАГ-03)</t>
  </si>
  <si>
    <t>00565</t>
  </si>
  <si>
    <t>05.2018</t>
  </si>
  <si>
    <t>71012400039</t>
  </si>
  <si>
    <t>89999</t>
  </si>
  <si>
    <t>2001</t>
  </si>
  <si>
    <t>01370732</t>
  </si>
  <si>
    <t>0414031</t>
  </si>
  <si>
    <t>2360000201</t>
  </si>
  <si>
    <t>0412004</t>
  </si>
  <si>
    <t>08104177</t>
  </si>
  <si>
    <t>122210</t>
  </si>
  <si>
    <t>08104191</t>
  </si>
  <si>
    <t>Аппарат для светотерапии</t>
  </si>
  <si>
    <t>Zepter Bioprton 2</t>
  </si>
  <si>
    <t>03100774</t>
  </si>
  <si>
    <t>Аппарат для ударно-волновой терапии</t>
  </si>
  <si>
    <t>Richard Wolf Elvation PiezoWave</t>
  </si>
  <si>
    <t>1100167820</t>
  </si>
  <si>
    <t>08104196</t>
  </si>
  <si>
    <t>0416024</t>
  </si>
  <si>
    <t>08104178</t>
  </si>
  <si>
    <t>Электромионейростимулятор</t>
  </si>
  <si>
    <t>НПП "Сигнал" Миоритм-040-М</t>
  </si>
  <si>
    <t>71</t>
  </si>
  <si>
    <t>12.08.2004</t>
  </si>
  <si>
    <t>08104200</t>
  </si>
  <si>
    <t>52884</t>
  </si>
  <si>
    <t>02.10</t>
  </si>
  <si>
    <t>0417011</t>
  </si>
  <si>
    <t>7240000612</t>
  </si>
  <si>
    <t>"Реабилитационные технологии" Авантрон</t>
  </si>
  <si>
    <t>260</t>
  </si>
  <si>
    <t>Не поставлен на учет</t>
  </si>
  <si>
    <t>Облучатель ультрафиолетовый стационарный</t>
  </si>
  <si>
    <t>5975</t>
  </si>
  <si>
    <t>08102681</t>
  </si>
  <si>
    <t>ЭМА Искра-1</t>
  </si>
  <si>
    <t>124</t>
  </si>
  <si>
    <t>7240000613</t>
  </si>
  <si>
    <t>00407</t>
  </si>
  <si>
    <t>05.2013</t>
  </si>
  <si>
    <t>2360000199</t>
  </si>
  <si>
    <t>Аппарат магнитотерапевтический</t>
  </si>
  <si>
    <t>Полимаг-01</t>
  </si>
  <si>
    <t>00678</t>
  </si>
  <si>
    <t>01.2009</t>
  </si>
  <si>
    <t>08102603</t>
  </si>
  <si>
    <t>ЭМА Полюс-2М</t>
  </si>
  <si>
    <t>7195</t>
  </si>
  <si>
    <t>08104176</t>
  </si>
  <si>
    <t>10487</t>
  </si>
  <si>
    <t>08102650</t>
  </si>
  <si>
    <t>Анализатор биохимический</t>
  </si>
  <si>
    <t>7219-0356</t>
  </si>
  <si>
    <t>01.2019</t>
  </si>
  <si>
    <t>Лаб</t>
  </si>
  <si>
    <t>Биохимическая</t>
  </si>
  <si>
    <t>Sapphire 400</t>
  </si>
  <si>
    <t>2606601011</t>
  </si>
  <si>
    <t>08104477</t>
  </si>
  <si>
    <t xml:space="preserve">Анализатор биохимический автоматический </t>
  </si>
  <si>
    <t>Cobas c 311</t>
  </si>
  <si>
    <t>16E2-09</t>
  </si>
  <si>
    <t>08.04.2016</t>
  </si>
  <si>
    <t>Анализатор электролитов</t>
  </si>
  <si>
    <t>EasyLyte Calcium</t>
  </si>
  <si>
    <t>56632CNCa
43884CNCA</t>
  </si>
  <si>
    <t>19.01.2018</t>
  </si>
  <si>
    <t>08104160</t>
  </si>
  <si>
    <t>EasyLyte PLUS</t>
  </si>
  <si>
    <t>55135CNKC</t>
  </si>
  <si>
    <t>25.05.2017</t>
  </si>
  <si>
    <t>Humapette 20-200 ul</t>
  </si>
  <si>
    <t>10E32462</t>
  </si>
  <si>
    <t>Humapette 5-50 ul</t>
  </si>
  <si>
    <t>10 E24583</t>
  </si>
  <si>
    <t>Biohit Proline</t>
  </si>
  <si>
    <t>15510939</t>
  </si>
  <si>
    <t>15510940</t>
  </si>
  <si>
    <t>15578899</t>
  </si>
  <si>
    <t>15578900</t>
  </si>
  <si>
    <t>6107896</t>
  </si>
  <si>
    <t>Biohit Proline 500-5000 ul</t>
  </si>
  <si>
    <t>11042727</t>
  </si>
  <si>
    <t>ВК07116</t>
  </si>
  <si>
    <t>Колор 100-1000 мкл</t>
  </si>
  <si>
    <t>ВК00710</t>
  </si>
  <si>
    <t>ВК01433</t>
  </si>
  <si>
    <t>ВК64994</t>
  </si>
  <si>
    <t>44612</t>
  </si>
  <si>
    <t>08105172</t>
  </si>
  <si>
    <t>Установка для получения очищенной воды</t>
  </si>
  <si>
    <t>МЕДИАНА-ФИЛЬТР УВОИ-"М-Ф"-1812-2</t>
  </si>
  <si>
    <t>MF0G724LO</t>
  </si>
  <si>
    <t>15.08.2016</t>
  </si>
  <si>
    <t>УВОИ-"М-Ф"</t>
  </si>
  <si>
    <t>MF0I72FHA</t>
  </si>
  <si>
    <t>13.07.2018</t>
  </si>
  <si>
    <t>Анализатор гематологический</t>
  </si>
  <si>
    <t>XS-1000i</t>
  </si>
  <si>
    <t>67044</t>
  </si>
  <si>
    <t>08104867</t>
  </si>
  <si>
    <t>Гематология</t>
  </si>
  <si>
    <t>Системный блок</t>
  </si>
  <si>
    <t>CZC2204KDB</t>
  </si>
  <si>
    <t>44611</t>
  </si>
  <si>
    <t>8105175</t>
  </si>
  <si>
    <t>Screener 100/II</t>
  </si>
  <si>
    <t>00427</t>
  </si>
  <si>
    <t>08102608</t>
  </si>
  <si>
    <t>Смеситель медицинский</t>
  </si>
  <si>
    <t>RM-1L</t>
  </si>
  <si>
    <t>1210032</t>
  </si>
  <si>
    <t>Термостат электрический суховоздушный</t>
  </si>
  <si>
    <t>ТС-1/20</t>
  </si>
  <si>
    <t>08103024</t>
  </si>
  <si>
    <t>ELMI RM-1L</t>
  </si>
  <si>
    <t>08102608_2</t>
  </si>
  <si>
    <t>822536</t>
  </si>
  <si>
    <t>Анализатор гемостаза</t>
  </si>
  <si>
    <t>STA Compact</t>
  </si>
  <si>
    <t>CC3510A926</t>
  </si>
  <si>
    <t>21012400253</t>
  </si>
  <si>
    <t>Гемостаз</t>
  </si>
  <si>
    <t>IMP5041293</t>
  </si>
  <si>
    <t>15081</t>
  </si>
  <si>
    <t>08105162</t>
  </si>
  <si>
    <t>15114</t>
  </si>
  <si>
    <t>08105171</t>
  </si>
  <si>
    <t>ROTOFIX 32 A</t>
  </si>
  <si>
    <t>0020948-03</t>
  </si>
  <si>
    <t>08106079</t>
  </si>
  <si>
    <t>0020987-03</t>
  </si>
  <si>
    <t>CM-6M</t>
  </si>
  <si>
    <t>70122</t>
  </si>
  <si>
    <t>70131</t>
  </si>
  <si>
    <t>04700247</t>
  </si>
  <si>
    <t>711000</t>
  </si>
  <si>
    <t>04700246</t>
  </si>
  <si>
    <t>ДТ-96</t>
  </si>
  <si>
    <t>A5Z401</t>
  </si>
  <si>
    <t>08102607_2</t>
  </si>
  <si>
    <t>ДНК Лаб</t>
  </si>
  <si>
    <t>Бокс абактериальной воздушной среды</t>
  </si>
  <si>
    <t>БАВп-01-"Ламинар-С"-1,2(220.120)</t>
  </si>
  <si>
    <t>220.120.1143</t>
  </si>
  <si>
    <t>08102374_3</t>
  </si>
  <si>
    <t>Biohit Proline 100-1000 ul</t>
  </si>
  <si>
    <t>8082446</t>
  </si>
  <si>
    <t>Biohit Proline 20-200 ul</t>
  </si>
  <si>
    <t>13606395</t>
  </si>
  <si>
    <t>8075027</t>
  </si>
  <si>
    <t>Biohit Proline 2-20 ul</t>
  </si>
  <si>
    <t>8066368</t>
  </si>
  <si>
    <t>Мини-центрифуга</t>
  </si>
  <si>
    <t>Micro Spin FV-2400</t>
  </si>
  <si>
    <t>500809001</t>
  </si>
  <si>
    <t>04500015</t>
  </si>
  <si>
    <t>AG MiniSpin</t>
  </si>
  <si>
    <t>5452XJ143299</t>
  </si>
  <si>
    <t>113061</t>
  </si>
  <si>
    <t>03100130</t>
  </si>
  <si>
    <t>113033</t>
  </si>
  <si>
    <t>08104839</t>
  </si>
  <si>
    <t>Термостат</t>
  </si>
  <si>
    <t>TDB-120</t>
  </si>
  <si>
    <t>650812017</t>
  </si>
  <si>
    <t>08102425_3</t>
  </si>
  <si>
    <t>Анализатор люминесцентный автоматический</t>
  </si>
  <si>
    <t>АЛА-1/4</t>
  </si>
  <si>
    <t>920806308</t>
  </si>
  <si>
    <t>04500017</t>
  </si>
  <si>
    <t>БАВ-ПЦР-"Ламинар-С"</t>
  </si>
  <si>
    <t>34.01.445</t>
  </si>
  <si>
    <t>08102375_3</t>
  </si>
  <si>
    <t>8075026</t>
  </si>
  <si>
    <t>8085329</t>
  </si>
  <si>
    <t>8066367</t>
  </si>
  <si>
    <t>Biohit Proline Plus 0.5-10 ul</t>
  </si>
  <si>
    <t>11504258</t>
  </si>
  <si>
    <t>Микроскоп</t>
  </si>
  <si>
    <t>BX43F</t>
  </si>
  <si>
    <t>8G50692 / 201807</t>
  </si>
  <si>
    <t>41012400128</t>
  </si>
  <si>
    <t>010201-1205-0233</t>
  </si>
  <si>
    <t>08104175</t>
  </si>
  <si>
    <t>5453AN661966</t>
  </si>
  <si>
    <t>08104154</t>
  </si>
  <si>
    <t>15123</t>
  </si>
  <si>
    <t>08104834</t>
  </si>
  <si>
    <t>58525</t>
  </si>
  <si>
    <t>71012400003</t>
  </si>
  <si>
    <t>Термостат программируемый для ПЦР анализа</t>
  </si>
  <si>
    <t>ТП4-ПЦР-01-"Терцик"</t>
  </si>
  <si>
    <t>A2W449</t>
  </si>
  <si>
    <t>Анализатор имуноферментный</t>
  </si>
  <si>
    <t>Lazurite DS2</t>
  </si>
  <si>
    <t>21012400181</t>
  </si>
  <si>
    <t>Иммунология</t>
  </si>
  <si>
    <t>Smart Work&amp;Study</t>
  </si>
  <si>
    <t>SM 5184</t>
  </si>
  <si>
    <t>Анализатор для промывки микропланшет</t>
  </si>
  <si>
    <t>Hydroflex ELISA</t>
  </si>
  <si>
    <t>1206006804</t>
  </si>
  <si>
    <t>10.07.2012</t>
  </si>
  <si>
    <t>08104159</t>
  </si>
  <si>
    <t>Анализатор иммуноферментный полуавтоматический</t>
  </si>
  <si>
    <t>Lisa Scan EM</t>
  </si>
  <si>
    <t>7360000161</t>
  </si>
  <si>
    <t>Анализатор иммунохимический</t>
  </si>
  <si>
    <t>Cobas e 411</t>
  </si>
  <si>
    <t>0863-15</t>
  </si>
  <si>
    <t>220.120.2149</t>
  </si>
  <si>
    <t>01.2010</t>
  </si>
  <si>
    <t>08102751</t>
  </si>
  <si>
    <t>Biohit</t>
  </si>
  <si>
    <t>17506975</t>
  </si>
  <si>
    <t>Biohit M100 10-100</t>
  </si>
  <si>
    <t>13529407</t>
  </si>
  <si>
    <t>Biohit M100 10-100 ul</t>
  </si>
  <si>
    <t>13529406</t>
  </si>
  <si>
    <t>Biohit M200 20-200 ul</t>
  </si>
  <si>
    <t>13511991</t>
  </si>
  <si>
    <t>13511995</t>
  </si>
  <si>
    <t>15562048</t>
  </si>
  <si>
    <t>17543830</t>
  </si>
  <si>
    <t>18026700</t>
  </si>
  <si>
    <t>18028701</t>
  </si>
  <si>
    <t>8108440</t>
  </si>
  <si>
    <t>Biohit Proline 10-100 ul</t>
  </si>
  <si>
    <t>13622870</t>
  </si>
  <si>
    <t>15536469</t>
  </si>
  <si>
    <t>Biohit Proline 1-5 ml</t>
  </si>
  <si>
    <t>14510512</t>
  </si>
  <si>
    <t>1572781</t>
  </si>
  <si>
    <t>16556211</t>
  </si>
  <si>
    <t>16610695</t>
  </si>
  <si>
    <t>12606402</t>
  </si>
  <si>
    <t>15578492</t>
  </si>
  <si>
    <t>16608552</t>
  </si>
  <si>
    <t>17531352</t>
  </si>
  <si>
    <t>17539634</t>
  </si>
  <si>
    <t>18022681</t>
  </si>
  <si>
    <t>18033946</t>
  </si>
  <si>
    <t>Biohit Proline 50-300 ul</t>
  </si>
  <si>
    <t>16608737</t>
  </si>
  <si>
    <t>17548634</t>
  </si>
  <si>
    <t>17548635</t>
  </si>
  <si>
    <t>Biohit Proline 5-50 ul</t>
  </si>
  <si>
    <t>11523856</t>
  </si>
  <si>
    <t>17586499</t>
  </si>
  <si>
    <t>17586500</t>
  </si>
  <si>
    <t>10204052</t>
  </si>
  <si>
    <t>18077402</t>
  </si>
  <si>
    <t>Иммунохимический анализатор</t>
  </si>
  <si>
    <t>Immulite 1000</t>
  </si>
  <si>
    <t>3392</t>
  </si>
  <si>
    <t>2360000242</t>
  </si>
  <si>
    <t>44619</t>
  </si>
  <si>
    <t>08102163</t>
  </si>
  <si>
    <t>44621</t>
  </si>
  <si>
    <t>2460000472</t>
  </si>
  <si>
    <t>15084</t>
  </si>
  <si>
    <t>Термо-шейкер</t>
  </si>
  <si>
    <t>PST-60HL-4</t>
  </si>
  <si>
    <t>010128-1202-0069</t>
  </si>
  <si>
    <t>08104155</t>
  </si>
  <si>
    <t>010128-1202-0057</t>
  </si>
  <si>
    <t>08104157</t>
  </si>
  <si>
    <t>Sky Line ST-3L</t>
  </si>
  <si>
    <t>823312</t>
  </si>
  <si>
    <t>0450025</t>
  </si>
  <si>
    <t>Multiskan EX (FC)</t>
  </si>
  <si>
    <t>3550904140</t>
  </si>
  <si>
    <t>08102471_3</t>
  </si>
  <si>
    <t>DCA Vantage</t>
  </si>
  <si>
    <t>13B1X10041000018
06489205</t>
  </si>
  <si>
    <t>04.2013</t>
  </si>
  <si>
    <t>21012400254</t>
  </si>
  <si>
    <t>Cobas h 232</t>
  </si>
  <si>
    <t>KS0402133</t>
  </si>
  <si>
    <t>05.04.2018</t>
  </si>
  <si>
    <t>237 MICROPLATE INCUBATOR</t>
  </si>
  <si>
    <t>10063</t>
  </si>
  <si>
    <t>01350021</t>
  </si>
  <si>
    <t>220.120.2148</t>
  </si>
  <si>
    <t>08102750</t>
  </si>
  <si>
    <t>Иссл. мокроты</t>
  </si>
  <si>
    <t>41600</t>
  </si>
  <si>
    <t>7240000621</t>
  </si>
  <si>
    <t>E200MV RS</t>
  </si>
  <si>
    <t>106213</t>
  </si>
  <si>
    <t>08104613</t>
  </si>
  <si>
    <t>10174960</t>
  </si>
  <si>
    <t>Микроскопия</t>
  </si>
  <si>
    <t>15141</t>
  </si>
  <si>
    <t>08105176</t>
  </si>
  <si>
    <t>Счетчик лейкоцитарной формулы крови</t>
  </si>
  <si>
    <t>СЛФ-ЭЦ-01-09</t>
  </si>
  <si>
    <t>3947</t>
  </si>
  <si>
    <t>08102600_2</t>
  </si>
  <si>
    <t>106210</t>
  </si>
  <si>
    <t>08104612</t>
  </si>
  <si>
    <t>44683</t>
  </si>
  <si>
    <t>8105145</t>
  </si>
  <si>
    <t>Моечная</t>
  </si>
  <si>
    <t>Шкаф суховоздушный</t>
  </si>
  <si>
    <t>FD 115</t>
  </si>
  <si>
    <t>07-19654</t>
  </si>
  <si>
    <t>04700252</t>
  </si>
  <si>
    <t>Анализатор клеточного состава мочи</t>
  </si>
  <si>
    <t>12097</t>
  </si>
  <si>
    <t>08.2011</t>
  </si>
  <si>
    <t>Общеклинич</t>
  </si>
  <si>
    <t>rp5800</t>
  </si>
  <si>
    <t>CZC2204KJO</t>
  </si>
  <si>
    <t>Анализатор мочи полуавтоматический</t>
  </si>
  <si>
    <t>Cobas u 411</t>
  </si>
  <si>
    <t>2240000085</t>
  </si>
  <si>
    <t>Анализатор общего белка в моче</t>
  </si>
  <si>
    <t>АОБМФ-01-"НПП-ТМ" (БЕЛУР 600)</t>
  </si>
  <si>
    <t>102232</t>
  </si>
  <si>
    <t>08102698_2</t>
  </si>
  <si>
    <t>18022690</t>
  </si>
  <si>
    <t>14510513</t>
  </si>
  <si>
    <t>Primo Star</t>
  </si>
  <si>
    <t>3117000212</t>
  </si>
  <si>
    <t>0450004</t>
  </si>
  <si>
    <t>Микроскоп бинокулярный</t>
  </si>
  <si>
    <t>MC 50</t>
  </si>
  <si>
    <t>01370881</t>
  </si>
  <si>
    <t>44753</t>
  </si>
  <si>
    <t>08105144</t>
  </si>
  <si>
    <t>15135</t>
  </si>
  <si>
    <t>7360000044</t>
  </si>
  <si>
    <t>0020986-03</t>
  </si>
  <si>
    <t>08106078</t>
  </si>
  <si>
    <t>70113</t>
  </si>
  <si>
    <t>04700244</t>
  </si>
  <si>
    <t>921463</t>
  </si>
  <si>
    <t>08102625_2</t>
  </si>
  <si>
    <t>1640747</t>
  </si>
  <si>
    <t>7240000611</t>
  </si>
  <si>
    <t>Cobas u 601</t>
  </si>
  <si>
    <t>61</t>
  </si>
  <si>
    <t>Cobas u 701</t>
  </si>
  <si>
    <t>Стерилизатор паровой</t>
  </si>
  <si>
    <t>ВК-75-01</t>
  </si>
  <si>
    <t>01850811</t>
  </si>
  <si>
    <t>08104052</t>
  </si>
  <si>
    <t>Лаб Бак</t>
  </si>
  <si>
    <t>Автоклавная</t>
  </si>
  <si>
    <t>09230316-1</t>
  </si>
  <si>
    <t>7360000339</t>
  </si>
  <si>
    <t>07-19667</t>
  </si>
  <si>
    <t>03.10.2011</t>
  </si>
  <si>
    <t>04700253</t>
  </si>
  <si>
    <t>ED 53</t>
  </si>
  <si>
    <t>06-08055</t>
  </si>
  <si>
    <t>101350023</t>
  </si>
  <si>
    <t>ЭМО ДЭ-25</t>
  </si>
  <si>
    <t>496</t>
  </si>
  <si>
    <t>1996</t>
  </si>
  <si>
    <t>01370545</t>
  </si>
  <si>
    <t>ЦСО</t>
  </si>
  <si>
    <t>ЦСО 1</t>
  </si>
  <si>
    <t>ТЗМОИ АЭ-25 МО</t>
  </si>
  <si>
    <t>708</t>
  </si>
  <si>
    <t>04700333</t>
  </si>
  <si>
    <t>КРОНТ ОРУБн-03 (ДЕЗАР-3)</t>
  </si>
  <si>
    <t>18030</t>
  </si>
  <si>
    <t>04800606</t>
  </si>
  <si>
    <t>18032</t>
  </si>
  <si>
    <t>04800697</t>
  </si>
  <si>
    <t>Сборник для хранения очищенной воды</t>
  </si>
  <si>
    <t>ТЗМОИ С-25-01</t>
  </si>
  <si>
    <t>56</t>
  </si>
  <si>
    <t>04700334</t>
  </si>
  <si>
    <t>Скрыт</t>
  </si>
  <si>
    <t>62</t>
  </si>
  <si>
    <t>04700335</t>
  </si>
  <si>
    <t>ТЗМОИ ГК-100-3</t>
  </si>
  <si>
    <t>01330411</t>
  </si>
  <si>
    <t>04.2011</t>
  </si>
  <si>
    <t>04700155</t>
  </si>
  <si>
    <t>03660514</t>
  </si>
  <si>
    <t>2360000444</t>
  </si>
  <si>
    <t>ТЗМОИ ГК-100-4</t>
  </si>
  <si>
    <t>21012400179</t>
  </si>
  <si>
    <t>00080716</t>
  </si>
  <si>
    <t>07.2016</t>
  </si>
  <si>
    <t>7360000338</t>
  </si>
  <si>
    <t>154521</t>
  </si>
  <si>
    <t>08105932</t>
  </si>
  <si>
    <t>ЦСО 2</t>
  </si>
  <si>
    <t>15147</t>
  </si>
  <si>
    <t>08103009</t>
  </si>
  <si>
    <t>02610412</t>
  </si>
  <si>
    <t>08104053</t>
  </si>
  <si>
    <t>00320212</t>
  </si>
  <si>
    <t>02.2011</t>
  </si>
  <si>
    <t>08104054</t>
  </si>
  <si>
    <t>301AV20026058</t>
  </si>
  <si>
    <t>41012412326</t>
  </si>
  <si>
    <t>2 Этаж</t>
  </si>
  <si>
    <t>33604</t>
  </si>
  <si>
    <t>71012400255</t>
  </si>
  <si>
    <t>Перевязочный</t>
  </si>
  <si>
    <t>ГП-80 СПУ</t>
  </si>
  <si>
    <t>40375</t>
  </si>
  <si>
    <t>7360000053</t>
  </si>
  <si>
    <t>301AV20024096</t>
  </si>
  <si>
    <t>41012412325</t>
  </si>
  <si>
    <t>B.Well WF-4000</t>
  </si>
  <si>
    <t>2007N01075</t>
  </si>
  <si>
    <t>220TV20002916</t>
  </si>
  <si>
    <t>71012400289</t>
  </si>
  <si>
    <t>34029</t>
  </si>
  <si>
    <t>71012400254</t>
  </si>
  <si>
    <t>154514</t>
  </si>
  <si>
    <t>31766</t>
  </si>
  <si>
    <t>71012400253</t>
  </si>
  <si>
    <t>203 Палата 1</t>
  </si>
  <si>
    <t>34032</t>
  </si>
  <si>
    <t>71012400252</t>
  </si>
  <si>
    <t>Палата</t>
  </si>
  <si>
    <t>301AV20025569</t>
  </si>
  <si>
    <t>41012412327</t>
  </si>
  <si>
    <t>107 Ординат</t>
  </si>
  <si>
    <t>41853</t>
  </si>
  <si>
    <t>71012400248</t>
  </si>
  <si>
    <t>106 Палата 4</t>
  </si>
  <si>
    <t>34043</t>
  </si>
  <si>
    <t>105 Палата 5</t>
  </si>
  <si>
    <t>34045</t>
  </si>
  <si>
    <t>71012400247</t>
  </si>
  <si>
    <t>104 Столовая</t>
  </si>
  <si>
    <t>06.2019</t>
  </si>
  <si>
    <t>1 Этаж</t>
  </si>
  <si>
    <t>301AV20025951</t>
  </si>
  <si>
    <t>41012412322</t>
  </si>
  <si>
    <t>Охрана</t>
  </si>
  <si>
    <t>301AV20026182</t>
  </si>
  <si>
    <t>41012412323</t>
  </si>
  <si>
    <t>220TV20002888</t>
  </si>
  <si>
    <t>71012400288</t>
  </si>
  <si>
    <t>301AV20025967</t>
  </si>
  <si>
    <t>41012412324</t>
  </si>
  <si>
    <t>Richard Wolf ENDOCAM FLEX HD</t>
  </si>
  <si>
    <t>1100801170</t>
  </si>
  <si>
    <t>02.08.2021</t>
  </si>
  <si>
    <t>12</t>
  </si>
  <si>
    <t>5000234271</t>
  </si>
  <si>
    <t>VO22418</t>
  </si>
  <si>
    <t>08.2021</t>
  </si>
  <si>
    <t>ATMOS RS 221</t>
  </si>
  <si>
    <t>200000605-09983</t>
  </si>
  <si>
    <t>10.2012</t>
  </si>
  <si>
    <t>2539U1207R</t>
  </si>
  <si>
    <t>08104776</t>
  </si>
  <si>
    <t>Моторизированное операционное кресло</t>
  </si>
  <si>
    <t>UFSK Surgiline</t>
  </si>
  <si>
    <t>1288-702 240</t>
  </si>
  <si>
    <t>06.2015</t>
  </si>
  <si>
    <t>7240000128</t>
  </si>
  <si>
    <t>33__5</t>
  </si>
  <si>
    <t>201_</t>
  </si>
  <si>
    <t>0515260543</t>
  </si>
  <si>
    <t>0515261215</t>
  </si>
  <si>
    <t>0515280534</t>
  </si>
  <si>
    <t>0515280538</t>
  </si>
  <si>
    <t>0515280548</t>
  </si>
  <si>
    <t>0515280536</t>
  </si>
  <si>
    <t>Матрац медицинский электрический</t>
  </si>
  <si>
    <t>Thermoelite MCI 2N</t>
  </si>
  <si>
    <t>71012400264</t>
  </si>
  <si>
    <t>Стом. Хир</t>
  </si>
  <si>
    <t>3</t>
  </si>
  <si>
    <t>241906026</t>
  </si>
  <si>
    <t>20.06.2015</t>
  </si>
  <si>
    <t>08104772</t>
  </si>
  <si>
    <t>4</t>
  </si>
  <si>
    <t>Vacuklav 24 BL+</t>
  </si>
  <si>
    <t>202124-BL1186</t>
  </si>
  <si>
    <t>28.06.2021</t>
  </si>
  <si>
    <t>SurgicXT Plus NE179</t>
  </si>
  <si>
    <t>08904490</t>
  </si>
  <si>
    <t>08102800_2</t>
  </si>
  <si>
    <t>301AV20026039</t>
  </si>
  <si>
    <t>41012412366</t>
  </si>
  <si>
    <t>Стационар</t>
  </si>
  <si>
    <t>301AV20024107</t>
  </si>
  <si>
    <t>41012412363</t>
  </si>
  <si>
    <t>Палата 7</t>
  </si>
  <si>
    <t>301AV20024976</t>
  </si>
  <si>
    <t>41012412364</t>
  </si>
  <si>
    <t>20180118937LG</t>
  </si>
  <si>
    <t>301AV20026066</t>
  </si>
  <si>
    <t>41012412360</t>
  </si>
  <si>
    <t>301AV20025945</t>
  </si>
  <si>
    <t>41012412369</t>
  </si>
  <si>
    <t>Азов ОБПе-300</t>
  </si>
  <si>
    <t>07.2020</t>
  </si>
  <si>
    <t>301AV20025933</t>
  </si>
  <si>
    <t>33986</t>
  </si>
  <si>
    <t>71012400239</t>
  </si>
  <si>
    <t>301AV20026056</t>
  </si>
  <si>
    <t>41012412365</t>
  </si>
  <si>
    <t>POZIS ХФ-250-1</t>
  </si>
  <si>
    <t>205CV20006838</t>
  </si>
  <si>
    <t>08.2009</t>
  </si>
  <si>
    <t>Процедур</t>
  </si>
  <si>
    <t>301AV20026012</t>
  </si>
  <si>
    <t>POZIS ХФ-140-1</t>
  </si>
  <si>
    <t>216CV20005321</t>
  </si>
  <si>
    <t>03.2019</t>
  </si>
  <si>
    <t>71012400307</t>
  </si>
  <si>
    <t>54934</t>
  </si>
  <si>
    <t>71012400222</t>
  </si>
  <si>
    <t>Кресло-кровать операционное</t>
  </si>
  <si>
    <t>08104746</t>
  </si>
  <si>
    <t>04700133</t>
  </si>
  <si>
    <t>Ординаторская</t>
  </si>
  <si>
    <t>20181002899LG</t>
  </si>
  <si>
    <t>_5291</t>
  </si>
  <si>
    <t>08102627_2</t>
  </si>
  <si>
    <t>1 этаж</t>
  </si>
  <si>
    <t>41914</t>
  </si>
  <si>
    <t>71012400133</t>
  </si>
  <si>
    <t>Госпитализация</t>
  </si>
  <si>
    <t>ВМЭН-150-50/100-Д-А</t>
  </si>
  <si>
    <t>00259</t>
  </si>
  <si>
    <t>7240000204</t>
  </si>
  <si>
    <t>00473</t>
  </si>
  <si>
    <t>41609</t>
  </si>
  <si>
    <t>Armed</t>
  </si>
  <si>
    <t>1811V10437</t>
  </si>
  <si>
    <r>
      <t xml:space="preserve">A201708048 </t>
    </r>
    <r>
      <rPr>
        <sz val="11"/>
        <color theme="1"/>
        <rFont val="Calibri"/>
        <family val="2"/>
        <charset val="204"/>
        <scheme val="minor"/>
      </rPr>
      <t>000848</t>
    </r>
  </si>
  <si>
    <t>ЛФК</t>
  </si>
  <si>
    <t>MediTech</t>
  </si>
  <si>
    <t>2011A02083</t>
  </si>
  <si>
    <t>Смотровой</t>
  </si>
  <si>
    <t>46052</t>
  </si>
  <si>
    <t>71012400139</t>
  </si>
  <si>
    <t>20130301712UF</t>
  </si>
  <si>
    <t>46017</t>
  </si>
  <si>
    <t>71012400131</t>
  </si>
  <si>
    <t>301AV20025942</t>
  </si>
  <si>
    <t>301AV20025943</t>
  </si>
  <si>
    <t>41581</t>
  </si>
  <si>
    <t>2360000468</t>
  </si>
  <si>
    <t>08105981</t>
  </si>
  <si>
    <t>A201708048 000756</t>
  </si>
  <si>
    <t>A201708048 001032</t>
  </si>
  <si>
    <t>A201708048 000822</t>
  </si>
  <si>
    <t>A201708048 000821</t>
  </si>
  <si>
    <t>49473</t>
  </si>
  <si>
    <t>71012400135</t>
  </si>
  <si>
    <t>55___</t>
  </si>
  <si>
    <t>2 этаж</t>
  </si>
  <si>
    <t>301AV20025959</t>
  </si>
  <si>
    <t>46065</t>
  </si>
  <si>
    <t>71012400129</t>
  </si>
  <si>
    <t>200400091</t>
  </si>
  <si>
    <t>71012411489</t>
  </si>
  <si>
    <t>113011</t>
  </si>
  <si>
    <t>236000450</t>
  </si>
  <si>
    <t>Процедурный 2</t>
  </si>
  <si>
    <t>1103014</t>
  </si>
  <si>
    <t>Процедурный 1</t>
  </si>
  <si>
    <t>Nihon Kohden ECG-9620M</t>
  </si>
  <si>
    <t>03063</t>
  </si>
  <si>
    <t>04700154</t>
  </si>
  <si>
    <t>220TV20002899</t>
  </si>
  <si>
    <t>41605</t>
  </si>
  <si>
    <t>08102990_2</t>
  </si>
  <si>
    <t>A201708048 000820</t>
  </si>
  <si>
    <t>MD300C22</t>
  </si>
  <si>
    <t>191207802109</t>
  </si>
  <si>
    <t>04.2019</t>
  </si>
  <si>
    <t>PHYSIOMED HIVAMAT 200 Evident</t>
  </si>
  <si>
    <t>H2E-1203408</t>
  </si>
  <si>
    <t>08104601</t>
  </si>
  <si>
    <t>Массажный</t>
  </si>
  <si>
    <t>A201708048 000993</t>
  </si>
  <si>
    <t>Массажер медицинский</t>
  </si>
  <si>
    <t>Nozomi MH-103</t>
  </si>
  <si>
    <t>E 1303002097</t>
  </si>
  <si>
    <t>08105310</t>
  </si>
  <si>
    <t>39030</t>
  </si>
  <si>
    <t>Окладников</t>
  </si>
  <si>
    <t>Alcon Constellation Vision System</t>
  </si>
  <si>
    <t>2101340601X</t>
  </si>
  <si>
    <t>06.04.2021</t>
  </si>
  <si>
    <t>Глазное</t>
  </si>
  <si>
    <t>Опер. Блок</t>
  </si>
  <si>
    <t>2101394801X</t>
  </si>
  <si>
    <t>20.04.2021</t>
  </si>
  <si>
    <t>71012413260</t>
  </si>
  <si>
    <t>5473</t>
  </si>
  <si>
    <t>08106284</t>
  </si>
  <si>
    <t>FS 2-11</t>
  </si>
  <si>
    <t>1026</t>
  </si>
  <si>
    <t>АКСИМА 720/720</t>
  </si>
  <si>
    <t>13-358</t>
  </si>
  <si>
    <t>08106071</t>
  </si>
  <si>
    <t>163</t>
  </si>
  <si>
    <t>08103094</t>
  </si>
  <si>
    <t>931286</t>
  </si>
  <si>
    <t>08104232</t>
  </si>
  <si>
    <t>0141</t>
  </si>
  <si>
    <t>24949</t>
  </si>
  <si>
    <t>7240000794</t>
  </si>
  <si>
    <t>39892</t>
  </si>
  <si>
    <t>7240000793</t>
  </si>
  <si>
    <t>27688</t>
  </si>
  <si>
    <t>7240000797</t>
  </si>
  <si>
    <t>URUL-0089</t>
  </si>
  <si>
    <t>04101991</t>
  </si>
  <si>
    <t>TOPCON OMS-110</t>
  </si>
  <si>
    <t>210101</t>
  </si>
  <si>
    <t>01350046</t>
  </si>
  <si>
    <t>АКСИМА 720</t>
  </si>
  <si>
    <t>13-357</t>
  </si>
  <si>
    <t>0240021</t>
  </si>
  <si>
    <t>Система водоподготовки</t>
  </si>
  <si>
    <t>МЕДИАНА-ФИЛЬТР</t>
  </si>
  <si>
    <t>MF0H82B4R</t>
  </si>
  <si>
    <t>28.08.2017</t>
  </si>
  <si>
    <t>71012413195</t>
  </si>
  <si>
    <t>DK50 2VS/M</t>
  </si>
  <si>
    <t>S6932-04-2021</t>
  </si>
  <si>
    <t>301AV20025946</t>
  </si>
  <si>
    <t>41012412375</t>
  </si>
  <si>
    <t>КДП 2</t>
  </si>
  <si>
    <t>301AV20026074</t>
  </si>
  <si>
    <t>41012412329</t>
  </si>
  <si>
    <t>КДП Холл</t>
  </si>
  <si>
    <t>Стерилизатор ИК</t>
  </si>
  <si>
    <t>Московский Авциационный Институт СТ-ИК-МАИ</t>
  </si>
  <si>
    <t>1.0 224</t>
  </si>
  <si>
    <t>08105369</t>
  </si>
  <si>
    <t>Глазная</t>
  </si>
  <si>
    <t>КДП 4</t>
  </si>
  <si>
    <t>Стерилизатор паровой (автоклав)</t>
  </si>
  <si>
    <t>Melag Vacuklav 23 B+</t>
  </si>
  <si>
    <t>201823-B1279</t>
  </si>
  <si>
    <t>71012400014</t>
  </si>
  <si>
    <t>Стерилизатор паровой кассетный</t>
  </si>
  <si>
    <t>STATIM 5000S</t>
  </si>
  <si>
    <t>140717I00009</t>
  </si>
  <si>
    <t>01.09.2017</t>
  </si>
  <si>
    <t>21012400174</t>
  </si>
  <si>
    <t>2137</t>
  </si>
  <si>
    <t>12.2008</t>
  </si>
  <si>
    <t>Cтерилизатор cуховоздушный</t>
  </si>
  <si>
    <t>ШСТ ГП80-400</t>
  </si>
  <si>
    <t>02387</t>
  </si>
  <si>
    <t>08102418</t>
  </si>
  <si>
    <t>Смоленское СКТБ СПУ ГП-80</t>
  </si>
  <si>
    <t>47817</t>
  </si>
  <si>
    <t>7240000792</t>
  </si>
  <si>
    <t>Перевязочная</t>
  </si>
  <si>
    <t>714</t>
  </si>
  <si>
    <t>7240000053</t>
  </si>
  <si>
    <t>Кожная</t>
  </si>
  <si>
    <t>28460</t>
  </si>
  <si>
    <t>08105330</t>
  </si>
  <si>
    <t>КДП 1</t>
  </si>
  <si>
    <t>29031</t>
  </si>
  <si>
    <t>08105331</t>
  </si>
  <si>
    <t>Melag Vacuklav 24 BL+</t>
  </si>
  <si>
    <t>1224-BL1155</t>
  </si>
  <si>
    <t>081105395</t>
  </si>
  <si>
    <t>246_5</t>
  </si>
  <si>
    <t>08103026_2</t>
  </si>
  <si>
    <t>7240000013</t>
  </si>
  <si>
    <t>7240000012</t>
  </si>
  <si>
    <t>1023V-S1207</t>
  </si>
  <si>
    <t>P&amp;T Medical BTD23-A</t>
  </si>
  <si>
    <t>BTD12050358w</t>
  </si>
  <si>
    <t>08103047_2</t>
  </si>
  <si>
    <t>Стом. Орт</t>
  </si>
  <si>
    <t>103</t>
  </si>
  <si>
    <t>Binder FD 53</t>
  </si>
  <si>
    <t>20180000001436</t>
  </si>
  <si>
    <t>210112400191</t>
  </si>
  <si>
    <t>115</t>
  </si>
  <si>
    <t>BTD11050320</t>
  </si>
  <si>
    <t>08103045_2</t>
  </si>
  <si>
    <t>Mocom Neutra B2</t>
  </si>
  <si>
    <t>17K00034</t>
  </si>
  <si>
    <t>08.03.2017</t>
  </si>
  <si>
    <t>2240000082</t>
  </si>
  <si>
    <t>120</t>
  </si>
  <si>
    <t>Binder ED 53</t>
  </si>
  <si>
    <t>20170000002493</t>
  </si>
  <si>
    <t>2240000084</t>
  </si>
  <si>
    <t>121</t>
  </si>
  <si>
    <t>BTD12050357w</t>
  </si>
  <si>
    <t>08104105</t>
  </si>
  <si>
    <t>ГП-40 СПУ</t>
  </si>
  <si>
    <t>17331</t>
  </si>
  <si>
    <t>08102731_2</t>
  </si>
  <si>
    <t>316</t>
  </si>
  <si>
    <t>Stern Weber SW-22</t>
  </si>
  <si>
    <t>AS101188</t>
  </si>
  <si>
    <t>02.02.2021</t>
  </si>
  <si>
    <t>Стом. Тер</t>
  </si>
  <si>
    <t>203</t>
  </si>
  <si>
    <t>NewClave Autohouse AD7</t>
  </si>
  <si>
    <t>2 0903008</t>
  </si>
  <si>
    <t>216</t>
  </si>
  <si>
    <t>Tau Steril Clinic Automatic</t>
  </si>
  <si>
    <t>45949</t>
  </si>
  <si>
    <t>08102555</t>
  </si>
  <si>
    <t>BTD14110621w</t>
  </si>
  <si>
    <t>218</t>
  </si>
  <si>
    <t>08102236_2
08102478_3</t>
  </si>
  <si>
    <t>Binder ED 115</t>
  </si>
  <si>
    <t>09-06789</t>
  </si>
  <si>
    <t>08102634</t>
  </si>
  <si>
    <t>205</t>
  </si>
  <si>
    <t>Memmert SFE 550</t>
  </si>
  <si>
    <t>08106162</t>
  </si>
  <si>
    <t>Mocom B Now 2</t>
  </si>
  <si>
    <t>17K00037</t>
  </si>
  <si>
    <t>Binder FD 240</t>
  </si>
  <si>
    <t>14-09944</t>
  </si>
  <si>
    <t>7240000054</t>
  </si>
  <si>
    <t>1324-BL 1015</t>
  </si>
  <si>
    <t>ГРПЗ ГП-160-"ПЗ"</t>
  </si>
  <si>
    <t>158</t>
  </si>
  <si>
    <t>2360000542</t>
  </si>
  <si>
    <t>Melag MELAquick 12+</t>
  </si>
  <si>
    <t>201512+1474</t>
  </si>
  <si>
    <t>ГРПЗ ГКа-100-ПЗ</t>
  </si>
  <si>
    <t>206</t>
  </si>
  <si>
    <t>410112400112</t>
  </si>
  <si>
    <t>Система конусно-лучевой волюметрической
томографии и панорамной дентальной
рентгенографии</t>
  </si>
  <si>
    <t>Gendex CB-500</t>
  </si>
  <si>
    <t>NU012494</t>
  </si>
  <si>
    <t>05.2017</t>
  </si>
  <si>
    <t>105, КЛКТ</t>
  </si>
  <si>
    <t>Психиатрия</t>
  </si>
  <si>
    <t>Меринова</t>
  </si>
  <si>
    <t>Авторефрактометр</t>
  </si>
  <si>
    <t>41012412333</t>
  </si>
  <si>
    <t>301AV20025930</t>
  </si>
  <si>
    <t>A201708048 000980</t>
  </si>
  <si>
    <t>41012412374</t>
  </si>
  <si>
    <t>301AV20026084</t>
  </si>
  <si>
    <t>040954</t>
  </si>
  <si>
    <t>КДП 3</t>
  </si>
  <si>
    <t>08105090</t>
  </si>
  <si>
    <t>15016</t>
  </si>
  <si>
    <t>10</t>
  </si>
  <si>
    <t>041486</t>
  </si>
  <si>
    <t>A201708048 000890</t>
  </si>
  <si>
    <t>039367</t>
  </si>
  <si>
    <t>041162</t>
  </si>
  <si>
    <t>41012412376</t>
  </si>
  <si>
    <t>301AV20024117</t>
  </si>
  <si>
    <t>301AV20026154</t>
  </si>
  <si>
    <t>41012412330</t>
  </si>
  <si>
    <t>41012412334</t>
  </si>
  <si>
    <t>301AV20026080</t>
  </si>
  <si>
    <t>301AV20026070</t>
  </si>
  <si>
    <t>Палата 6</t>
  </si>
  <si>
    <t>072551</t>
  </si>
  <si>
    <t>041498</t>
  </si>
  <si>
    <t>71012400309</t>
  </si>
  <si>
    <t>220TV20002825</t>
  </si>
  <si>
    <t>08.2019</t>
  </si>
  <si>
    <t>301AV20026059</t>
  </si>
  <si>
    <t>41012412328</t>
  </si>
  <si>
    <t>46016</t>
  </si>
  <si>
    <t>7240000795</t>
  </si>
  <si>
    <t>41012412332</t>
  </si>
  <si>
    <t>301AV20026064</t>
  </si>
  <si>
    <t>040968</t>
  </si>
  <si>
    <t>71012400143</t>
  </si>
  <si>
    <t>15177</t>
  </si>
  <si>
    <t>08105124</t>
  </si>
  <si>
    <t>009104944</t>
  </si>
  <si>
    <t>CAS SW-05</t>
  </si>
  <si>
    <t>CAS ED-H</t>
  </si>
  <si>
    <t>1407ED304283</t>
  </si>
  <si>
    <t>04.07.2014</t>
  </si>
  <si>
    <t>71012400007</t>
  </si>
  <si>
    <t>SR13101</t>
  </si>
  <si>
    <t>03.2012</t>
  </si>
  <si>
    <t>08103975</t>
  </si>
  <si>
    <t>Fona-F1</t>
  </si>
  <si>
    <t>0800433</t>
  </si>
  <si>
    <t>26.03.2006</t>
  </si>
  <si>
    <t>ОПТОДАН АЛСТ-01</t>
  </si>
  <si>
    <t>08102620_2</t>
  </si>
  <si>
    <t>08103960</t>
  </si>
  <si>
    <t>SR13846</t>
  </si>
  <si>
    <t>02.2012</t>
  </si>
  <si>
    <t>EMS PIEZON MASTER 700</t>
  </si>
  <si>
    <t>2360000266</t>
  </si>
  <si>
    <t>DN03348</t>
  </si>
  <si>
    <t>08102177_2</t>
  </si>
  <si>
    <t>08102178_1</t>
  </si>
  <si>
    <t>08102179_2</t>
  </si>
  <si>
    <t>0702037</t>
  </si>
  <si>
    <t>13.12.2007</t>
  </si>
  <si>
    <t>EMS PIEZON MASTER 600</t>
  </si>
  <si>
    <t>AZ04383</t>
  </si>
  <si>
    <t>2360000267</t>
  </si>
  <si>
    <t>08104011</t>
  </si>
  <si>
    <t>DN03349</t>
  </si>
  <si>
    <t>08103959</t>
  </si>
  <si>
    <t>SR13923</t>
  </si>
  <si>
    <t>71012400244</t>
  </si>
  <si>
    <t>41906</t>
  </si>
  <si>
    <t>08103952</t>
  </si>
  <si>
    <t>DP1232012-00-55</t>
  </si>
  <si>
    <t>BeeFill 2in1 AEU-55VDW</t>
  </si>
  <si>
    <t>040465</t>
  </si>
  <si>
    <t>10.2020</t>
  </si>
  <si>
    <t>АЭ-01 endoEST</t>
  </si>
  <si>
    <t>0800435</t>
  </si>
  <si>
    <t>31.03.2008</t>
  </si>
  <si>
    <t>08103963</t>
  </si>
  <si>
    <t>SR13855</t>
  </si>
  <si>
    <t>08102394_3</t>
  </si>
  <si>
    <t>0702036</t>
  </si>
  <si>
    <t>03.02.2007</t>
  </si>
  <si>
    <t>08103973</t>
  </si>
  <si>
    <t>SR13637</t>
  </si>
  <si>
    <t>08102393_3</t>
  </si>
  <si>
    <t>0702034</t>
  </si>
  <si>
    <t>15.02.2007</t>
  </si>
  <si>
    <t>DN03357</t>
  </si>
  <si>
    <t>08103970</t>
  </si>
  <si>
    <t>SR13629</t>
  </si>
  <si>
    <t>2360000269</t>
  </si>
  <si>
    <t>DN03356</t>
  </si>
  <si>
    <t>08102392_3</t>
  </si>
  <si>
    <t>08103962</t>
  </si>
  <si>
    <t>SR13110</t>
  </si>
  <si>
    <t>2360000270</t>
  </si>
  <si>
    <t>DN03772</t>
  </si>
  <si>
    <t>7240000721</t>
  </si>
  <si>
    <t>14849</t>
  </si>
  <si>
    <t>04865329</t>
  </si>
  <si>
    <t>08102391_3</t>
  </si>
  <si>
    <t>0702033</t>
  </si>
  <si>
    <t>12.12.2007</t>
  </si>
  <si>
    <t>2360000271</t>
  </si>
  <si>
    <t>DN3845</t>
  </si>
  <si>
    <t>08103961</t>
  </si>
  <si>
    <t>SR13639</t>
  </si>
  <si>
    <t>040469</t>
  </si>
  <si>
    <t>0 6348 0003412</t>
  </si>
  <si>
    <t>Бирюса 150</t>
  </si>
  <si>
    <t>Euronda Ultrasonic Cleaner E3N</t>
  </si>
  <si>
    <t>24.02.2014</t>
  </si>
  <si>
    <t>EAT140033</t>
  </si>
  <si>
    <t>10.2018</t>
  </si>
  <si>
    <t>MW1810D0161</t>
  </si>
  <si>
    <t>Woson SEAL 100</t>
  </si>
  <si>
    <t>2101240273</t>
  </si>
  <si>
    <t>08102369_3</t>
  </si>
  <si>
    <t>08102370_3</t>
  </si>
  <si>
    <t>22935</t>
  </si>
  <si>
    <t>7240000722</t>
  </si>
  <si>
    <t>14847</t>
  </si>
  <si>
    <t>0418280809</t>
  </si>
  <si>
    <t>7240000730</t>
  </si>
  <si>
    <t>10414</t>
  </si>
  <si>
    <t>08104056</t>
  </si>
  <si>
    <t>22912</t>
  </si>
  <si>
    <t>41012400285</t>
  </si>
  <si>
    <t>Установка стоматологическая</t>
  </si>
  <si>
    <t>1900106</t>
  </si>
  <si>
    <t>AJ15</t>
  </si>
  <si>
    <t>41012400287</t>
  </si>
  <si>
    <t>1903351</t>
  </si>
  <si>
    <t>41012400289</t>
  </si>
  <si>
    <t>1903349</t>
  </si>
  <si>
    <t>41012400290</t>
  </si>
  <si>
    <t>1905828</t>
  </si>
  <si>
    <t>08102194</t>
  </si>
  <si>
    <t>18996</t>
  </si>
  <si>
    <t>301AV20025955</t>
  </si>
  <si>
    <t>006047</t>
  </si>
  <si>
    <t>ЭЛИД ОБПе-450</t>
  </si>
  <si>
    <t>0 6348 0003143</t>
  </si>
  <si>
    <t>07.2019</t>
  </si>
  <si>
    <t>08104075</t>
  </si>
  <si>
    <t>1202065</t>
  </si>
  <si>
    <t>10.06.2012</t>
  </si>
  <si>
    <t>Fona-1000 C</t>
  </si>
  <si>
    <t>08104076</t>
  </si>
  <si>
    <t>1202058</t>
  </si>
  <si>
    <t>08104079</t>
  </si>
  <si>
    <t>1202062</t>
  </si>
  <si>
    <t>01370562</t>
  </si>
  <si>
    <t>F692222</t>
  </si>
  <si>
    <t>006049</t>
  </si>
  <si>
    <t>41012400189</t>
  </si>
  <si>
    <t>Dental Simulator Leonardo</t>
  </si>
  <si>
    <t>1812047</t>
  </si>
  <si>
    <t>25.12.2018</t>
  </si>
  <si>
    <t>4865320</t>
  </si>
  <si>
    <t>НС 18x13</t>
  </si>
  <si>
    <t>368</t>
  </si>
  <si>
    <t>1992</t>
  </si>
  <si>
    <t>08105929</t>
  </si>
  <si>
    <t>153816</t>
  </si>
  <si>
    <t>08104055</t>
  </si>
  <si>
    <t>22915</t>
  </si>
  <si>
    <t>41012400288</t>
  </si>
  <si>
    <t>AJ18</t>
  </si>
  <si>
    <t>182103</t>
  </si>
  <si>
    <t>4865329</t>
  </si>
  <si>
    <t>182841</t>
  </si>
  <si>
    <t>41012400286</t>
  </si>
  <si>
    <t>41012400299</t>
  </si>
  <si>
    <t>182794</t>
  </si>
  <si>
    <t>AJ16</t>
  </si>
  <si>
    <t>7240000729</t>
  </si>
  <si>
    <t>33881</t>
  </si>
  <si>
    <t>41012400419</t>
  </si>
  <si>
    <t>1903355</t>
  </si>
  <si>
    <t>301AV20024095</t>
  </si>
  <si>
    <t>08102364</t>
  </si>
  <si>
    <t>4271</t>
  </si>
  <si>
    <t>7240000731</t>
  </si>
  <si>
    <t>10416</t>
  </si>
  <si>
    <t>Ферропласт Медикал КБ-03-"Я"-ФП</t>
  </si>
  <si>
    <t>Omron NE-C29-RU</t>
  </si>
  <si>
    <t>Omron M2 Basic (HEM-7121-ALRU)</t>
  </si>
  <si>
    <t>Измеритель артериального давления электронный (тонометр)</t>
  </si>
  <si>
    <t>20130301638UF</t>
  </si>
  <si>
    <t>Система ультразвуковой диагностики (УЗИ)</t>
  </si>
  <si>
    <t>Датчик УЗИ конвексный 1.5-5 Мгц</t>
  </si>
  <si>
    <t>Датчик УЗИ конвексный 3.75 МГц</t>
  </si>
  <si>
    <t>Датчик УЗИ конвексный внутриполосной</t>
  </si>
  <si>
    <t>Датчик УЗИ линейный 2.4-10.0 МГц</t>
  </si>
  <si>
    <t>Датчик УЗИ линейный 4.5-15.0 МГц</t>
  </si>
  <si>
    <t>Датчик УЗИ линейный 8.0 МГц</t>
  </si>
  <si>
    <t>Датчик УЗИ микроконвексный внутриполосной</t>
  </si>
  <si>
    <t>Датчик УЗИ секторный 1.7-4.6 МГц</t>
  </si>
  <si>
    <t>Датчик УЗИ секторный 3.0 МГц</t>
  </si>
  <si>
    <t>Датчик УЗИ электронный конвексный</t>
  </si>
  <si>
    <t>Датчик УЗИ</t>
  </si>
  <si>
    <t>A201708048 000971</t>
  </si>
  <si>
    <t>Little Doctor LD-SO13</t>
  </si>
  <si>
    <t>Измеритель артериального давления механический (тонометр)</t>
  </si>
  <si>
    <t>Холодильник медицинский фармацевтический</t>
  </si>
  <si>
    <t>Аппарат эндодонтический комбинированный</t>
  </si>
  <si>
    <t>Ротатор</t>
  </si>
  <si>
    <t>Аппарат ультразвуковой стоматологический</t>
  </si>
  <si>
    <t>VDW SILVER RECIPROC</t>
  </si>
  <si>
    <t>Аппарат эндодонтический</t>
  </si>
  <si>
    <t>Nihon Kohden TEC-7731К</t>
  </si>
  <si>
    <t>Nihon Kohden ECG-9130K</t>
  </si>
  <si>
    <t>Аппарат одонтодиагностический электромеханический</t>
  </si>
  <si>
    <t>Аппарат лазерный полупроводниковый стоматологический терапевтический</t>
  </si>
  <si>
    <t>Устройство упаковки изделий перед стерилизацией</t>
  </si>
  <si>
    <t>Микроскоп операционный офтальмологический</t>
  </si>
  <si>
    <t>Аппарат хирургический (физиодиспенсер)</t>
  </si>
  <si>
    <t>Налобный осветитель</t>
  </si>
  <si>
    <t>08104212</t>
  </si>
  <si>
    <t>Acteon Piezotome Solo LED</t>
  </si>
  <si>
    <t>Аппарат для массажа переменным электростатическим полем</t>
  </si>
  <si>
    <t>Аппарат стоматологический</t>
  </si>
  <si>
    <t>Karl Storz Power LED 175 20161420-1</t>
  </si>
  <si>
    <t>Performer Dental Chair 8000</t>
  </si>
  <si>
    <t>Кресло стоматологиечкое</t>
  </si>
  <si>
    <t>Ординаторска 1</t>
  </si>
  <si>
    <t>A201708048 000975</t>
  </si>
  <si>
    <t>A201708048 000764</t>
  </si>
  <si>
    <t>A201708048 001010</t>
  </si>
  <si>
    <t>09182875</t>
  </si>
  <si>
    <t>A201708048 000894</t>
  </si>
  <si>
    <t>A201708048 000965</t>
  </si>
  <si>
    <t>03.2020</t>
  </si>
  <si>
    <t>202007708890</t>
  </si>
  <si>
    <t>ChoiceMMed MD300C21C</t>
  </si>
  <si>
    <t>202007708885</t>
  </si>
  <si>
    <t>A201708048 000938</t>
  </si>
  <si>
    <t xml:space="preserve">A201708048 000849 </t>
  </si>
  <si>
    <t>20180122948LG</t>
  </si>
  <si>
    <t>08106057</t>
  </si>
  <si>
    <t>121206943</t>
  </si>
  <si>
    <t>121200988</t>
  </si>
  <si>
    <t>Berrcom JXB-178</t>
  </si>
  <si>
    <t>Система для витректомии</t>
  </si>
  <si>
    <t>Симулятор стоматологический виртуальный</t>
  </si>
  <si>
    <t>Richard Wolf Control unit COMBIDRIVE EN 20951</t>
  </si>
  <si>
    <t>Система моторная для микрохирургии и эндоскопии</t>
  </si>
  <si>
    <t>Видеокамера эндокопическая</t>
  </si>
  <si>
    <t>Лапароскопическая помпа</t>
  </si>
  <si>
    <t>STAGO IMP BOX</t>
  </si>
  <si>
    <t>Haag-Streit Moller-Wedel Videomodul MVS PLUS 1/4"</t>
  </si>
  <si>
    <t>Haag-Streit Moller-Wedel Hi-R 900</t>
  </si>
  <si>
    <t>Haag-Streit Moller-Wedel Halogen-Lichtquelle</t>
  </si>
  <si>
    <t>Ванна ультразвуковая</t>
  </si>
  <si>
    <t>SENSITEC P-600</t>
  </si>
  <si>
    <t>Анализатор кардиомаркеров (экспресс-анализатор)</t>
  </si>
  <si>
    <t>CS Medica JAY-5A</t>
  </si>
  <si>
    <t>Микроскоп тринокулярный</t>
  </si>
  <si>
    <t>Binder FD 115</t>
  </si>
  <si>
    <t>Кровать медицинская</t>
  </si>
  <si>
    <t>Генератор ультразвуковой</t>
  </si>
  <si>
    <t>OLYMPUS TSH (TELESCOPE HEATER)</t>
  </si>
  <si>
    <t>Нагреватель для жестких эндоскопов</t>
  </si>
  <si>
    <t>SYSMEX OPSU-11</t>
  </si>
  <si>
    <t>Устройство для автоматического пробозабора (автосимплер)</t>
  </si>
  <si>
    <t>Электрокардиоскоп</t>
  </si>
  <si>
    <t>TOSHIBA Xario XG</t>
  </si>
  <si>
    <t>SYSMEX UF-500i</t>
  </si>
  <si>
    <t>ДЗМО КГ-6-3</t>
  </si>
  <si>
    <t>301AV20026148</t>
  </si>
  <si>
    <t>41012412354</t>
  </si>
  <si>
    <t>08102774_2</t>
  </si>
  <si>
    <t>14315</t>
  </si>
  <si>
    <t>08106148</t>
  </si>
  <si>
    <t>14499</t>
  </si>
  <si>
    <t>dmetec CLEVO</t>
  </si>
  <si>
    <t>U0115A0168</t>
  </si>
  <si>
    <t>23.10.2015</t>
  </si>
  <si>
    <t>2360000440</t>
  </si>
  <si>
    <t>939123024388</t>
  </si>
  <si>
    <t>Elipar S10</t>
  </si>
  <si>
    <t>08106108</t>
  </si>
  <si>
    <t>DP1842012-00-87</t>
  </si>
  <si>
    <t>AZ04122</t>
  </si>
  <si>
    <t>EMS Piezon Master 600</t>
  </si>
  <si>
    <t>01370916_1</t>
  </si>
  <si>
    <t>E222992</t>
  </si>
  <si>
    <t>A-dec dental Chair</t>
  </si>
  <si>
    <t>2240000068</t>
  </si>
  <si>
    <t>0S708962</t>
  </si>
  <si>
    <t>08103049_2</t>
  </si>
  <si>
    <t>PII-1142517</t>
  </si>
  <si>
    <t>Dentsply Maillefer X-SMART</t>
  </si>
  <si>
    <t>Dentsply Maillefer PROPEX II</t>
  </si>
  <si>
    <t>08106146</t>
  </si>
  <si>
    <t>13372</t>
  </si>
  <si>
    <t>08103049</t>
  </si>
  <si>
    <t>PII-1240324</t>
  </si>
  <si>
    <t>2360000111</t>
  </si>
  <si>
    <t>BW03505</t>
  </si>
  <si>
    <t>AIR-FLOW S2</t>
  </si>
  <si>
    <t>08106002</t>
  </si>
  <si>
    <t>VDW.GOLD</t>
  </si>
  <si>
    <t>G10044</t>
  </si>
  <si>
    <t>03.2010</t>
  </si>
  <si>
    <t>3M ESPE Elipar S10</t>
  </si>
  <si>
    <t>939123024374</t>
  </si>
  <si>
    <t>236000441</t>
  </si>
  <si>
    <t>470085</t>
  </si>
  <si>
    <t>A608096</t>
  </si>
  <si>
    <t>Tau Steril Ultra</t>
  </si>
  <si>
    <t>95284</t>
  </si>
  <si>
    <t>08102771_2</t>
  </si>
  <si>
    <t>13211</t>
  </si>
  <si>
    <t>A201708048 000957</t>
  </si>
  <si>
    <t>14523</t>
  </si>
  <si>
    <t>21012400324</t>
  </si>
  <si>
    <t>216CV20005444</t>
  </si>
  <si>
    <t>07927787</t>
  </si>
  <si>
    <t>RAYPEX 6 VDW</t>
  </si>
  <si>
    <t>2360000209</t>
  </si>
  <si>
    <t>R6 2013122478</t>
  </si>
  <si>
    <t>2360000207</t>
  </si>
  <si>
    <t>AZ03989</t>
  </si>
  <si>
    <t>EMS SA CH-1260 Nyon</t>
  </si>
  <si>
    <t>03100084</t>
  </si>
  <si>
    <t>Бокс для проявки интраоральной пленки</t>
  </si>
  <si>
    <t>PXW 2016 124444</t>
  </si>
  <si>
    <t>Dentsply Maillefer propex pixi</t>
  </si>
  <si>
    <t>LM-ProPower 1007274</t>
  </si>
  <si>
    <t>69831-002</t>
  </si>
  <si>
    <t>04700032</t>
  </si>
  <si>
    <t>I573538</t>
  </si>
  <si>
    <t>21012400353</t>
  </si>
  <si>
    <t>SR47069</t>
  </si>
  <si>
    <t>08.2018</t>
  </si>
  <si>
    <t>08103057_2</t>
  </si>
  <si>
    <t>PII-1142355</t>
  </si>
  <si>
    <t>2240000111</t>
  </si>
  <si>
    <t>Varios 970 NE255</t>
  </si>
  <si>
    <t>B8X07544</t>
  </si>
  <si>
    <t>939123024389</t>
  </si>
  <si>
    <t>236000437</t>
  </si>
  <si>
    <t>21012400309</t>
  </si>
  <si>
    <t>22.05.2019</t>
  </si>
  <si>
    <t>08102773_2</t>
  </si>
  <si>
    <t>43297</t>
  </si>
  <si>
    <t>08102150_1</t>
  </si>
  <si>
    <t>0800257</t>
  </si>
  <si>
    <t>26.02.2008</t>
  </si>
  <si>
    <t>04700179</t>
  </si>
  <si>
    <t>Croma SF / Galla SF</t>
  </si>
  <si>
    <t>08102414_3</t>
  </si>
  <si>
    <t>TOP-308 UP</t>
  </si>
  <si>
    <t>8765</t>
  </si>
  <si>
    <t>11.2012</t>
  </si>
  <si>
    <t>41012400320</t>
  </si>
  <si>
    <t>41012400317</t>
  </si>
  <si>
    <t>1905630</t>
  </si>
  <si>
    <t>41012400318</t>
  </si>
  <si>
    <t>1905631</t>
  </si>
  <si>
    <t>1903359</t>
  </si>
  <si>
    <t>41012400221</t>
  </si>
  <si>
    <t>41012400418</t>
  </si>
  <si>
    <t>1903358</t>
  </si>
  <si>
    <t>1901802</t>
  </si>
  <si>
    <t>21012400306</t>
  </si>
  <si>
    <t>Виртуальный симулятор челюстно-лицевой хирургии С.ЧЛХ 0.1</t>
  </si>
  <si>
    <t>00330302</t>
  </si>
  <si>
    <t>08102772_2</t>
  </si>
  <si>
    <t>41970</t>
  </si>
  <si>
    <t>08103054_2</t>
  </si>
  <si>
    <t>11140135764</t>
  </si>
  <si>
    <t>CD-3800(A)</t>
  </si>
  <si>
    <t>08102144_2</t>
  </si>
  <si>
    <t>U010820315</t>
  </si>
  <si>
    <t>U011950105</t>
  </si>
  <si>
    <t>08102808_2</t>
  </si>
  <si>
    <t>Woodpecker LED.B</t>
  </si>
  <si>
    <t>L1711195B</t>
  </si>
  <si>
    <t>ДЭ-4М</t>
  </si>
  <si>
    <t>0055</t>
  </si>
  <si>
    <t>Lifumat HFS-2 St</t>
  </si>
  <si>
    <t>01370391</t>
  </si>
  <si>
    <t>Установка литейная стоматологическая</t>
  </si>
  <si>
    <t>BEGO Nautilus T 26320</t>
  </si>
  <si>
    <t>332107</t>
  </si>
  <si>
    <t>Печь универсальная предварительного нагрева</t>
  </si>
  <si>
    <t>Спарк-Дон УниТерм-50</t>
  </si>
  <si>
    <t>08102777_2</t>
  </si>
  <si>
    <t>42429</t>
  </si>
  <si>
    <t>04700127</t>
  </si>
  <si>
    <t>Аппарат пескоструйный универсальный</t>
  </si>
  <si>
    <t>Renfert Vario basic</t>
  </si>
  <si>
    <t>C02102</t>
  </si>
  <si>
    <t>08104042</t>
  </si>
  <si>
    <t>Wassermann Deg-2</t>
  </si>
  <si>
    <t>Пресс для уплотнения материалов</t>
  </si>
  <si>
    <t>146243 3333</t>
  </si>
  <si>
    <t>08103073_2</t>
  </si>
  <si>
    <t>W&amp;H MF-TECTORQUE</t>
  </si>
  <si>
    <t>Мотор зуботехнический</t>
  </si>
  <si>
    <t>08102775_2</t>
  </si>
  <si>
    <t>14503</t>
  </si>
  <si>
    <t>08105997</t>
  </si>
  <si>
    <t>ZOOM AP Lamp</t>
  </si>
  <si>
    <t>36930</t>
  </si>
  <si>
    <t>08106191</t>
  </si>
  <si>
    <t>6627203653</t>
  </si>
  <si>
    <t>Carl Zeiss S100/OPMI pico</t>
  </si>
  <si>
    <t>216CV20005443</t>
  </si>
  <si>
    <t>21012400325</t>
  </si>
  <si>
    <t>AIR-FLOW Master Piezon</t>
  </si>
  <si>
    <t>HB13917</t>
  </si>
  <si>
    <t>21012400196</t>
  </si>
  <si>
    <t>Fedesa Coral</t>
  </si>
  <si>
    <t>1806085</t>
  </si>
  <si>
    <t>21012400195</t>
  </si>
  <si>
    <t>B8X07577</t>
  </si>
  <si>
    <t>21012400320</t>
  </si>
  <si>
    <t>21012400235</t>
  </si>
  <si>
    <t>200407</t>
  </si>
  <si>
    <t>Endo STATION mini</t>
  </si>
  <si>
    <t>08106107</t>
  </si>
  <si>
    <t>200394</t>
  </si>
  <si>
    <t>21012400234</t>
  </si>
  <si>
    <t>32079</t>
  </si>
  <si>
    <t>04700073_1</t>
  </si>
  <si>
    <t>21663</t>
  </si>
  <si>
    <t>08104102</t>
  </si>
  <si>
    <t>BTFJ500</t>
  </si>
  <si>
    <t>BTFJ12050083w</t>
  </si>
  <si>
    <t>1808002</t>
  </si>
  <si>
    <t>21012400232</t>
  </si>
  <si>
    <t>DP1712017-00-092</t>
  </si>
  <si>
    <t>AEU-55VDW</t>
  </si>
  <si>
    <t>21012400321</t>
  </si>
  <si>
    <t>A4103235</t>
  </si>
  <si>
    <t>Камера интраоральная</t>
  </si>
  <si>
    <t>21012400350</t>
  </si>
  <si>
    <t>GoodDrs Whicam III</t>
  </si>
  <si>
    <t>Acteon SOPIX2</t>
  </si>
  <si>
    <t>S802-34317</t>
  </si>
  <si>
    <t>ivoclar vivadent Bluephase N M</t>
  </si>
  <si>
    <t>21012400193</t>
  </si>
  <si>
    <t>Dexcowin DX3000</t>
  </si>
  <si>
    <t>03.2018</t>
  </si>
  <si>
    <t>D3C180141</t>
  </si>
  <si>
    <t>21012400239</t>
  </si>
  <si>
    <t>HB13923</t>
  </si>
  <si>
    <t>25439</t>
  </si>
  <si>
    <t>DRYSTAR 5302</t>
  </si>
  <si>
    <t>201380387</t>
  </si>
  <si>
    <t>ЭНП-011</t>
  </si>
  <si>
    <t>1985</t>
  </si>
  <si>
    <t>612</t>
  </si>
  <si>
    <t>301AV20025564</t>
  </si>
  <si>
    <t>2360000187</t>
  </si>
  <si>
    <t>Marathon Hande 701</t>
  </si>
  <si>
    <t>7240000145</t>
  </si>
  <si>
    <t>A83691</t>
  </si>
  <si>
    <t>08102807_2</t>
  </si>
  <si>
    <t>04700344</t>
  </si>
  <si>
    <t>08102770_2</t>
  </si>
  <si>
    <t>14325</t>
  </si>
  <si>
    <t>0701351</t>
  </si>
  <si>
    <t>10.03.2007</t>
  </si>
  <si>
    <t>04700345</t>
  </si>
  <si>
    <t>0800255</t>
  </si>
  <si>
    <t>08102769_2</t>
  </si>
  <si>
    <t>63754</t>
  </si>
  <si>
    <t>Аппарат для изготовления вкладок из керамики</t>
  </si>
  <si>
    <t>201370283</t>
  </si>
  <si>
    <t>Siemens 2794220 D 3287</t>
  </si>
  <si>
    <t>01669 S 02</t>
  </si>
  <si>
    <t>101370202</t>
  </si>
  <si>
    <t>11.2000</t>
  </si>
  <si>
    <t>1048</t>
  </si>
  <si>
    <t>04700141</t>
  </si>
  <si>
    <t>CHIRANA-DENTAL Diplomat Adept DA 130</t>
  </si>
  <si>
    <t>04101977</t>
  </si>
  <si>
    <t>AL-398AA</t>
  </si>
  <si>
    <t>08.11</t>
  </si>
  <si>
    <t>_11097</t>
  </si>
  <si>
    <t>101370201</t>
  </si>
  <si>
    <t>21012400307</t>
  </si>
  <si>
    <t>1901801</t>
  </si>
  <si>
    <t>3M ESPE Pentamix 2</t>
  </si>
  <si>
    <t>21012400162</t>
  </si>
  <si>
    <t>04700125</t>
  </si>
  <si>
    <t>Dabi Atlante HasteFlex</t>
  </si>
  <si>
    <t>2360000188</t>
  </si>
  <si>
    <t>08102801_2</t>
  </si>
  <si>
    <t>08102768</t>
  </si>
  <si>
    <t>42440</t>
  </si>
  <si>
    <t>02102142_2</t>
  </si>
  <si>
    <t>U010820308</t>
  </si>
  <si>
    <t>08106101</t>
  </si>
  <si>
    <t>BTFJ12070207w</t>
  </si>
  <si>
    <t>20160500891LG</t>
  </si>
  <si>
    <t>08108758</t>
  </si>
  <si>
    <t>WM-62S</t>
  </si>
  <si>
    <t>121707071</t>
  </si>
  <si>
    <t>BA0000002713</t>
  </si>
  <si>
    <t>20180122947LG</t>
  </si>
  <si>
    <t>КДП</t>
  </si>
  <si>
    <t>00989</t>
  </si>
  <si>
    <t>00876</t>
  </si>
  <si>
    <t>00843</t>
  </si>
  <si>
    <t>20180122945LG</t>
  </si>
  <si>
    <t>20180122946LG</t>
  </si>
  <si>
    <t>20180122943LG</t>
  </si>
  <si>
    <t>20180122944LG</t>
  </si>
  <si>
    <t>20180122949LG</t>
  </si>
  <si>
    <t>000931</t>
  </si>
  <si>
    <t>20180122950LG</t>
  </si>
  <si>
    <t>ВМЭН-150-50/100-Д1-А</t>
  </si>
  <si>
    <t>00131</t>
  </si>
  <si>
    <t>BA0000004313</t>
  </si>
  <si>
    <t>Смотровая</t>
  </si>
  <si>
    <t>20160122942LG</t>
  </si>
  <si>
    <t>РЭП</t>
  </si>
  <si>
    <t>00126</t>
  </si>
  <si>
    <t>20160500893LG</t>
  </si>
  <si>
    <t>000878</t>
  </si>
  <si>
    <t>03100144</t>
  </si>
  <si>
    <t>2966</t>
  </si>
  <si>
    <t>03100145</t>
  </si>
  <si>
    <t>3007</t>
  </si>
  <si>
    <t>ДК 100</t>
  </si>
  <si>
    <t>ДК 25</t>
  </si>
  <si>
    <t>06860-12</t>
  </si>
  <si>
    <t>08105961</t>
  </si>
  <si>
    <t>07675-12</t>
  </si>
  <si>
    <t>08105963</t>
  </si>
  <si>
    <t>00075-13</t>
  </si>
  <si>
    <t>ДК 50</t>
  </si>
  <si>
    <t>00429-13</t>
  </si>
  <si>
    <t>08106035</t>
  </si>
  <si>
    <t>00104-13</t>
  </si>
  <si>
    <t>08105958</t>
  </si>
  <si>
    <t>07764-12</t>
  </si>
  <si>
    <t>05758-12</t>
  </si>
  <si>
    <t>08105964</t>
  </si>
  <si>
    <t>08106037</t>
  </si>
  <si>
    <t>5045</t>
  </si>
  <si>
    <t>00216-13</t>
  </si>
  <si>
    <t>08105962</t>
  </si>
  <si>
    <t>00449-13</t>
  </si>
  <si>
    <t>5552</t>
  </si>
  <si>
    <t>08105971</t>
  </si>
  <si>
    <t>08105969</t>
  </si>
  <si>
    <t>00065-13</t>
  </si>
  <si>
    <t>00074-13</t>
  </si>
  <si>
    <t>08106968</t>
  </si>
  <si>
    <t>05001-12</t>
  </si>
  <si>
    <t>Динамометр кистевой</t>
  </si>
  <si>
    <t>18622</t>
  </si>
  <si>
    <t>SYSMEX XN-550</t>
  </si>
  <si>
    <t>11.13.2019</t>
  </si>
  <si>
    <t>УЗИ датчик</t>
  </si>
  <si>
    <t>Педаль</t>
  </si>
  <si>
    <t>СПДС</t>
  </si>
  <si>
    <t>МСК-907.03</t>
  </si>
  <si>
    <t>TOSHIBA UZWT-640A, GM-05700A10Z</t>
  </si>
  <si>
    <t>TOSHIBA UEPS-641A, GM-05700A14E</t>
  </si>
  <si>
    <t>МК-32.2-А21</t>
  </si>
  <si>
    <t>39920 (49503)</t>
  </si>
  <si>
    <t>34718</t>
  </si>
  <si>
    <t>08102974_2,
7240000371</t>
  </si>
  <si>
    <t>Стом</t>
  </si>
  <si>
    <t>Сестра хозяйка</t>
  </si>
  <si>
    <t>08106172</t>
  </si>
  <si>
    <t>8264901</t>
  </si>
  <si>
    <t>71012400212</t>
  </si>
  <si>
    <t>8264921</t>
  </si>
  <si>
    <t>71012400211</t>
  </si>
  <si>
    <t>1217730</t>
  </si>
  <si>
    <t>08103935</t>
  </si>
  <si>
    <t>1219167</t>
  </si>
  <si>
    <t>08103937</t>
  </si>
  <si>
    <t>1220115</t>
  </si>
  <si>
    <t>08103938</t>
  </si>
  <si>
    <t>154517</t>
  </si>
  <si>
    <t>08105935</t>
  </si>
  <si>
    <t>G1608 08103</t>
  </si>
  <si>
    <t>4879</t>
  </si>
  <si>
    <t>01370905_1</t>
  </si>
  <si>
    <t>54922</t>
  </si>
  <si>
    <t>71012400221</t>
  </si>
  <si>
    <t>23691</t>
  </si>
  <si>
    <t>08102632</t>
  </si>
  <si>
    <t>40884</t>
  </si>
  <si>
    <t>7240000472</t>
  </si>
  <si>
    <t>40888</t>
  </si>
  <si>
    <t>7240000471</t>
  </si>
  <si>
    <t>7326</t>
  </si>
  <si>
    <t>08.2015</t>
  </si>
  <si>
    <t>01370619_1</t>
  </si>
  <si>
    <t>01370764_1</t>
  </si>
  <si>
    <t>08102616</t>
  </si>
  <si>
    <t>08102617</t>
  </si>
  <si>
    <t>08102619</t>
  </si>
  <si>
    <t>08104773</t>
  </si>
  <si>
    <t>34034</t>
  </si>
  <si>
    <t>71012400243</t>
  </si>
  <si>
    <t>08107866</t>
  </si>
  <si>
    <t>08102976</t>
  </si>
  <si>
    <t>08104826</t>
  </si>
  <si>
    <t>060001102-090858-2012-01</t>
  </si>
  <si>
    <t>01.2012</t>
  </si>
  <si>
    <t>08104302, 08104209</t>
  </si>
  <si>
    <t>F02 00068 05 12</t>
  </si>
  <si>
    <t>08103492</t>
  </si>
  <si>
    <t>F01 01475 11 18</t>
  </si>
  <si>
    <t>71012400214</t>
  </si>
  <si>
    <t>F01 01476 11 18</t>
  </si>
  <si>
    <t>21012400265</t>
  </si>
  <si>
    <t>F0 200064 05 12</t>
  </si>
  <si>
    <t>08103489</t>
  </si>
  <si>
    <t>F02 00063 05 12</t>
  </si>
  <si>
    <t>F02 00065 05 12</t>
  </si>
  <si>
    <t>08103491</t>
  </si>
  <si>
    <t>1811N00487</t>
  </si>
  <si>
    <t>119J72</t>
  </si>
  <si>
    <t>27.12.2008</t>
  </si>
  <si>
    <t>08102612</t>
  </si>
  <si>
    <t>203026</t>
  </si>
  <si>
    <t>16.03.2019</t>
  </si>
  <si>
    <t>08102613</t>
  </si>
  <si>
    <t>7181908055</t>
  </si>
  <si>
    <t>ES 3349</t>
  </si>
  <si>
    <t>08102566</t>
  </si>
  <si>
    <t>08104775</t>
  </si>
  <si>
    <t>ТПБВ-02 "Д"</t>
  </si>
  <si>
    <t>219</t>
  </si>
  <si>
    <t>08X23469</t>
  </si>
  <si>
    <t>41012400169</t>
  </si>
  <si>
    <t>S1D01038BX</t>
  </si>
  <si>
    <t>08103545</t>
  </si>
  <si>
    <t>456</t>
  </si>
  <si>
    <t>04700254</t>
  </si>
  <si>
    <t>08106006</t>
  </si>
  <si>
    <t>1100171593</t>
  </si>
  <si>
    <t>08X23157</t>
  </si>
  <si>
    <t>41012400170</t>
  </si>
  <si>
    <t>08X23497</t>
  </si>
  <si>
    <t>CL 01611</t>
  </si>
  <si>
    <t>08102759_2</t>
  </si>
  <si>
    <t>06020114</t>
  </si>
  <si>
    <t>04700016</t>
  </si>
  <si>
    <t>3001937</t>
  </si>
  <si>
    <t>08102448_3</t>
  </si>
  <si>
    <t>1071000123</t>
  </si>
  <si>
    <t>1071000730</t>
  </si>
  <si>
    <t>1071001547</t>
  </si>
  <si>
    <t>1071001556</t>
  </si>
  <si>
    <t>L05LT 00000</t>
  </si>
  <si>
    <t>08103519</t>
  </si>
  <si>
    <t>L05LT 00085 12 11</t>
  </si>
  <si>
    <t>L05LT 00096 05 12</t>
  </si>
  <si>
    <t>08103518</t>
  </si>
  <si>
    <t>L05LT 00097 05 12</t>
  </si>
  <si>
    <t>3510260 S</t>
  </si>
  <si>
    <t>1218879</t>
  </si>
  <si>
    <t>08103933</t>
  </si>
  <si>
    <t>1218968</t>
  </si>
  <si>
    <t>08103939</t>
  </si>
  <si>
    <t>1219548</t>
  </si>
  <si>
    <t>08103934</t>
  </si>
  <si>
    <t>2014233</t>
  </si>
  <si>
    <t>10.2011</t>
  </si>
  <si>
    <t>21186</t>
  </si>
  <si>
    <t>2360000482</t>
  </si>
  <si>
    <t>021</t>
  </si>
  <si>
    <t>Дельта</t>
  </si>
  <si>
    <t>01370670</t>
  </si>
  <si>
    <t>MC21411RX210020150</t>
  </si>
  <si>
    <t>08102893</t>
  </si>
  <si>
    <t>54927</t>
  </si>
  <si>
    <t>OM100F1R0110032674</t>
  </si>
  <si>
    <t>2NN3-1780</t>
  </si>
  <si>
    <t>41012400125</t>
  </si>
  <si>
    <t>МСК-5907.03</t>
  </si>
  <si>
    <t>08102437_3</t>
  </si>
  <si>
    <t>08105183</t>
  </si>
  <si>
    <t>113020</t>
  </si>
  <si>
    <t>08102999_2</t>
  </si>
  <si>
    <t>8104210</t>
  </si>
  <si>
    <t>060000643-054289-2008-10</t>
  </si>
  <si>
    <t>08104339</t>
  </si>
  <si>
    <t>060000643-05429-2008-10</t>
  </si>
  <si>
    <t>10.2008</t>
  </si>
  <si>
    <t>08104140</t>
  </si>
  <si>
    <t>08X59445</t>
  </si>
  <si>
    <t>08Y60328 | Z1102001</t>
  </si>
  <si>
    <t>08Y60369 | Z1102001</t>
  </si>
  <si>
    <t>55LT 00011 05 12</t>
  </si>
  <si>
    <t>55LT 00012 05 12</t>
  </si>
  <si>
    <t>EM1022K0110011987</t>
  </si>
  <si>
    <t>001-012709</t>
  </si>
  <si>
    <t>0700/00916</t>
  </si>
  <si>
    <t>08102896_3</t>
  </si>
  <si>
    <t>110121-84653</t>
  </si>
  <si>
    <t>21.01.11</t>
  </si>
  <si>
    <t>08102922_2</t>
  </si>
  <si>
    <t>130439004721105</t>
  </si>
  <si>
    <t>0086151</t>
  </si>
  <si>
    <t>08102451_3</t>
  </si>
  <si>
    <t>7181908056</t>
  </si>
  <si>
    <t>71012400292</t>
  </si>
  <si>
    <t>ПВ</t>
  </si>
  <si>
    <t>N 009 01</t>
  </si>
  <si>
    <t>01370669</t>
  </si>
  <si>
    <t>ARXJ-0032</t>
  </si>
  <si>
    <t>Опер блок анест</t>
  </si>
  <si>
    <t>ARYH-0062</t>
  </si>
  <si>
    <t>04700280</t>
  </si>
  <si>
    <t>SV 1949</t>
  </si>
  <si>
    <t>ARYH-0591</t>
  </si>
  <si>
    <t>0240004</t>
  </si>
  <si>
    <t>08102161_2</t>
  </si>
  <si>
    <t>ARZB-0061</t>
  </si>
  <si>
    <t>ASDL-0099</t>
  </si>
  <si>
    <t>08105189</t>
  </si>
  <si>
    <t>02922</t>
  </si>
  <si>
    <t>08102709</t>
  </si>
  <si>
    <t>A21160389</t>
  </si>
  <si>
    <t>7360000196</t>
  </si>
  <si>
    <t>15021</t>
  </si>
  <si>
    <t>08105152</t>
  </si>
  <si>
    <t>15046</t>
  </si>
  <si>
    <t>08105151</t>
  </si>
  <si>
    <t>15089</t>
  </si>
  <si>
    <t>08105149</t>
  </si>
  <si>
    <t>15018</t>
  </si>
  <si>
    <t>08105153</t>
  </si>
  <si>
    <t>15075</t>
  </si>
  <si>
    <t>08107154</t>
  </si>
  <si>
    <t>01370651</t>
  </si>
  <si>
    <t>51334</t>
  </si>
  <si>
    <t>08102614</t>
  </si>
  <si>
    <t>0816</t>
  </si>
  <si>
    <t>7240000662</t>
  </si>
  <si>
    <t>31755</t>
  </si>
  <si>
    <t>71012400259</t>
  </si>
  <si>
    <t>08103487</t>
  </si>
  <si>
    <t>060000482-015517-2007-02</t>
  </si>
  <si>
    <t>02.2007</t>
  </si>
  <si>
    <t>04700269</t>
  </si>
  <si>
    <t>F03 00287 11 14</t>
  </si>
  <si>
    <t>2360000447</t>
  </si>
  <si>
    <t>7181908057</t>
  </si>
  <si>
    <t>153819</t>
  </si>
  <si>
    <t>08105934</t>
  </si>
  <si>
    <t>GU04115774</t>
  </si>
  <si>
    <t>08108235</t>
  </si>
  <si>
    <t>A201708048 / 000987</t>
  </si>
  <si>
    <t>20151007884AF</t>
  </si>
  <si>
    <t>29727</t>
  </si>
  <si>
    <t>7360000237</t>
  </si>
  <si>
    <t>31751</t>
  </si>
  <si>
    <t>07065</t>
  </si>
  <si>
    <t>04700331</t>
  </si>
  <si>
    <t>A201708048 /  000960</t>
  </si>
  <si>
    <t>A201708048 / 000964</t>
  </si>
  <si>
    <t>2018000198LG</t>
  </si>
  <si>
    <t>170-GK5154</t>
  </si>
  <si>
    <t>04101965</t>
  </si>
  <si>
    <t>34715</t>
  </si>
  <si>
    <t>113018</t>
  </si>
  <si>
    <t>0810297</t>
  </si>
  <si>
    <t>08102977</t>
  </si>
  <si>
    <t>113037</t>
  </si>
  <si>
    <t>08102978</t>
  </si>
  <si>
    <t>1811N0048</t>
  </si>
  <si>
    <t>160108248</t>
  </si>
  <si>
    <t>2015-12</t>
  </si>
  <si>
    <t>795</t>
  </si>
  <si>
    <t>33979</t>
  </si>
  <si>
    <t>71012400246</t>
  </si>
  <si>
    <t>009094935</t>
  </si>
  <si>
    <t>09.2009</t>
  </si>
  <si>
    <t>08102124</t>
  </si>
  <si>
    <t>226066</t>
  </si>
  <si>
    <t>33993</t>
  </si>
  <si>
    <t>MAGOFON-01 (МАГОФОН-01)</t>
  </si>
  <si>
    <t>02520</t>
  </si>
  <si>
    <t>10.02</t>
  </si>
  <si>
    <t>MAG-30 (МАГ-30)</t>
  </si>
  <si>
    <t>04282</t>
  </si>
  <si>
    <t>05.09</t>
  </si>
  <si>
    <t>08102602_3</t>
  </si>
  <si>
    <t>4631</t>
  </si>
  <si>
    <t>1990</t>
  </si>
  <si>
    <t>01370010</t>
  </si>
  <si>
    <t>150</t>
  </si>
  <si>
    <t>08104249</t>
  </si>
  <si>
    <t>0815013</t>
  </si>
  <si>
    <t>7240000291</t>
  </si>
  <si>
    <t>0369</t>
  </si>
  <si>
    <t>7240000014</t>
  </si>
  <si>
    <t>27</t>
  </si>
  <si>
    <t>01370643</t>
  </si>
  <si>
    <t>0115022</t>
  </si>
  <si>
    <t>7240000290</t>
  </si>
  <si>
    <t>КП-15969</t>
  </si>
  <si>
    <t>08102682</t>
  </si>
  <si>
    <t>КП-23688</t>
  </si>
  <si>
    <t>7240000289</t>
  </si>
  <si>
    <t>95 02351 05 15</t>
  </si>
  <si>
    <t>7240000288</t>
  </si>
  <si>
    <t>04700126</t>
  </si>
  <si>
    <t>020-2014-21-4361</t>
  </si>
  <si>
    <t>7240000294</t>
  </si>
  <si>
    <t>9919</t>
  </si>
  <si>
    <t>7360000057</t>
  </si>
  <si>
    <t>44620</t>
  </si>
  <si>
    <t>08104838</t>
  </si>
  <si>
    <t>080.30473</t>
  </si>
  <si>
    <t>20.09.2019</t>
  </si>
  <si>
    <t>71012400218</t>
  </si>
  <si>
    <t>00501</t>
  </si>
  <si>
    <t>Холл, 3 этаж</t>
  </si>
  <si>
    <t>44613</t>
  </si>
  <si>
    <t>08104830</t>
  </si>
  <si>
    <t>00349</t>
  </si>
  <si>
    <t>71012400304</t>
  </si>
  <si>
    <t>Блок управления для аппаратов шлифовальных</t>
  </si>
  <si>
    <t>Кресло стомотологическое</t>
  </si>
  <si>
    <t>Светильник смотровой</t>
  </si>
  <si>
    <t>Светильник хирургический</t>
  </si>
  <si>
    <t>Экстрактор вакуумный</t>
  </si>
  <si>
    <t>Электрокоагулятор</t>
  </si>
  <si>
    <t>Тележка внутрикорпусная</t>
  </si>
  <si>
    <t>Аппарат для хирургии и имплантологии</t>
  </si>
  <si>
    <t>Контроллер эндоскопической камеры</t>
  </si>
  <si>
    <t>Аппарат для челюстно-лицевой хирургии</t>
  </si>
  <si>
    <t>Аппарат молекулярно-резонансный хирургический</t>
  </si>
  <si>
    <t>Блок зарядный</t>
  </si>
  <si>
    <t>Блок питания</t>
  </si>
  <si>
    <t>Зарядное устройство</t>
  </si>
  <si>
    <t>Источник питания</t>
  </si>
  <si>
    <t>Монитор целостности нерва</t>
  </si>
  <si>
    <t>Оправа</t>
  </si>
  <si>
    <t>Осветитель налобный</t>
  </si>
  <si>
    <t>Светильник хирургический потолочный</t>
  </si>
  <si>
    <t>Система обработки изображений</t>
  </si>
  <si>
    <t>Стойка</t>
  </si>
  <si>
    <t>Насос для инфузии</t>
  </si>
  <si>
    <t>Осветитель потолочный</t>
  </si>
  <si>
    <t>Глюкометр</t>
  </si>
  <si>
    <t>Ингалятор</t>
  </si>
  <si>
    <t>Индикатор этанола</t>
  </si>
  <si>
    <t>Монитор жизненно важных функций</t>
  </si>
  <si>
    <t>Дистилятор воды</t>
  </si>
  <si>
    <t>Аппарат для магнитоакустической терапии</t>
  </si>
  <si>
    <t>Аппарат для местной дарсонвализации</t>
  </si>
  <si>
    <t>Аппарат для терапии диадинамическими токами</t>
  </si>
  <si>
    <t>Аппарат для терапии электросном</t>
  </si>
  <si>
    <t>Аппарат для флюктуаризации</t>
  </si>
  <si>
    <t>Аппарат магнито-ИК-лазерный терапевтический</t>
  </si>
  <si>
    <t>Гальванизатор</t>
  </si>
  <si>
    <t>KaWe</t>
  </si>
  <si>
    <t>ЭМА ОУФну-"ЭМА-Е"</t>
  </si>
  <si>
    <t>Bioptron Compact III</t>
  </si>
  <si>
    <t>ЭМА ПОТОК-1</t>
  </si>
  <si>
    <t>Каскад-ФТО АСБ-2М</t>
  </si>
  <si>
    <t>ЭМА УЗТ-1.02 С</t>
  </si>
  <si>
    <t>Каскад-ФТО НЕЙРОСОН</t>
  </si>
  <si>
    <t>Каскад-ФТО ДДТ-50-8 (Тонус-1М)</t>
  </si>
  <si>
    <t>ЭМА ИСКРА-1</t>
  </si>
  <si>
    <t>Масса-К МК-32.2-A20</t>
  </si>
  <si>
    <t>ТЗМОИ ДЭ-4</t>
  </si>
  <si>
    <t>B.Well WF-5000</t>
  </si>
  <si>
    <t>BiOSYS Guardian BPM-700</t>
  </si>
  <si>
    <t>МЕТА Алкотестер-01</t>
  </si>
  <si>
    <t>Roche Accu-Chek Active</t>
  </si>
  <si>
    <t>DIXION Вакус-7018</t>
  </si>
  <si>
    <t>ЭМА ЭМАЛЕД 300-01 П</t>
  </si>
  <si>
    <t>Atmos LC 16</t>
  </si>
  <si>
    <t>ЭМА Эмалюкс</t>
  </si>
  <si>
    <t>Jiangsu Armed</t>
  </si>
  <si>
    <t>Respironics EverFlo | OPI</t>
  </si>
  <si>
    <t>Karl Storz C-MAC 8403 ZX</t>
  </si>
  <si>
    <t>Draeger Fabius Tiro</t>
  </si>
  <si>
    <t>Say Yang Marathon Multi 600 DUO</t>
  </si>
  <si>
    <t>113013</t>
  </si>
  <si>
    <t>08102962</t>
  </si>
  <si>
    <t>157904</t>
  </si>
  <si>
    <t>08103090</t>
  </si>
  <si>
    <t>Диоптриметр</t>
  </si>
  <si>
    <t>ДО-3</t>
  </si>
  <si>
    <t>01370230_1</t>
  </si>
  <si>
    <t>40510</t>
  </si>
  <si>
    <t>7240000796</t>
  </si>
  <si>
    <t>15076</t>
  </si>
  <si>
    <t>08105110</t>
  </si>
  <si>
    <t>13115</t>
  </si>
  <si>
    <t>08104786</t>
  </si>
  <si>
    <t>15026</t>
  </si>
  <si>
    <t>08105092</t>
  </si>
  <si>
    <t>Прибор офтальмологический для определения параметров глаза</t>
  </si>
  <si>
    <t>21308</t>
  </si>
  <si>
    <t>11.06.2018</t>
  </si>
  <si>
    <t>71012400062</t>
  </si>
  <si>
    <t>Стол приборный</t>
  </si>
  <si>
    <t>Телескопическая опора стола</t>
  </si>
  <si>
    <t>TFG50-232000CH-000</t>
  </si>
  <si>
    <t>L05390662</t>
  </si>
  <si>
    <t xml:space="preserve">Термопринтер </t>
  </si>
  <si>
    <t>Ультразвуковой B-сканер</t>
  </si>
  <si>
    <t>895403</t>
  </si>
  <si>
    <t>Электростимулятор офтальмологический</t>
  </si>
  <si>
    <t>3289</t>
  </si>
  <si>
    <t>08105188</t>
  </si>
  <si>
    <t>411203</t>
  </si>
  <si>
    <t>2360000241</t>
  </si>
  <si>
    <t>1</t>
  </si>
  <si>
    <t>2000181</t>
  </si>
  <si>
    <t>08103091</t>
  </si>
  <si>
    <t>12179</t>
  </si>
  <si>
    <t>2360000471</t>
  </si>
  <si>
    <t>Микроскоп операционный</t>
  </si>
  <si>
    <t>050429</t>
  </si>
  <si>
    <t>01350045</t>
  </si>
  <si>
    <t>МСК-633П</t>
  </si>
  <si>
    <t>50</t>
  </si>
  <si>
    <t>7240000961</t>
  </si>
  <si>
    <t>080.29621</t>
  </si>
  <si>
    <t>18.01.2018</t>
  </si>
  <si>
    <t>21012400172</t>
  </si>
  <si>
    <t>154804</t>
  </si>
  <si>
    <t>08103075</t>
  </si>
  <si>
    <t>767802</t>
  </si>
  <si>
    <t>711012400057</t>
  </si>
  <si>
    <t>351080876</t>
  </si>
  <si>
    <t>2360000244</t>
  </si>
  <si>
    <t>4364113</t>
  </si>
  <si>
    <t>08103085</t>
  </si>
  <si>
    <t>Анализатор поля зрения</t>
  </si>
  <si>
    <t>ПНР-03</t>
  </si>
  <si>
    <t>8177</t>
  </si>
  <si>
    <t>8178</t>
  </si>
  <si>
    <t>45018</t>
  </si>
  <si>
    <t>236000544</t>
  </si>
  <si>
    <t>15019</t>
  </si>
  <si>
    <t>08105128</t>
  </si>
  <si>
    <t>113009</t>
  </si>
  <si>
    <t>08102960</t>
  </si>
  <si>
    <t>Офтальмоскоп</t>
  </si>
  <si>
    <t>СТ-ИК-МАИ</t>
  </si>
  <si>
    <t>198811</t>
  </si>
  <si>
    <t>08103929</t>
  </si>
  <si>
    <t>Экзофтальмометр</t>
  </si>
  <si>
    <t>HO 190102006</t>
  </si>
  <si>
    <t>08102573</t>
  </si>
  <si>
    <t>08102447</t>
  </si>
  <si>
    <t>7</t>
  </si>
  <si>
    <t>881808</t>
  </si>
  <si>
    <t>08102446</t>
  </si>
  <si>
    <t>15950</t>
  </si>
  <si>
    <t>08105091</t>
  </si>
  <si>
    <t>08103095</t>
  </si>
  <si>
    <t>1077262</t>
  </si>
  <si>
    <t>08104865</t>
  </si>
  <si>
    <t>9</t>
  </si>
  <si>
    <t>745812</t>
  </si>
  <si>
    <t>71012400042</t>
  </si>
  <si>
    <t>113043</t>
  </si>
  <si>
    <t>08102961</t>
  </si>
  <si>
    <t>1062700</t>
  </si>
  <si>
    <t>00157</t>
  </si>
  <si>
    <t>00128</t>
  </si>
  <si>
    <t>46060</t>
  </si>
  <si>
    <t>71012400119</t>
  </si>
  <si>
    <t>Коридор, 2 этаж</t>
  </si>
  <si>
    <t>5422</t>
  </si>
  <si>
    <t>08105095</t>
  </si>
  <si>
    <t>5450</t>
  </si>
  <si>
    <t>08105093</t>
  </si>
  <si>
    <t>Периметр офтальмологический</t>
  </si>
  <si>
    <t>04743</t>
  </si>
  <si>
    <t>25.05.2018</t>
  </si>
  <si>
    <t>КП 12</t>
  </si>
  <si>
    <t>Стол офтальмологический</t>
  </si>
  <si>
    <t>3741 AR</t>
  </si>
  <si>
    <t>28.11.2007</t>
  </si>
  <si>
    <t>Электроретинограф</t>
  </si>
  <si>
    <t>2-0269</t>
  </si>
  <si>
    <t>08102445</t>
  </si>
  <si>
    <t>3-0245</t>
  </si>
  <si>
    <t>24992</t>
  </si>
  <si>
    <t>5435</t>
  </si>
  <si>
    <t>08105094</t>
  </si>
  <si>
    <t>14902</t>
  </si>
  <si>
    <t>08105112</t>
  </si>
  <si>
    <t>16103</t>
  </si>
  <si>
    <t>08105120</t>
  </si>
  <si>
    <t>153060</t>
  </si>
  <si>
    <t>08105927</t>
  </si>
  <si>
    <t>GBMDJJ8M</t>
  </si>
  <si>
    <t>GU04114692</t>
  </si>
  <si>
    <t>000753</t>
  </si>
  <si>
    <t>20160114987LG</t>
  </si>
  <si>
    <t>55184</t>
  </si>
  <si>
    <t>910</t>
  </si>
  <si>
    <t>06.10.2016</t>
  </si>
  <si>
    <t>7240000620</t>
  </si>
  <si>
    <t>15080</t>
  </si>
  <si>
    <t>08105126</t>
  </si>
  <si>
    <t>39368</t>
  </si>
  <si>
    <t>71012400120</t>
  </si>
  <si>
    <t>121201112</t>
  </si>
  <si>
    <t>15044</t>
  </si>
  <si>
    <t>08105109</t>
  </si>
  <si>
    <t>872206</t>
  </si>
  <si>
    <t>71012400018</t>
  </si>
  <si>
    <t>012912</t>
  </si>
  <si>
    <t>08104030</t>
  </si>
  <si>
    <t>44022</t>
  </si>
  <si>
    <t>2360000004</t>
  </si>
  <si>
    <t>04165</t>
  </si>
  <si>
    <t>01370674</t>
  </si>
  <si>
    <t>Зарядный блок</t>
  </si>
  <si>
    <t>08102089</t>
  </si>
  <si>
    <t>411103</t>
  </si>
  <si>
    <t>2360000243</t>
  </si>
  <si>
    <t>745712</t>
  </si>
  <si>
    <t>71012400041</t>
  </si>
  <si>
    <t>387804</t>
  </si>
  <si>
    <t>08106039</t>
  </si>
  <si>
    <t>15128</t>
  </si>
  <si>
    <t>08105127</t>
  </si>
  <si>
    <t>71012400017</t>
  </si>
  <si>
    <t>013012</t>
  </si>
  <si>
    <t>08104029</t>
  </si>
  <si>
    <t>00085024</t>
  </si>
  <si>
    <t>01370268</t>
  </si>
  <si>
    <t>15127</t>
  </si>
  <si>
    <t>08102275</t>
  </si>
  <si>
    <t>Уборная</t>
  </si>
  <si>
    <t>9347</t>
  </si>
  <si>
    <t>08102274</t>
  </si>
  <si>
    <t>Холл, 1 этаж</t>
  </si>
  <si>
    <t>01370266</t>
  </si>
  <si>
    <t>Twinfield</t>
  </si>
  <si>
    <t>14318060</t>
  </si>
  <si>
    <t>08102390_2</t>
  </si>
  <si>
    <t>0021</t>
  </si>
  <si>
    <t>08104183</t>
  </si>
  <si>
    <t>Аппарат микроволновой терапии</t>
  </si>
  <si>
    <t>Луч-4</t>
  </si>
  <si>
    <t>08104198</t>
  </si>
  <si>
    <t>3003000</t>
  </si>
  <si>
    <t>08104188</t>
  </si>
  <si>
    <t>КуфХМИ/670-"МедИн"</t>
  </si>
  <si>
    <t>022005</t>
  </si>
  <si>
    <t>04700059</t>
  </si>
  <si>
    <t>КуфХМИ/970-"МедИн"</t>
  </si>
  <si>
    <t>21830</t>
  </si>
  <si>
    <t>08102368_3</t>
  </si>
  <si>
    <t>858004</t>
  </si>
  <si>
    <t>08102581_2</t>
  </si>
  <si>
    <t>22222</t>
  </si>
  <si>
    <t>04700271</t>
  </si>
  <si>
    <t>30338</t>
  </si>
  <si>
    <t>08103080_2</t>
  </si>
  <si>
    <t>Монитор следящей аппаратуры</t>
  </si>
  <si>
    <t>04700094_1</t>
  </si>
  <si>
    <t>21А110210</t>
  </si>
  <si>
    <t>08102681_2</t>
  </si>
  <si>
    <t>Система офтальмологическая хирургическая</t>
  </si>
  <si>
    <t>04021573101X</t>
  </si>
  <si>
    <t>08102664_2</t>
  </si>
  <si>
    <t>5180</t>
  </si>
  <si>
    <t>08103094_2</t>
  </si>
  <si>
    <t>997705</t>
  </si>
  <si>
    <t>08102655</t>
  </si>
  <si>
    <t>Установка офтальмологическая хирургическая</t>
  </si>
  <si>
    <t>1302189601X</t>
  </si>
  <si>
    <t>08106082</t>
  </si>
  <si>
    <t>08102140</t>
  </si>
  <si>
    <t>190.30689</t>
  </si>
  <si>
    <t>01370844</t>
  </si>
  <si>
    <t>35763</t>
  </si>
  <si>
    <t>7240000927</t>
  </si>
  <si>
    <t>1 этаж, коридор</t>
  </si>
  <si>
    <t>113010</t>
  </si>
  <si>
    <t>08102972</t>
  </si>
  <si>
    <t>104, Палата 1</t>
  </si>
  <si>
    <t>113024</t>
  </si>
  <si>
    <t>08102970</t>
  </si>
  <si>
    <t>113022</t>
  </si>
  <si>
    <t>08102968</t>
  </si>
  <si>
    <t>107, Палата 3</t>
  </si>
  <si>
    <t>113029</t>
  </si>
  <si>
    <t>08102969</t>
  </si>
  <si>
    <t>23429</t>
  </si>
  <si>
    <t>7240000926</t>
  </si>
  <si>
    <t>2 этаж, коридор</t>
  </si>
  <si>
    <t>35968</t>
  </si>
  <si>
    <t>7240000925</t>
  </si>
  <si>
    <t>15070</t>
  </si>
  <si>
    <t>08105170</t>
  </si>
  <si>
    <t>204, Палата 3</t>
  </si>
  <si>
    <t>15093</t>
  </si>
  <si>
    <t>08105177</t>
  </si>
  <si>
    <t>15014</t>
  </si>
  <si>
    <t>08105142</t>
  </si>
  <si>
    <t>206, Палата 7</t>
  </si>
  <si>
    <t>15109</t>
  </si>
  <si>
    <t>08105141</t>
  </si>
  <si>
    <t>15071</t>
  </si>
  <si>
    <t>08105159</t>
  </si>
  <si>
    <t>207, Палата 5</t>
  </si>
  <si>
    <t>15082</t>
  </si>
  <si>
    <t>08105161</t>
  </si>
  <si>
    <t>15012</t>
  </si>
  <si>
    <t>0808105143</t>
  </si>
  <si>
    <t>208, Палата 6</t>
  </si>
  <si>
    <t>113038</t>
  </si>
  <si>
    <t>08102983</t>
  </si>
  <si>
    <t>113040</t>
  </si>
  <si>
    <t>08102966_2</t>
  </si>
  <si>
    <t>Дерматовенер</t>
  </si>
  <si>
    <t>15020</t>
  </si>
  <si>
    <t>08105140</t>
  </si>
  <si>
    <t>15178</t>
  </si>
  <si>
    <t>08105137</t>
  </si>
  <si>
    <t>27670</t>
  </si>
  <si>
    <t>08102729_2</t>
  </si>
  <si>
    <t>49370</t>
  </si>
  <si>
    <t>7240000933</t>
  </si>
  <si>
    <t>50184</t>
  </si>
  <si>
    <t>7240000942</t>
  </si>
  <si>
    <t>216CV20005353</t>
  </si>
  <si>
    <t>113015</t>
  </si>
  <si>
    <t>08102957_2</t>
  </si>
  <si>
    <t>113046</t>
  </si>
  <si>
    <t>08102986_2</t>
  </si>
  <si>
    <t>113064</t>
  </si>
  <si>
    <t>08102967</t>
  </si>
  <si>
    <t>Аппарат для гальванизации</t>
  </si>
  <si>
    <t>НИОН</t>
  </si>
  <si>
    <t>2283</t>
  </si>
  <si>
    <t>1993</t>
  </si>
  <si>
    <t>04700036</t>
  </si>
  <si>
    <t>Аппарат для лечения диадинамическими токами</t>
  </si>
  <si>
    <t>ДТ-50-3</t>
  </si>
  <si>
    <t>20312</t>
  </si>
  <si>
    <t>01370182_1</t>
  </si>
  <si>
    <t>ЭС-10-5</t>
  </si>
  <si>
    <t>12236</t>
  </si>
  <si>
    <t>01370178_1</t>
  </si>
  <si>
    <t>УЗТ-1.07Ф</t>
  </si>
  <si>
    <t>12202</t>
  </si>
  <si>
    <t>7360000229</t>
  </si>
  <si>
    <t>24T0045 .09</t>
  </si>
  <si>
    <t>08102576_2</t>
  </si>
  <si>
    <t>0309</t>
  </si>
  <si>
    <t>01370180</t>
  </si>
  <si>
    <t>Аппарат УФ терапевтический</t>
  </si>
  <si>
    <t>140593 A</t>
  </si>
  <si>
    <t>2360000117</t>
  </si>
  <si>
    <t>110844G</t>
  </si>
  <si>
    <t>08103035_2</t>
  </si>
  <si>
    <t>110842G</t>
  </si>
  <si>
    <t>08103036_2</t>
  </si>
  <si>
    <t>110843G</t>
  </si>
  <si>
    <t>08103036</t>
  </si>
  <si>
    <t>110951B</t>
  </si>
  <si>
    <t>2360000007</t>
  </si>
  <si>
    <t>112715G</t>
  </si>
  <si>
    <t>01370186_1</t>
  </si>
  <si>
    <t>140501A</t>
  </si>
  <si>
    <t>163519 L</t>
  </si>
  <si>
    <t>7240000723</t>
  </si>
  <si>
    <t>163618 L</t>
  </si>
  <si>
    <t>7240000724</t>
  </si>
  <si>
    <t>163619 L</t>
  </si>
  <si>
    <t>181055</t>
  </si>
  <si>
    <t>71012400011</t>
  </si>
  <si>
    <t>03093</t>
  </si>
  <si>
    <t>04700153</t>
  </si>
  <si>
    <t>080.29620</t>
  </si>
  <si>
    <t>21012400173</t>
  </si>
  <si>
    <t>49384</t>
  </si>
  <si>
    <t>7240000946</t>
  </si>
  <si>
    <t>Холл УЗИ</t>
  </si>
  <si>
    <t>08103005</t>
  </si>
  <si>
    <t>Холл, КДП</t>
  </si>
  <si>
    <t>00231</t>
  </si>
  <si>
    <t>41012400072</t>
  </si>
  <si>
    <t>113035</t>
  </si>
  <si>
    <t>08102958_2</t>
  </si>
  <si>
    <t>201, Процедур</t>
  </si>
  <si>
    <t>Анализатор концентрации паров этанола</t>
  </si>
  <si>
    <t>JRS860416</t>
  </si>
  <si>
    <t>202, Старшая</t>
  </si>
  <si>
    <t>JRS860418</t>
  </si>
  <si>
    <t>153065</t>
  </si>
  <si>
    <t>08105925</t>
  </si>
  <si>
    <t>1409ED304311</t>
  </si>
  <si>
    <t>10.08.2014</t>
  </si>
  <si>
    <t>14725</t>
  </si>
  <si>
    <t>08105169</t>
  </si>
  <si>
    <t>113034</t>
  </si>
  <si>
    <t>08102984</t>
  </si>
  <si>
    <t>009104952</t>
  </si>
  <si>
    <t>10.2009</t>
  </si>
  <si>
    <t>GBMDJJ8K</t>
  </si>
  <si>
    <t>203, Сестр</t>
  </si>
  <si>
    <t>20190114013LG</t>
  </si>
  <si>
    <t>20160500894LG</t>
  </si>
  <si>
    <t>3718/16769</t>
  </si>
  <si>
    <t>15024</t>
  </si>
  <si>
    <t>08105148</t>
  </si>
  <si>
    <t>20190114015LG</t>
  </si>
  <si>
    <t>20190114014LG</t>
  </si>
  <si>
    <t>00176</t>
  </si>
  <si>
    <t>15022</t>
  </si>
  <si>
    <t>08105164</t>
  </si>
  <si>
    <t>1811N00486</t>
  </si>
  <si>
    <t>160404465</t>
  </si>
  <si>
    <t>04.2016</t>
  </si>
  <si>
    <t>08108751</t>
  </si>
  <si>
    <t>1811N00489</t>
  </si>
  <si>
    <t>14560</t>
  </si>
  <si>
    <t>08105173</t>
  </si>
  <si>
    <t>15117</t>
  </si>
  <si>
    <t>08105166</t>
  </si>
  <si>
    <t>14726</t>
  </si>
  <si>
    <t>081025692</t>
  </si>
  <si>
    <t>160407761</t>
  </si>
  <si>
    <t>173.07220</t>
  </si>
  <si>
    <t>4240000008</t>
  </si>
  <si>
    <t>08105146</t>
  </si>
  <si>
    <t>15126</t>
  </si>
  <si>
    <t>08105147</t>
  </si>
  <si>
    <t>405</t>
  </si>
  <si>
    <t>03101130</t>
  </si>
  <si>
    <t>0416023</t>
  </si>
  <si>
    <t>7260000224</t>
  </si>
  <si>
    <t>9650</t>
  </si>
  <si>
    <t>01370847</t>
  </si>
  <si>
    <t>19001</t>
  </si>
  <si>
    <t>08102683_2</t>
  </si>
  <si>
    <t>0415</t>
  </si>
  <si>
    <t>09.2016</t>
  </si>
  <si>
    <t>АЛМАГ-01</t>
  </si>
  <si>
    <t>84014</t>
  </si>
  <si>
    <t>08108774</t>
  </si>
  <si>
    <t>52866</t>
  </si>
  <si>
    <t>7360000225</t>
  </si>
  <si>
    <t>Аппарат низкочастотный физиотерапевтический</t>
  </si>
  <si>
    <t>13480</t>
  </si>
  <si>
    <t>01370274_1</t>
  </si>
  <si>
    <t>156974</t>
  </si>
  <si>
    <t>1998</t>
  </si>
  <si>
    <t>01370751</t>
  </si>
  <si>
    <t>93026</t>
  </si>
  <si>
    <t>03101132</t>
  </si>
  <si>
    <t>20444</t>
  </si>
  <si>
    <t>Часы настольные процедурные</t>
  </si>
  <si>
    <t>3701</t>
  </si>
  <si>
    <t>20292</t>
  </si>
  <si>
    <t>14712</t>
  </si>
  <si>
    <t>08105165</t>
  </si>
  <si>
    <t>Sentech Динго Е-200</t>
  </si>
  <si>
    <t>LifeScan OneTouch Select Plus Flex</t>
  </si>
  <si>
    <t>B.Well PRO-110</t>
  </si>
  <si>
    <t>SCHILLER AT-10 plus</t>
  </si>
  <si>
    <t>ЭМА ПЧ-3</t>
  </si>
  <si>
    <t>Милта РИКТА-04/4</t>
  </si>
  <si>
    <t>Стрела УВЧ-70-01А-"СТРЕЛА+"</t>
  </si>
  <si>
    <t>Dr. Hoenle Dermalight 1000</t>
  </si>
  <si>
    <t>Dr. Hoenle Dermalight 500-1</t>
  </si>
  <si>
    <t>Dr. Hoenle Dermalight 500-2</t>
  </si>
  <si>
    <t>Dr. Hoenle Dermalight 80</t>
  </si>
  <si>
    <t>Say Yang Marathon-3</t>
  </si>
  <si>
    <t>Little Doctor UA-200</t>
  </si>
  <si>
    <t>Diplomat D10E</t>
  </si>
  <si>
    <t>Atmos C 451</t>
  </si>
  <si>
    <t>ЭМА ЭМАЛЕД 100 П</t>
  </si>
  <si>
    <t>ЭМА ЭМАЛЕД 200 П</t>
  </si>
  <si>
    <t>Foshan AL-398AA</t>
  </si>
  <si>
    <t>Foshan AL-398BB</t>
  </si>
  <si>
    <t>LIARRE HFS 45</t>
  </si>
  <si>
    <t>Nakanishi Surgic PRO</t>
  </si>
  <si>
    <t>COVIDIEN Force EZ</t>
  </si>
  <si>
    <t>Электропульс С-350 РЧ</t>
  </si>
  <si>
    <t>Richard Wolf ENDOCAM Performance HD</t>
  </si>
  <si>
    <t>Telea Vesalius LX80</t>
  </si>
  <si>
    <t>Electro PIEZON MASTER SURGERY</t>
  </si>
  <si>
    <t>Ellman SURGITRON FFPF EMC</t>
  </si>
  <si>
    <t>Heine mPack</t>
  </si>
  <si>
    <t>ЭМА ЭМАЛЕД 500 LT</t>
  </si>
  <si>
    <t>Sony AC-2450MD</t>
  </si>
  <si>
    <t>KaWe MedCharge 4000</t>
  </si>
  <si>
    <t>ДЕОСТ ОКА</t>
  </si>
  <si>
    <t>ECLERIS HALOLUX 150 DUO</t>
  </si>
  <si>
    <t>ECLERIS MICROSTAR OM 100F1</t>
  </si>
  <si>
    <t>Medtronic NIM Neuro 3.0</t>
  </si>
  <si>
    <t>Heine S-FRAME</t>
  </si>
  <si>
    <t>Linemaster TREADLITE II T-91-S</t>
  </si>
  <si>
    <t>Nakanishi FC-78</t>
  </si>
  <si>
    <t>ЭМА ЭМАЛЕД 500/500LT</t>
  </si>
  <si>
    <t>ECLERIS endoDIGI</t>
  </si>
  <si>
    <t>Pentax Classic Cart</t>
  </si>
  <si>
    <t>Merivaara 1650</t>
  </si>
  <si>
    <t>KODON KD-622</t>
  </si>
  <si>
    <t>Hettich EBA 20</t>
  </si>
  <si>
    <t>OPTOVUE RTVue-100</t>
  </si>
  <si>
    <t>Haag-Streit AG LENSTAR LS 900</t>
  </si>
  <si>
    <t>Mitsubishi P95DE</t>
  </si>
  <si>
    <t>TOMEY UD-8000</t>
  </si>
  <si>
    <t>TOPCON SL-D2</t>
  </si>
  <si>
    <t>TOPCON OMS-600</t>
  </si>
  <si>
    <t>Shin Nippon SL-45-DX</t>
  </si>
  <si>
    <t>TOPCON KR-8900</t>
  </si>
  <si>
    <t>Heine BETA 200</t>
  </si>
  <si>
    <t>TOMEY FT-1000</t>
  </si>
  <si>
    <t>Inami К-0161</t>
  </si>
  <si>
    <t>Appasamy ACC002</t>
  </si>
  <si>
    <t>Carl Zeiss VISULAS YAG III Combi</t>
  </si>
  <si>
    <t>Haag-Streit AG OCTOPUS 900</t>
  </si>
  <si>
    <t>TOMEY TT 1060</t>
  </si>
  <si>
    <t>TOMEY EP-1000 LED</t>
  </si>
  <si>
    <t>Medizin P2CH</t>
  </si>
  <si>
    <t>Roche Diagnostics Accu-Chek GU</t>
  </si>
  <si>
    <t>Ультрамедтех ОБН-450П-03</t>
  </si>
  <si>
    <t>Смоленское СКТБ СПУ ГП-80 СПУ</t>
  </si>
  <si>
    <t>TOMEY RC-5000</t>
  </si>
  <si>
    <t>Завод ЭМА ПОЛЮС-3</t>
  </si>
  <si>
    <t>Heine NT 200</t>
  </si>
  <si>
    <t>Keeler Pulsair intelliPuff</t>
  </si>
  <si>
    <t>Schumo TES 23L</t>
  </si>
  <si>
    <t>ЭМА УЗТ-1.04</t>
  </si>
  <si>
    <t>Ellman Surgitron</t>
  </si>
  <si>
    <t>Alcon Laureate World Phaco System</t>
  </si>
  <si>
    <t>Moller-Wedel Hi-R 900</t>
  </si>
  <si>
    <t>TOMEY US-6000 (UD-6010)</t>
  </si>
  <si>
    <t>Alcon INFINITI Vision System</t>
  </si>
  <si>
    <t>ГРПЗ ГП-40 МО</t>
  </si>
  <si>
    <t>Mocom Neutra B2 New</t>
  </si>
  <si>
    <t>Mocom B Now 22</t>
  </si>
  <si>
    <t>ШСТ ГП-80-400</t>
  </si>
  <si>
    <t>Колор 10-100 мкл</t>
  </si>
  <si>
    <t>Omron micro AIR U22 (NE-U22-E)</t>
  </si>
  <si>
    <t>Omron M6 Comfort (HEM-7223-ARU)</t>
  </si>
  <si>
    <t>Omron M2 Basic (HEM-7116-ARU)</t>
  </si>
  <si>
    <t>Heine ML 4 LED Professional L</t>
  </si>
  <si>
    <t>ШСТ ГП-80-410</t>
  </si>
  <si>
    <t>Nihon Kohden BSM-2351K</t>
  </si>
  <si>
    <t>07068</t>
  </si>
  <si>
    <t>Тонометр бесконтактный офтальмологический</t>
  </si>
  <si>
    <t>Shin Nippon CP-30</t>
  </si>
  <si>
    <t>41012412345</t>
  </si>
  <si>
    <t>41012412346</t>
  </si>
  <si>
    <t>41012412350</t>
  </si>
  <si>
    <t>Облучатель-рециркулятор POZIS ОРБ-1Н</t>
  </si>
  <si>
    <t>ИВ</t>
  </si>
  <si>
    <t>Наименование</t>
  </si>
  <si>
    <t>ЗН</t>
  </si>
  <si>
    <t>Стом. ЧЛХ</t>
  </si>
  <si>
    <t>Кожное</t>
  </si>
  <si>
    <t>41012412314</t>
  </si>
  <si>
    <t>41012412315</t>
  </si>
  <si>
    <t>41012412316</t>
  </si>
  <si>
    <t>41012412317</t>
  </si>
  <si>
    <t>41012412318</t>
  </si>
  <si>
    <t>41012412319</t>
  </si>
  <si>
    <t>41012412320</t>
  </si>
  <si>
    <t>41012412321</t>
  </si>
  <si>
    <t>41012412347</t>
  </si>
  <si>
    <t>41012412348</t>
  </si>
  <si>
    <t>41012412368</t>
  </si>
  <si>
    <t>41012412367</t>
  </si>
  <si>
    <t>41012412381</t>
  </si>
  <si>
    <t>41012412338</t>
  </si>
  <si>
    <t>41012412335</t>
  </si>
  <si>
    <t>41012412344</t>
  </si>
  <si>
    <t>41012412361</t>
  </si>
  <si>
    <t>41012412373</t>
  </si>
  <si>
    <t>41012412386</t>
  </si>
  <si>
    <t>41012412387</t>
  </si>
  <si>
    <t>41012412388</t>
  </si>
  <si>
    <t>41012412200</t>
  </si>
  <si>
    <t>41012412295</t>
  </si>
  <si>
    <t>41012412296</t>
  </si>
  <si>
    <t>41012412297</t>
  </si>
  <si>
    <t>41012412298</t>
  </si>
  <si>
    <t>41012412299</t>
  </si>
  <si>
    <t>41012412300</t>
  </si>
  <si>
    <t>41012412301</t>
  </si>
  <si>
    <t>41012412302</t>
  </si>
  <si>
    <t>41012412303</t>
  </si>
  <si>
    <t>41012412304</t>
  </si>
  <si>
    <t>41012412305</t>
  </si>
  <si>
    <t>41012412306</t>
  </si>
  <si>
    <t>41012412307</t>
  </si>
  <si>
    <t>41012412308</t>
  </si>
  <si>
    <t>41012412309</t>
  </si>
  <si>
    <t>41012412310</t>
  </si>
  <si>
    <t>41012412311</t>
  </si>
  <si>
    <t>41012412312</t>
  </si>
  <si>
    <t>41012412313</t>
  </si>
  <si>
    <t>41012412377</t>
  </si>
  <si>
    <t>41012412378</t>
  </si>
  <si>
    <t>41012412343</t>
  </si>
  <si>
    <t>41012412351</t>
  </si>
  <si>
    <t>41012412352</t>
  </si>
  <si>
    <t>41012412353</t>
  </si>
  <si>
    <t>41012412380</t>
  </si>
  <si>
    <t>41012412385</t>
  </si>
  <si>
    <t>41012412355</t>
  </si>
  <si>
    <t>41012412356</t>
  </si>
  <si>
    <t>41012412357</t>
  </si>
  <si>
    <t>41012412358</t>
  </si>
  <si>
    <t>41012412359</t>
  </si>
  <si>
    <t>41012412362</t>
  </si>
  <si>
    <t>41012412370</t>
  </si>
  <si>
    <t>41012412371</t>
  </si>
  <si>
    <t>41012412372</t>
  </si>
  <si>
    <t>41012412382</t>
  </si>
  <si>
    <t>41012412383</t>
  </si>
  <si>
    <t>41012412384</t>
  </si>
  <si>
    <t>41012412349</t>
  </si>
  <si>
    <t>sv0901755</t>
  </si>
  <si>
    <t>07.06.2021</t>
  </si>
  <si>
    <t>su0802506</t>
  </si>
  <si>
    <t>28.11.2020</t>
  </si>
  <si>
    <t xml:space="preserve">Дозатор пипеточный механический одноканальный </t>
  </si>
  <si>
    <t>Анализатор Фотометр микропланщетный</t>
  </si>
  <si>
    <t xml:space="preserve">Анализатор для определения гликозилированного гемоглобина, микроальбумина, креатинина </t>
  </si>
  <si>
    <t>п22</t>
  </si>
  <si>
    <t>Проф патолог</t>
  </si>
  <si>
    <t>Весы электронные напольные для пациентов до 200 кг</t>
  </si>
  <si>
    <t>Весы электронные настольные до 5 кг</t>
  </si>
  <si>
    <t>009094758</t>
  </si>
  <si>
    <t>Аптека</t>
  </si>
  <si>
    <t>СДП</t>
  </si>
  <si>
    <t>CAS SW-02</t>
  </si>
  <si>
    <t>SW-05</t>
  </si>
  <si>
    <t>ПВ-30</t>
  </si>
  <si>
    <t>ВТ-300</t>
  </si>
  <si>
    <t>Пищеблок</t>
  </si>
  <si>
    <t>Весы электронные настольные до 30 кг</t>
  </si>
  <si>
    <t>Весы электронные напольные  до 300 кг</t>
  </si>
  <si>
    <t xml:space="preserve">Аудиометр </t>
  </si>
  <si>
    <t>InterAcustic Titan</t>
  </si>
  <si>
    <t xml:space="preserve">Анализатор газов крови </t>
  </si>
  <si>
    <t>EasyBloodGas</t>
  </si>
  <si>
    <t>Shimadzu АХ-200</t>
  </si>
  <si>
    <t>D439500281</t>
  </si>
  <si>
    <t>Весы лабораторные</t>
  </si>
  <si>
    <t>Анализатор СОЭ</t>
  </si>
  <si>
    <t>Furuno CA-400</t>
  </si>
  <si>
    <t>Анализатор Амплификатор детектирующий</t>
  </si>
  <si>
    <t xml:space="preserve">Тонометр </t>
  </si>
  <si>
    <t>Zrxira</t>
  </si>
  <si>
    <t>Clinomat</t>
  </si>
  <si>
    <t>на списании</t>
  </si>
  <si>
    <t>Тонометр</t>
  </si>
  <si>
    <t>TOPCON  KR8900</t>
  </si>
  <si>
    <t>Место поверки</t>
  </si>
  <si>
    <t>Гагарина 6</t>
  </si>
  <si>
    <t>Свердлова 14</t>
  </si>
  <si>
    <t>Российская 16</t>
  </si>
  <si>
    <t>Гагарина 18</t>
  </si>
  <si>
    <t>Лаборатория исполнителя</t>
  </si>
  <si>
    <t>Красноармейская 1</t>
  </si>
  <si>
    <t>Физиоаппарат для гальванизации</t>
  </si>
  <si>
    <t>Физиоаппарат для лечения диадинамическими токами</t>
  </si>
  <si>
    <t>Физиоаппарат для терапии электросном</t>
  </si>
  <si>
    <t>Физиоаппарат для УВЧ терапии</t>
  </si>
  <si>
    <t>Физиоаппарат для ультразвуковой терапии</t>
  </si>
  <si>
    <t>Физиоаппарат магнито-ИК-лазерный терапевтический</t>
  </si>
  <si>
    <t>Физиоаппарат УФ терапевтический</t>
  </si>
  <si>
    <t>Физиоаппарат для дарсонвализации</t>
  </si>
  <si>
    <t>Физиоаппарат для ИК-лазерной терапии</t>
  </si>
  <si>
    <t>Физиоаппарат для коротковолновой УВЧ терапии</t>
  </si>
  <si>
    <t>Физиоаппарат для магнитотерапии</t>
  </si>
  <si>
    <t>Физиоаппарат для низкочастотной физиотерапии</t>
  </si>
  <si>
    <t>Физиоаппарат для светотерапии</t>
  </si>
  <si>
    <t>Физиоаппарат для СМВ терапии</t>
  </si>
  <si>
    <t>Физиоаппарат для терапии диадинамическими токами и гальванизации</t>
  </si>
  <si>
    <t>Физиоаппарат для термотерапии</t>
  </si>
  <si>
    <t>Физиоаппарат для электрофореза (гальванизатор)</t>
  </si>
  <si>
    <t>Физиоаппарат импульсный низкочастотный физиотерапевтический</t>
  </si>
  <si>
    <t>Физиоаппарат магнитотерапевтический</t>
  </si>
  <si>
    <t>Физиоаппарат для магнитоакустической терапии</t>
  </si>
  <si>
    <t>Физиоаппарат для местной дарсонвализации</t>
  </si>
  <si>
    <t>Физиоаппарат для терапии диадинамическими токами</t>
  </si>
  <si>
    <t>Физиоаппарат для флюктуаризации</t>
  </si>
  <si>
    <t>Количество</t>
  </si>
  <si>
    <t>11</t>
  </si>
  <si>
    <t>2</t>
  </si>
  <si>
    <t>8</t>
  </si>
  <si>
    <t>6</t>
  </si>
  <si>
    <t>5</t>
  </si>
  <si>
    <t>14</t>
  </si>
  <si>
    <t xml:space="preserve">физиоаппарат магнитной стимуляции </t>
  </si>
  <si>
    <t>Клническая лаборатория</t>
  </si>
  <si>
    <t>Насос инфузионный многоканальный</t>
  </si>
  <si>
    <t>19</t>
  </si>
  <si>
    <t>Комплекс суточного мониторирования ЭКГ</t>
  </si>
  <si>
    <t xml:space="preserve">Спирограф  </t>
  </si>
  <si>
    <t>Рао</t>
  </si>
  <si>
    <t>Физиоаппарат для  электростимулирующий</t>
  </si>
  <si>
    <t>Анализатор для определения гликозилированного гемоглобина</t>
  </si>
  <si>
    <t xml:space="preserve">1DSA 2893
</t>
  </si>
  <si>
    <t xml:space="preserve">13B1X10041000018
</t>
  </si>
  <si>
    <t>Тонометр по Маклакову</t>
  </si>
  <si>
    <t>20</t>
  </si>
  <si>
    <t>Секундомер механический</t>
  </si>
  <si>
    <t>Офтальмологическое</t>
  </si>
  <si>
    <t>56632CNCK</t>
  </si>
  <si>
    <t>0720030011</t>
  </si>
  <si>
    <t>Дерматологическое</t>
  </si>
  <si>
    <t>КДЛ</t>
  </si>
  <si>
    <t>п23</t>
  </si>
  <si>
    <t>п24</t>
  </si>
  <si>
    <t>х</t>
  </si>
  <si>
    <t>Источник света светодиодный</t>
  </si>
  <si>
    <t>ФРМО</t>
  </si>
  <si>
    <t>16.07.2020</t>
  </si>
  <si>
    <t>17.02.2016</t>
  </si>
  <si>
    <t>списание</t>
  </si>
  <si>
    <t>ОРУБ</t>
  </si>
  <si>
    <t>Система магнитной стимуляции тазового дна</t>
  </si>
  <si>
    <t>Год про-ва</t>
  </si>
  <si>
    <t>1DSA 2893</t>
  </si>
  <si>
    <t>0923787</t>
  </si>
  <si>
    <t>№РУ</t>
  </si>
  <si>
    <t>Манометр механический МВПЗ-УУ2</t>
  </si>
  <si>
    <t>Манометр электроконтакный  ДМ2010Сг</t>
  </si>
  <si>
    <t>Электроэнцефалограф-регистратор компьютеризированный  Энцефалан-ЭЭГР-19/26</t>
  </si>
  <si>
    <t>Электроэнцефалограф-регистратор компьютеризированный портативный Энцефалан-ЭЭГР</t>
  </si>
  <si>
    <t>Томограф оптический когерентный</t>
  </si>
  <si>
    <t>Trimax TX-50 Laser Imager</t>
  </si>
  <si>
    <t>Система лазерная офтальмологическая комбинированная</t>
  </si>
  <si>
    <t>Carl Zeiss 523</t>
  </si>
  <si>
    <t>Микроскоп операционный отоларингологический</t>
  </si>
  <si>
    <t>Carl Zeiss S7/OPMI Sensera</t>
  </si>
  <si>
    <t>6628186592</t>
  </si>
  <si>
    <t>Отоларингологическое</t>
  </si>
  <si>
    <t>Аудиометр импедансный</t>
  </si>
  <si>
    <t>Аудиометр диагностический</t>
  </si>
  <si>
    <t xml:space="preserve"> Interacoustics AD 629</t>
  </si>
  <si>
    <t xml:space="preserve"> Interacoustics Titan</t>
  </si>
  <si>
    <t>Дата 
Принятия к учету</t>
  </si>
  <si>
    <t>ФСЗ 2012/12656</t>
  </si>
  <si>
    <t>28.12.2015</t>
  </si>
  <si>
    <t>Дата РУ</t>
  </si>
  <si>
    <t>65448-16</t>
  </si>
  <si>
    <t>68321-17</t>
  </si>
  <si>
    <t>ФСЗ 2010/07490</t>
  </si>
  <si>
    <t>28.07.2010</t>
  </si>
  <si>
    <t>08.12.2014</t>
  </si>
  <si>
    <t>Стерилизатор паровой настольный (автоклав)</t>
  </si>
  <si>
    <t>Стерилизатор паровой (автоклав) сп</t>
  </si>
  <si>
    <t>25.04.2018</t>
  </si>
  <si>
    <t>28.08.2012</t>
  </si>
  <si>
    <t>К08104054</t>
  </si>
  <si>
    <t>11.08.2016</t>
  </si>
  <si>
    <t>320212</t>
  </si>
  <si>
    <t>2610412</t>
  </si>
  <si>
    <t>ТЗМОИ Фармстандарт ГК-100-4</t>
  </si>
  <si>
    <t>24.05.2018</t>
  </si>
  <si>
    <t>то1</t>
  </si>
  <si>
    <t>ТО</t>
  </si>
  <si>
    <t>л</t>
  </si>
  <si>
    <t>а</t>
  </si>
  <si>
    <t>к</t>
  </si>
  <si>
    <t>э</t>
  </si>
  <si>
    <t>и</t>
  </si>
  <si>
    <t>передан Аппарат рентгенохирургический</t>
  </si>
  <si>
    <t>Система ультразвуковой диагностики (УЗИ) Датчик УЗИ</t>
  </si>
  <si>
    <t>с</t>
  </si>
  <si>
    <t>Система лазерная Блок управления  YAG</t>
  </si>
  <si>
    <t>Компрессор медицинский для  Alcon Constelation</t>
  </si>
  <si>
    <t>Микроскоп операционный офтальмологический Источник света галогеновый</t>
  </si>
  <si>
    <t>Проектор знаков</t>
  </si>
  <si>
    <t>Кресло гинекологиеское моторизованное</t>
  </si>
  <si>
    <t>DICOM принтер</t>
  </si>
  <si>
    <t>2900116</t>
  </si>
  <si>
    <t>2900144</t>
  </si>
  <si>
    <t>53011212</t>
  </si>
  <si>
    <t>Pozis Paracels</t>
  </si>
  <si>
    <t>204CV20011858</t>
  </si>
  <si>
    <t>A122030916</t>
  </si>
  <si>
    <t>А12203</t>
  </si>
  <si>
    <t>8108558</t>
  </si>
  <si>
    <t xml:space="preserve">Pozis Paracels </t>
  </si>
  <si>
    <t>206AV2001444В</t>
  </si>
  <si>
    <t>206AV20014456</t>
  </si>
  <si>
    <t>204СV20011950</t>
  </si>
  <si>
    <t>Бирюса 136</t>
  </si>
  <si>
    <t>3754</t>
  </si>
  <si>
    <t>3836</t>
  </si>
  <si>
    <t>3831</t>
  </si>
  <si>
    <t>Шкаф холодильный фармацефтический</t>
  </si>
  <si>
    <t xml:space="preserve"> Valberg</t>
  </si>
  <si>
    <t>Холодильник-сейф</t>
  </si>
  <si>
    <t>Polair ШХФ-0,5</t>
  </si>
  <si>
    <t>Polair</t>
  </si>
  <si>
    <t>ХШФ-Енисей-400</t>
  </si>
  <si>
    <t>Karl Storz С-МАС (8402 ZX)</t>
  </si>
  <si>
    <t>ФСЗ 2009/04117</t>
  </si>
  <si>
    <t>08.04.2009</t>
  </si>
  <si>
    <t>Аспиратор медицинский</t>
  </si>
  <si>
    <t>ФСЗ 2008/01063</t>
  </si>
  <si>
    <t>29.02.2008</t>
  </si>
  <si>
    <t>ФСЗ 2010/07693</t>
  </si>
  <si>
    <t>18.08.2010</t>
  </si>
  <si>
    <t>ФСЗ 2012/12851</t>
  </si>
  <si>
    <t>15.10.2012</t>
  </si>
  <si>
    <t xml:space="preserve">Аппарат радиохирургический </t>
  </si>
  <si>
    <t>РЗН 2016/3651</t>
  </si>
  <si>
    <t>18.11.2019</t>
  </si>
  <si>
    <t>208</t>
  </si>
  <si>
    <t>Видеомонитор медицинский</t>
  </si>
  <si>
    <t>ФСЗ 2010/06112</t>
  </si>
  <si>
    <t>26.01.2010</t>
  </si>
  <si>
    <t>ФСЗ 2012/12219</t>
  </si>
  <si>
    <t>31.05.2012</t>
  </si>
  <si>
    <t>ФСЗ 2012/12885</t>
  </si>
  <si>
    <t>Плазмаферезная</t>
  </si>
  <si>
    <t>ФСЗ 2010/08624</t>
  </si>
  <si>
    <t>13.12.2010</t>
  </si>
  <si>
    <t>ФСР 2009/05556</t>
  </si>
  <si>
    <t>09.11.2018</t>
  </si>
  <si>
    <t>ФСР 2011/11834</t>
  </si>
  <si>
    <t>ФСР 2010/07819</t>
  </si>
  <si>
    <t>31.05.2019</t>
  </si>
  <si>
    <t xml:space="preserve">383* </t>
  </si>
  <si>
    <t>РЗН 2015/3531</t>
  </si>
  <si>
    <t>31.12.2015</t>
  </si>
  <si>
    <t>РЗН 2015/3184</t>
  </si>
  <si>
    <t>02.11.2015</t>
  </si>
  <si>
    <t>РЗН 2017/6462</t>
  </si>
  <si>
    <t>09.11.2017</t>
  </si>
  <si>
    <t>Hamilton Galileo C3</t>
  </si>
  <si>
    <t>19.10.2020</t>
  </si>
  <si>
    <t>10263</t>
  </si>
  <si>
    <t>Анализатор мочи автоматический</t>
  </si>
  <si>
    <t>173.04844</t>
  </si>
  <si>
    <t>процедурный 2 эт</t>
  </si>
  <si>
    <t>РЗН 2017/5668</t>
  </si>
  <si>
    <t>операционная</t>
  </si>
  <si>
    <t>26.04.2017</t>
  </si>
  <si>
    <t>УЗИ сканер сп</t>
  </si>
  <si>
    <t>Аквадистиллятор АЭ-10МО</t>
  </si>
  <si>
    <t>Аппарат Акку-Чек Актив</t>
  </si>
  <si>
    <t>07605684</t>
  </si>
  <si>
    <t>Аппарат для быстрого размораживания, подогрева и хранения в теплом виде плазмы, крови и инфузионных растворов "Лидмелт"</t>
  </si>
  <si>
    <t>71012413811</t>
  </si>
  <si>
    <t>2127</t>
  </si>
  <si>
    <t>Аппарат для мембранного и лечебного плазмафореза амплд-"ТТ"</t>
  </si>
  <si>
    <t>Аппарат ИВЛ Hamilton Medical  Galileo  Gold</t>
  </si>
  <si>
    <t>=</t>
  </si>
  <si>
    <t xml:space="preserve">Аппарат ИВЛ передвижной Hamilton - С  </t>
  </si>
  <si>
    <t>41012411891</t>
  </si>
  <si>
    <t>21012411823</t>
  </si>
  <si>
    <t>10232</t>
  </si>
  <si>
    <t>Аппарат ИВЛ Hamilton Medical Galileo  Gold</t>
  </si>
  <si>
    <t>Аппарат ИВЛ Hamilton Medical GALILEO Classic</t>
  </si>
  <si>
    <t>Аппарат наркозно-дыхательный  Draeger Fabius</t>
  </si>
  <si>
    <t>Аппарат наркозно-дыхательный  Draeger Fabius CE</t>
  </si>
  <si>
    <t>Аппарат наркозно-дыхательный  Draeger Fabius Plus</t>
  </si>
  <si>
    <t>0113</t>
  </si>
  <si>
    <t>08102704_2</t>
  </si>
  <si>
    <t>0019</t>
  </si>
  <si>
    <t>08102705_2</t>
  </si>
  <si>
    <t>0033</t>
  </si>
  <si>
    <t>Анализатор I - STAT Analezer (Model  № 300 - G)</t>
  </si>
  <si>
    <t>Весы для взвешивания отходов МК - 32.2 - А21</t>
  </si>
  <si>
    <t>15453 5</t>
  </si>
  <si>
    <t>Весы электронные до 2 кг NP 2000S</t>
  </si>
  <si>
    <t>94011182</t>
  </si>
  <si>
    <t>Весы электронные до 2 кг SК - 2000</t>
  </si>
  <si>
    <t>01370063_1</t>
  </si>
  <si>
    <t>Н0 0729 59</t>
  </si>
  <si>
    <t>Весы HL - 3000 WP</t>
  </si>
  <si>
    <t>Р8915305</t>
  </si>
  <si>
    <t>Р9815301</t>
  </si>
  <si>
    <t>Видеоларингоскоп BOEDECKERDOERGES</t>
  </si>
  <si>
    <t>RX  3545</t>
  </si>
  <si>
    <t>Дефибриллятор NIHON KOHDEN серия ТЕС 7731К</t>
  </si>
  <si>
    <t>Дефибриллятор портативный биофазный NIHON KOHDEN ТЕС-5521К</t>
  </si>
  <si>
    <t>передан в ЛОР</t>
  </si>
  <si>
    <t>Ручной дефибриллятор MINIDEF 3</t>
  </si>
  <si>
    <t>04700272</t>
  </si>
  <si>
    <t>Дефибриллятор портативный АЕD - 2100 NIHON KOHDEN</t>
  </si>
  <si>
    <t>Ингалятор компрессорный Omron NE- C 900</t>
  </si>
  <si>
    <t>2360000202</t>
  </si>
  <si>
    <t>20130301640 UF</t>
  </si>
  <si>
    <t>Ингалятор  компрессорный Omron NE- C 900</t>
  </si>
  <si>
    <t>20130301609 UF</t>
  </si>
  <si>
    <t>20130301638 UF</t>
  </si>
  <si>
    <t>Испаритель анастетика Vapor 2000</t>
  </si>
  <si>
    <t>0626</t>
  </si>
  <si>
    <t>Камера УФ -бактерицидная  для хранения стерильных медицинских инструментов КБ -"Я" - ФП</t>
  </si>
  <si>
    <t xml:space="preserve">Камера УФ-бактерицидная для хранения стерильных медицинских инструментов КБ-"Я"-ФП </t>
  </si>
  <si>
    <t>Камера УФ-бактерицидная для хранения стерильных медицинских инструментов КБ-"Я"-ФП - 02</t>
  </si>
  <si>
    <t>К7240000470</t>
  </si>
  <si>
    <t>0810 5227</t>
  </si>
  <si>
    <t>Каталка медицинская Емеrgo 6380</t>
  </si>
  <si>
    <t>Клапанная система двойная</t>
  </si>
  <si>
    <t>Клапанная система одиночная</t>
  </si>
  <si>
    <t>Концентратор кислородный Ever Flo</t>
  </si>
  <si>
    <t>2240000077</t>
  </si>
  <si>
    <t>Ларингоскоп KaWe</t>
  </si>
  <si>
    <t>Ларингоскоп Макентош</t>
  </si>
  <si>
    <t>Массажёр МН - 103 с ионной лампой</t>
  </si>
  <si>
    <t>1604004609</t>
  </si>
  <si>
    <t>Монитор анестезиолога Draeger Vamos</t>
  </si>
  <si>
    <t>71012414202</t>
  </si>
  <si>
    <t>ASRA - 6576</t>
  </si>
  <si>
    <t>Монитор анестезиолога Draeger Vamos  Plus</t>
  </si>
  <si>
    <t>0097</t>
  </si>
  <si>
    <t>Монитор анестезиолога Draeger Vamos Plus</t>
  </si>
  <si>
    <t>Монитор прикроватный NIHON KOHDEN BSM-2301К</t>
  </si>
  <si>
    <t>18566</t>
  </si>
  <si>
    <t>Монитор прикроватный NIHON KOHDEN BSM-3763К</t>
  </si>
  <si>
    <t>01913</t>
  </si>
  <si>
    <t xml:space="preserve">Монитор пациента  прикроватный iMEC, с принадлежностями </t>
  </si>
  <si>
    <t>210124411827</t>
  </si>
  <si>
    <t>EV - 07064981</t>
  </si>
  <si>
    <t>21012411826</t>
  </si>
  <si>
    <t>EV - 07064955</t>
  </si>
  <si>
    <t>21012411828</t>
  </si>
  <si>
    <t>EV - 07064968</t>
  </si>
  <si>
    <t>Насос для энтерального питания "Энтеропорт плюс" (Enteroport plus) c принадлежностями</t>
  </si>
  <si>
    <t>71012411840</t>
  </si>
  <si>
    <t>005617</t>
  </si>
  <si>
    <t>71012411839</t>
  </si>
  <si>
    <t>005587</t>
  </si>
  <si>
    <t>71012411841</t>
  </si>
  <si>
    <t>005430</t>
  </si>
  <si>
    <t>Насос для энтерального питания Kangaroo Pump c принадлежностями</t>
  </si>
  <si>
    <t>0829087</t>
  </si>
  <si>
    <t>Насос инфузионный волюметрический Р - 600 I SENSITEC</t>
  </si>
  <si>
    <t>Насос инфузионный АТОМ Р - 600</t>
  </si>
  <si>
    <t>Насос инфузионный (капельный) DF-12K</t>
  </si>
  <si>
    <t>011</t>
  </si>
  <si>
    <t>313</t>
  </si>
  <si>
    <t>08103944</t>
  </si>
  <si>
    <t>МР1АКН314</t>
  </si>
  <si>
    <t>Насос одношприцевой, модель WC - 50С6Т,   SENSITEC</t>
  </si>
  <si>
    <t>Насос помпа для инфузии шприцевой SEP-21S Plus</t>
  </si>
  <si>
    <t>21А100227</t>
  </si>
  <si>
    <t>21А120252</t>
  </si>
  <si>
    <t>21А120253</t>
  </si>
  <si>
    <t>Насос-помпа  для инфузии шприцевой SEP-21S Plus</t>
  </si>
  <si>
    <t>21А110207</t>
  </si>
  <si>
    <t>21А110208</t>
  </si>
  <si>
    <t>Насос-помпа  для инфузии шприцевой SEP-10S Plus</t>
  </si>
  <si>
    <t>Нейростимулятор Stimuplex HNS</t>
  </si>
  <si>
    <t>15.0808</t>
  </si>
  <si>
    <t>Низковакуумный электроотсасыватель "Basis"</t>
  </si>
  <si>
    <t>Облучатель -рециркулятор  орубн-3-5-КРОНТ Дезар -5</t>
  </si>
  <si>
    <t>Облучатель -рециркулятор  УФ - бактерицидный "СПДС - 60 - Р"</t>
  </si>
  <si>
    <t>113023</t>
  </si>
  <si>
    <t>113067</t>
  </si>
  <si>
    <t>43974</t>
  </si>
  <si>
    <t>Облучатель -рециркулятор настен. ОРУБ-01-КРОНТ-3</t>
  </si>
  <si>
    <t>Облучатель -рециркулятор СПДС-60-Р</t>
  </si>
  <si>
    <t>08102998_2</t>
  </si>
  <si>
    <t>Облучатель -рециркулятор  СПДС-60-Р</t>
  </si>
  <si>
    <t>08103003_2</t>
  </si>
  <si>
    <t>Облучатель -рециркулятор настен. ОРУБн - 3- 3-КРОНТ</t>
  </si>
  <si>
    <t>71012400121</t>
  </si>
  <si>
    <t>46072</t>
  </si>
  <si>
    <t>71012400238</t>
  </si>
  <si>
    <t>31715</t>
  </si>
  <si>
    <t>Облучатель -рециркулятор  воздуха ОРБ - 1 Н "POZIS</t>
  </si>
  <si>
    <t>301AV20026076</t>
  </si>
  <si>
    <t>Отсасыватель хирургический Мевакс М - 38</t>
  </si>
  <si>
    <t>1213129,1</t>
  </si>
  <si>
    <t>1213130,1</t>
  </si>
  <si>
    <t>Портативный ИВЛ д/нарк. ап-та Vigor 21 ACOMA Mobile 1000</t>
  </si>
  <si>
    <t>Прибор для измерения артериального давления (механический) BP AG1-20</t>
  </si>
  <si>
    <t>Прибор для измерения артериального давления (механический)</t>
  </si>
  <si>
    <t xml:space="preserve">Прибор для измерения артериального давления (механический) </t>
  </si>
  <si>
    <t>Пульсоксиметр напалечный МD 300С1С</t>
  </si>
  <si>
    <t>Пульсоксиметр напалечный МД300-С1С</t>
  </si>
  <si>
    <t>Стерилазатор воздушный ГП-80-400</t>
  </si>
  <si>
    <t>Размораживатель свежезамороженной плазмы РП - 4- 02 БФА</t>
  </si>
  <si>
    <t>Реанимационный чемодан евромед</t>
  </si>
  <si>
    <t>01370317</t>
  </si>
  <si>
    <t>Система мониторинга глубины наркоза и седации BIS VISTA</t>
  </si>
  <si>
    <t>21646</t>
  </si>
  <si>
    <t>система потивопролежневая Bronigen  BAS - 4000С</t>
  </si>
  <si>
    <t>система потивопролежневая Bronigen  BAS - 3000Н</t>
  </si>
  <si>
    <t>Стерилазатор воздушный ГП-80 СПУ</t>
  </si>
  <si>
    <t>7360000331</t>
  </si>
  <si>
    <t>Тележка для перевозки больных внутрикорпусная ТПБВ - 02"Д"</t>
  </si>
  <si>
    <t>08104278</t>
  </si>
  <si>
    <t>Термометр  медицинский  электронный  инфракрасный  В.Well</t>
  </si>
  <si>
    <t>Термометр инфракрасный  бесконтактный SENSITEC  NF 3101</t>
  </si>
  <si>
    <t>на списание</t>
  </si>
  <si>
    <t>Устройство " Bloodwarmer" для подогрева крови, кровезаменителей и растворов</t>
  </si>
  <si>
    <t>71012411457</t>
  </si>
  <si>
    <t>802 350</t>
  </si>
  <si>
    <t>Установка для электрохимического синтеза анолита АНК СТЭЛ-120</t>
  </si>
  <si>
    <t>Центрифуга настольная ЕВА 200</t>
  </si>
  <si>
    <t>Центрифуга с охладителем Multifuge 4 KR</t>
  </si>
  <si>
    <t>08102850_3</t>
  </si>
  <si>
    <t>Шкала для измерения центрального венозного давления "МЕДИФИКС"</t>
  </si>
  <si>
    <t>Экспресс анализатор состава крови АВВОТ i-STAT портативный</t>
  </si>
  <si>
    <t>Электрокардиограф  Minuscope MS - 3   SCHILLER</t>
  </si>
  <si>
    <t>Электрокардиограф SCHILLER CARDIOVIT AT-101 трёхканальный</t>
  </si>
  <si>
    <t>электрокардиостимулятор чреспищеводного и эндокардиального режимов ЧЭЭКСп - 3-"Вектор-МС"</t>
  </si>
  <si>
    <t>комната дез.обработки</t>
  </si>
  <si>
    <t>каб 118</t>
  </si>
  <si>
    <t>передан в ЧЛХ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</si>
  <si>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</si>
  <si>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ОПЕР</t>
  </si>
  <si>
    <t>к. дез.обработки</t>
  </si>
  <si>
    <t>каб. колоноскопии</t>
  </si>
  <si>
    <t xml:space="preserve">РАО </t>
  </si>
  <si>
    <t>каб.118</t>
  </si>
  <si>
    <t>ст. м/с</t>
  </si>
  <si>
    <t>передан в ГЛАЗ. к-ку</t>
  </si>
  <si>
    <t>будет списываться</t>
  </si>
  <si>
    <t>каб. 118</t>
  </si>
  <si>
    <t>каб. № 117</t>
  </si>
  <si>
    <t>каб. Ст. м/с</t>
  </si>
  <si>
    <t>ст.м/с</t>
  </si>
  <si>
    <t>ПИТ №1</t>
  </si>
  <si>
    <t>коридор</t>
  </si>
  <si>
    <t>ПИТ №2</t>
  </si>
  <si>
    <t xml:space="preserve">коридор </t>
  </si>
  <si>
    <t>коридор х.о.</t>
  </si>
  <si>
    <t>опер</t>
  </si>
  <si>
    <t xml:space="preserve">передан в т.о </t>
  </si>
  <si>
    <t>29/18020696/0666-00</t>
  </si>
  <si>
    <t>РОСС RU.ИМ10.В00658</t>
  </si>
  <si>
    <t>ФСР 2011/12422</t>
  </si>
  <si>
    <t>бессрочно</t>
  </si>
  <si>
    <t>11.2021.</t>
  </si>
  <si>
    <t>не подлежит</t>
  </si>
  <si>
    <t>29/26021102/4596-02</t>
  </si>
  <si>
    <t>РОСС RU.ИМ04.В07463</t>
  </si>
  <si>
    <t>ФСЗ 2011/09689</t>
  </si>
  <si>
    <t>РОСС СН.МЕ20.Д00556</t>
  </si>
  <si>
    <t>ФСЗ2009/04268</t>
  </si>
  <si>
    <t>РОСС RU.Д СН.МП18.В01788/19</t>
  </si>
  <si>
    <t>ФСЗ 2008/02845</t>
  </si>
  <si>
    <t>РОСС СН.АЯ46.В10341</t>
  </si>
  <si>
    <t>2010г.</t>
  </si>
  <si>
    <t>РОСС СН.АЯ46.В68520</t>
  </si>
  <si>
    <t>ФСЗ 2007/00858</t>
  </si>
  <si>
    <t>07.07.2015.</t>
  </si>
  <si>
    <t>РОСС DE.ИМ41.Д053750</t>
  </si>
  <si>
    <t>РОСС DE.ИМ02.В153100</t>
  </si>
  <si>
    <t>17.10.2019.</t>
  </si>
  <si>
    <t>JP.С.28.004.А</t>
  </si>
  <si>
    <t>17.10.2019 г.</t>
  </si>
  <si>
    <t>ФСЗ 2009/05280</t>
  </si>
  <si>
    <t>РОСС RU.0001.21АЯ43</t>
  </si>
  <si>
    <t>МЗ РФ 2004/175</t>
  </si>
  <si>
    <t>РОСС JP.АЯ46.В15739</t>
  </si>
  <si>
    <t>ФСЗ 2009/0 5598</t>
  </si>
  <si>
    <t>РОСС DE. ДЕ01.В35558</t>
  </si>
  <si>
    <t>МЗ РФ 2002/810</t>
  </si>
  <si>
    <t>31.10.2002.</t>
  </si>
  <si>
    <t>РОСС СН.АЯ46.В13541</t>
  </si>
  <si>
    <t>17.12.2018.</t>
  </si>
  <si>
    <t>ФСЗ2010/07582</t>
  </si>
  <si>
    <t>РОСС JP.ИМ04.Д00991</t>
  </si>
  <si>
    <t>не поверялся</t>
  </si>
  <si>
    <t>ФСЗ 2012/13323</t>
  </si>
  <si>
    <t>ФСЗ №2007/00858</t>
  </si>
  <si>
    <t>13.12.2010.</t>
  </si>
  <si>
    <t>2014.</t>
  </si>
  <si>
    <t>РОСС DE.ИМ24.В05330</t>
  </si>
  <si>
    <t xml:space="preserve">ФСР 2010/07779 </t>
  </si>
  <si>
    <t>РОСС RU.ИМ25.Д05344</t>
  </si>
  <si>
    <t>ФСР 2010/07779</t>
  </si>
  <si>
    <t>РОСС RU.ИМ02.Д01501</t>
  </si>
  <si>
    <t xml:space="preserve">ФСР 2011/11193 </t>
  </si>
  <si>
    <t>РОСС RU.ИМ02.Д00957</t>
  </si>
  <si>
    <t>ФС № 2005/203</t>
  </si>
  <si>
    <t>РОСС FL.ИМ02.Н17045</t>
  </si>
  <si>
    <t>ФСЗ 2008/02753</t>
  </si>
  <si>
    <t xml:space="preserve">РОСС  US.ИМ41.Д05418  </t>
  </si>
  <si>
    <t>ФСЗ2012/12627</t>
  </si>
  <si>
    <t>22.08.2012.</t>
  </si>
  <si>
    <t>ФСЗ 2011/09740</t>
  </si>
  <si>
    <t xml:space="preserve">РОСС JP. ИМ04.Д00241          </t>
  </si>
  <si>
    <t xml:space="preserve">ФС № 2006/622 </t>
  </si>
  <si>
    <t>29.10.2023.</t>
  </si>
  <si>
    <t xml:space="preserve">РОСС  RU Д- DE.МП 18.В.03600/20  </t>
  </si>
  <si>
    <t>ФСЗ № 2011/ 09595</t>
  </si>
  <si>
    <t>20.04.2011.</t>
  </si>
  <si>
    <t>РОСС DE.ИМ41.Д01281</t>
  </si>
  <si>
    <t>2009г</t>
  </si>
  <si>
    <t xml:space="preserve">РОСС JP. АЯ46.В15742          </t>
  </si>
  <si>
    <t>2012г</t>
  </si>
  <si>
    <t xml:space="preserve">РОСС JP. НО03.В03339          </t>
  </si>
  <si>
    <t xml:space="preserve">РОСС JP. ИМ04.Д00882          </t>
  </si>
  <si>
    <t>РОСС RU. Д CN.ИМ41.В.00083/18</t>
  </si>
  <si>
    <t>ФСЗ 2012/12819</t>
  </si>
  <si>
    <t>РОСС RU Д- DE.МП18.В.03375/20</t>
  </si>
  <si>
    <t>ФСЗ №2008/03206</t>
  </si>
  <si>
    <t>РОСС RU.0001.11ИМ24</t>
  </si>
  <si>
    <t>не требует</t>
  </si>
  <si>
    <t>ФСЗ 2008/02210</t>
  </si>
  <si>
    <t xml:space="preserve">РОСС CN.ИМ15.В01558          </t>
  </si>
  <si>
    <t>ФС № 2006/1869</t>
  </si>
  <si>
    <t>23.11.2006.</t>
  </si>
  <si>
    <t xml:space="preserve">РОСС JP. АЯ46.В68371          </t>
  </si>
  <si>
    <t>ФС №2006/2903</t>
  </si>
  <si>
    <t>РОСС RU.000111ИМ18</t>
  </si>
  <si>
    <t>РОСС LT.ИМ28.В00510</t>
  </si>
  <si>
    <t>07.12.2021 г</t>
  </si>
  <si>
    <t>ФС № 2006/921</t>
  </si>
  <si>
    <t xml:space="preserve">РОСС CN.ИМ15.В01718          </t>
  </si>
  <si>
    <t>ФСЗ 2009/03884</t>
  </si>
  <si>
    <t>бессрочный</t>
  </si>
  <si>
    <t>РОСС LT.ИМ28.В00509</t>
  </si>
  <si>
    <t xml:space="preserve"> </t>
  </si>
  <si>
    <t>ФС № 2006/2902</t>
  </si>
  <si>
    <t>РОСС LT.ИМ18.В00623</t>
  </si>
  <si>
    <t>РОСС СН.МЕ20.В03632</t>
  </si>
  <si>
    <t>ФСР 2009/04140</t>
  </si>
  <si>
    <t>РОСС RU.ИМ04. Н07762</t>
  </si>
  <si>
    <t>ФСР 2010/09816</t>
  </si>
  <si>
    <t>РОСС RU.МЕ77.В07225</t>
  </si>
  <si>
    <t>ФС 022а2006/3766</t>
  </si>
  <si>
    <t>ФСР 2011/11388</t>
  </si>
  <si>
    <t>РОСС RU.М10.. Н01200</t>
  </si>
  <si>
    <t>ФСР 2011/10308</t>
  </si>
  <si>
    <t>ЕАЭС № Д-RU.М.Л03.В.00029/20</t>
  </si>
  <si>
    <t xml:space="preserve">РОСС SK.АЯ46.Д42669     </t>
  </si>
  <si>
    <t xml:space="preserve">РОСС SK.АЯ46.Д70145     </t>
  </si>
  <si>
    <t>МЗ РФ № 2003/548</t>
  </si>
  <si>
    <t xml:space="preserve">РОСС JP. ИМ04.В04012          </t>
  </si>
  <si>
    <t>ФСЗ 2009/03850</t>
  </si>
  <si>
    <t>ФСР 2010/08196</t>
  </si>
  <si>
    <t>ФСЗ 2011/11005</t>
  </si>
  <si>
    <t>РОСС RU.0001.21ИМ33</t>
  </si>
  <si>
    <t>ФСЗ 2010/08592</t>
  </si>
  <si>
    <t>РОСС DE.МЕ20.Д01587</t>
  </si>
  <si>
    <t>ФСР2010/07333</t>
  </si>
  <si>
    <t>РОСС RU.ИМ04.Д01396</t>
  </si>
  <si>
    <t>ФСР 2009/06528</t>
  </si>
  <si>
    <t>РОСС RU.АЯ74.Д09562</t>
  </si>
  <si>
    <t xml:space="preserve">РЗН 2013/1078 </t>
  </si>
  <si>
    <t>08.06.2017.</t>
  </si>
  <si>
    <t>12 мес</t>
  </si>
  <si>
    <t>24 мес</t>
  </si>
  <si>
    <t>ФСЗ 2012/11517</t>
  </si>
  <si>
    <t>RA. RU. 10ФЯ46</t>
  </si>
  <si>
    <t>ФСЗ 2011/09920</t>
  </si>
  <si>
    <t>РОСС DE.АГ58.1100129</t>
  </si>
  <si>
    <t>ФС № 2006/1217</t>
  </si>
  <si>
    <t>РОСС DЕ.ИМ04.1107698</t>
  </si>
  <si>
    <t>ФСЗ 2007/00005</t>
  </si>
  <si>
    <t>РОСС DE.АГ58.Д00637</t>
  </si>
  <si>
    <t>ФС 2006/807</t>
  </si>
  <si>
    <t>ФС №2006/679</t>
  </si>
  <si>
    <t>РОСС СН.АЯ46.В16000</t>
  </si>
  <si>
    <t xml:space="preserve">ФС № 2006/679 </t>
  </si>
  <si>
    <t>РОСС СН.МЕ20.Д01261</t>
  </si>
  <si>
    <t>15.10.2019.</t>
  </si>
  <si>
    <t>ФСР 2012/13815</t>
  </si>
  <si>
    <t>РОСС RU.АЯ55.Д46290</t>
  </si>
  <si>
    <t>Инсайт-Сервис</t>
  </si>
  <si>
    <t>ООО Ангарская медицинская  компания</t>
  </si>
  <si>
    <t>формула развития</t>
  </si>
  <si>
    <t>СвемаСиб</t>
  </si>
  <si>
    <t>№846-623</t>
  </si>
  <si>
    <t>№846-624</t>
  </si>
  <si>
    <t>Медпромсервис</t>
  </si>
  <si>
    <t>ООО Олимпас Сибирь</t>
  </si>
  <si>
    <t>№ 827/084</t>
  </si>
  <si>
    <t>№824/135</t>
  </si>
  <si>
    <t>№827/136</t>
  </si>
  <si>
    <t>формула развития № 827/139</t>
  </si>
  <si>
    <t>ООО Медснаб</t>
  </si>
  <si>
    <t>ЗАО"Киль - М"</t>
  </si>
  <si>
    <t>ООО"КАСКАД-ФТО"</t>
  </si>
  <si>
    <t>Дельрус Байкал</t>
  </si>
  <si>
    <t>ООО"АрхиМед"</t>
  </si>
  <si>
    <t>ОООМедЭкспресс</t>
  </si>
  <si>
    <t>Олимпас Сибирь и К</t>
  </si>
  <si>
    <t>№ 827-193</t>
  </si>
  <si>
    <t>Формула развития</t>
  </si>
  <si>
    <t xml:space="preserve"> №827-196</t>
  </si>
  <si>
    <t xml:space="preserve">  № 827-199</t>
  </si>
  <si>
    <t>№ 827-194</t>
  </si>
  <si>
    <t xml:space="preserve"> № 827-195</t>
  </si>
  <si>
    <t>№ 827-198</t>
  </si>
  <si>
    <t xml:space="preserve">   № 827-203</t>
  </si>
  <si>
    <t xml:space="preserve">   № 827-202</t>
  </si>
  <si>
    <t>№ 827-204</t>
  </si>
  <si>
    <t>ООО Дельрус-Иркутск</t>
  </si>
  <si>
    <t>№ 827-208</t>
  </si>
  <si>
    <t>№ 827-207</t>
  </si>
  <si>
    <t>ФБУ "Иркутский ЦСМ"</t>
  </si>
  <si>
    <t>856-016403</t>
  </si>
  <si>
    <t>856-016404</t>
  </si>
  <si>
    <t>Формула Развития</t>
  </si>
  <si>
    <t>не прошёл</t>
  </si>
  <si>
    <t>Инсайт-сервис</t>
  </si>
  <si>
    <t>№ 518-2023</t>
  </si>
  <si>
    <t>№ 518-2021</t>
  </si>
  <si>
    <t>856-015906</t>
  </si>
  <si>
    <t>856-015917</t>
  </si>
  <si>
    <t>856-015908</t>
  </si>
  <si>
    <t>№518-0794</t>
  </si>
  <si>
    <t>856-016399</t>
  </si>
  <si>
    <t>№518-0795</t>
  </si>
  <si>
    <t>856-016057</t>
  </si>
  <si>
    <t>856-016401</t>
  </si>
  <si>
    <t>856-016402</t>
  </si>
  <si>
    <t>ЗАО"ИнтелМед"</t>
  </si>
  <si>
    <t>ИП Горбунов В.К.</t>
  </si>
  <si>
    <t>ООО ОлимпасСибирь</t>
  </si>
  <si>
    <t>"Дельрус-Байкал"</t>
  </si>
  <si>
    <t>"Киль-Иркутск"</t>
  </si>
  <si>
    <t>№ 740/19-М</t>
  </si>
  <si>
    <t>№ 827-225</t>
  </si>
  <si>
    <t>Ст м.с</t>
  </si>
  <si>
    <t>Schiller minidef</t>
  </si>
  <si>
    <t>49713375</t>
  </si>
  <si>
    <t xml:space="preserve">ФС № 2006/1287 </t>
  </si>
  <si>
    <t xml:space="preserve"> 14.08.2006 </t>
  </si>
  <si>
    <t>Mindray imec 9</t>
  </si>
  <si>
    <t>№ п/п</t>
  </si>
  <si>
    <t>Инв №</t>
  </si>
  <si>
    <t>Серийный / заводской №</t>
  </si>
  <si>
    <t>Регистрационное удостоверение</t>
  </si>
  <si>
    <t>Срок действия РУ</t>
  </si>
  <si>
    <t>год выпуска</t>
  </si>
  <si>
    <t>годен до</t>
  </si>
  <si>
    <t>Сертификат соответсвия</t>
  </si>
  <si>
    <t>Период поверки (мес)</t>
  </si>
  <si>
    <t>дата последней поверки (дд.мм.гггг)</t>
  </si>
  <si>
    <t>Обслуж организация</t>
  </si>
  <si>
    <t>Поставщик</t>
  </si>
  <si>
    <t>Свидетельство о поверке</t>
  </si>
  <si>
    <t>Заявитель РУ</t>
  </si>
  <si>
    <t>потребляемая мощность ВА</t>
  </si>
  <si>
    <t>место поверки</t>
  </si>
  <si>
    <t>дата след. Поверки (дд.мм.гггг)</t>
  </si>
  <si>
    <t>группа СИ (Р ТТ М Л)</t>
  </si>
  <si>
    <t>Страна Изготовитель</t>
  </si>
  <si>
    <t>год изготовления</t>
  </si>
  <si>
    <t>год поставки</t>
  </si>
  <si>
    <t>ФЛАГ поверки</t>
  </si>
  <si>
    <t>М \ Т</t>
  </si>
  <si>
    <t>Электрокардиограф NIHON KOHDEN ECG-9620M</t>
  </si>
  <si>
    <t>Терапевтическое</t>
  </si>
  <si>
    <t>пост м/с</t>
  </si>
  <si>
    <t>ФС 2004/458</t>
  </si>
  <si>
    <t>клиники</t>
  </si>
  <si>
    <t>Р</t>
  </si>
  <si>
    <t>М</t>
  </si>
  <si>
    <t>32118-336-601</t>
  </si>
  <si>
    <t>Весы электронные для взвешивания порционных блюд 5кг CAS SW-05</t>
  </si>
  <si>
    <t>009095251</t>
  </si>
  <si>
    <t>столовая</t>
  </si>
  <si>
    <t>Весы для взвешивания отходов МК32</t>
  </si>
  <si>
    <t>153077</t>
  </si>
  <si>
    <t>Весы напольные элетронные ВМЭН-150-50/100А</t>
  </si>
  <si>
    <t xml:space="preserve">ФСР 2011/09964 </t>
  </si>
  <si>
    <t xml:space="preserve"> 25.01.2011 </t>
  </si>
  <si>
    <t>Клиники</t>
  </si>
  <si>
    <t>м</t>
  </si>
  <si>
    <t>Гигрометр ВИТ-1</t>
  </si>
  <si>
    <t>ЦСМ</t>
  </si>
  <si>
    <t>Т</t>
  </si>
  <si>
    <t>Указатель давления эл. Тонометр Omron М2 Вasic</t>
  </si>
  <si>
    <t>08102836</t>
  </si>
  <si>
    <t>20100841873LF</t>
  </si>
  <si>
    <t>ФС 2004/887</t>
  </si>
  <si>
    <t>021880-279-308</t>
  </si>
  <si>
    <t>Указатели давления механические (тонометры) Microlife BP-AG1-20</t>
  </si>
  <si>
    <t>ординаторская</t>
  </si>
  <si>
    <t>МЗ РФ № 2001/1289</t>
  </si>
  <si>
    <t xml:space="preserve"> 15.11.2001</t>
  </si>
  <si>
    <t>Облучатель -рециркулятор настенный СПДС-60-Р</t>
  </si>
  <si>
    <t>08102988</t>
  </si>
  <si>
    <t>113025</t>
  </si>
  <si>
    <t>с/х</t>
  </si>
  <si>
    <t>Облучатель -рециркулятор передв.. Орубп-01-КРОНТ-4(ДЕЗАР-4)</t>
  </si>
  <si>
    <t>08102458</t>
  </si>
  <si>
    <t>08102568</t>
  </si>
  <si>
    <t>палатный</t>
  </si>
  <si>
    <t>04700206</t>
  </si>
  <si>
    <t>Облучатель -рециркулятор орубп-2-01-КРОНТ (Генерис)</t>
  </si>
  <si>
    <t>08102101</t>
  </si>
  <si>
    <t>н/д</t>
  </si>
  <si>
    <t>палата</t>
  </si>
  <si>
    <t>ФС 022а5897/1907-05</t>
  </si>
  <si>
    <t>08102949</t>
  </si>
  <si>
    <t>10042690736</t>
  </si>
  <si>
    <t>08102950</t>
  </si>
  <si>
    <t>10042690860</t>
  </si>
  <si>
    <t>08102951</t>
  </si>
  <si>
    <t>10042690859</t>
  </si>
  <si>
    <t>08102952</t>
  </si>
  <si>
    <t>10042690852</t>
  </si>
  <si>
    <t>08102953</t>
  </si>
  <si>
    <t>10042690851</t>
  </si>
  <si>
    <t>08102954</t>
  </si>
  <si>
    <t>10042690735</t>
  </si>
  <si>
    <t>Ингалятор B.Well WN-119U</t>
  </si>
  <si>
    <t>08102686</t>
  </si>
  <si>
    <t>08821</t>
  </si>
  <si>
    <t>ФС 2006/91</t>
  </si>
  <si>
    <t>Ингалятор Omron NE CX Pro</t>
  </si>
  <si>
    <t>04700011</t>
  </si>
  <si>
    <t>097409</t>
  </si>
  <si>
    <t>ФС 2005/257</t>
  </si>
  <si>
    <t>096820</t>
  </si>
  <si>
    <t>Ингалятор Omron Comp Air</t>
  </si>
  <si>
    <t>08102822</t>
  </si>
  <si>
    <t>20100626914UL</t>
  </si>
  <si>
    <t>ФСЗ 2009/03674</t>
  </si>
  <si>
    <t>08102823</t>
  </si>
  <si>
    <t>20100626915UL</t>
  </si>
  <si>
    <t>08102824</t>
  </si>
  <si>
    <t>20100626916UL</t>
  </si>
  <si>
    <t>Ингалятор Omron CX</t>
  </si>
  <si>
    <t>01370672</t>
  </si>
  <si>
    <t>125853</t>
  </si>
  <si>
    <t>ФС 96/338</t>
  </si>
  <si>
    <t>Нигатоскоп</t>
  </si>
  <si>
    <t>01370874</t>
  </si>
  <si>
    <t>5409957</t>
  </si>
  <si>
    <t>проф. Козлова</t>
  </si>
  <si>
    <t>07064</t>
  </si>
  <si>
    <t>009095217</t>
  </si>
  <si>
    <t>стм</t>
  </si>
  <si>
    <t>113041</t>
  </si>
  <si>
    <t>палата 14</t>
  </si>
  <si>
    <t>113050</t>
  </si>
  <si>
    <t>палата 8</t>
  </si>
  <si>
    <t>113051</t>
  </si>
  <si>
    <t>палата 6</t>
  </si>
  <si>
    <t>Облучатель -рециркулятор настенный. Орубн-01-КРОНТ-4(ДЕЗАР-5)</t>
  </si>
  <si>
    <t>04700142</t>
  </si>
  <si>
    <t>перевязочный</t>
  </si>
  <si>
    <t>Облучатель рециркулятор  КАМА-ВИТА орбн 2х15-01</t>
  </si>
  <si>
    <t>032010</t>
  </si>
  <si>
    <t>Облучатель рециркулятор  КАМА-ВИТА орбн 2х15-02</t>
  </si>
  <si>
    <t>Б/Н</t>
  </si>
  <si>
    <t>раздаточная</t>
  </si>
  <si>
    <t>Облучатель рециркулятор  КАМА-ВИТА орбн 2х8-01</t>
  </si>
  <si>
    <t>082010</t>
  </si>
  <si>
    <t>санитарная</t>
  </si>
  <si>
    <t>04700107</t>
  </si>
  <si>
    <t>пост м.с.</t>
  </si>
  <si>
    <t>04102034</t>
  </si>
  <si>
    <t>Облучатель -рециркулятор настенный. "орубн-03-КРОНТ-3"(ДЕЗАР-3)</t>
  </si>
  <si>
    <t>04800605</t>
  </si>
  <si>
    <t>Светильник медициинский "Мастерлайт"</t>
  </si>
  <si>
    <t xml:space="preserve">Шкаф сухожаровой стерилизатор ГП-80-410 Витязь </t>
  </si>
  <si>
    <t>ФС 2004/1655</t>
  </si>
  <si>
    <t>Стерилизатор воздушный ГП-40-3 ПО "Витязь" (передан в ЛОР)</t>
  </si>
  <si>
    <t>01370942</t>
  </si>
  <si>
    <t xml:space="preserve">передан в ЛОР </t>
  </si>
  <si>
    <t>ФСЗ 2010/07746</t>
  </si>
  <si>
    <t>Камера УФ-бактерицидная для хранения стерильных медицинских инструментов КБ-"Я"-ФП</t>
  </si>
  <si>
    <t>Универсальный операционный стол CHOONGWAE CHS-790</t>
  </si>
  <si>
    <t>МЗ РФ № 2002/892</t>
  </si>
  <si>
    <t>Аппарат Стел Н-120-01</t>
  </si>
  <si>
    <t>01370823</t>
  </si>
  <si>
    <t>Запасной процессор для установки стэл12.02</t>
  </si>
  <si>
    <t>01370664</t>
  </si>
  <si>
    <t>Ингалятор  Вулкан-3</t>
  </si>
  <si>
    <t>08102666</t>
  </si>
  <si>
    <t>08102667</t>
  </si>
  <si>
    <t>Простатрон</t>
  </si>
  <si>
    <t>01370133</t>
  </si>
  <si>
    <t>Велотренажер  магнитный НВ-8166НР</t>
  </si>
  <si>
    <t>08103044</t>
  </si>
  <si>
    <t>палата №</t>
  </si>
  <si>
    <t>Стерилизатор воздушный ГП-80 –Ох- ПЗ Касимовский приборный завод</t>
  </si>
  <si>
    <t>08102429</t>
  </si>
  <si>
    <t>413</t>
  </si>
  <si>
    <t>опер. Блок</t>
  </si>
  <si>
    <t>ФСР 2009/04871</t>
  </si>
  <si>
    <t>135-887</t>
  </si>
  <si>
    <t>08102427</t>
  </si>
  <si>
    <t>441</t>
  </si>
  <si>
    <t>135-888</t>
  </si>
  <si>
    <t>08102428</t>
  </si>
  <si>
    <t>478</t>
  </si>
  <si>
    <t>135-889</t>
  </si>
  <si>
    <t>Стерилизатор паровой автоклав Euroclave 23 vs</t>
  </si>
  <si>
    <t>08102934</t>
  </si>
  <si>
    <t>0035</t>
  </si>
  <si>
    <t>стерилизационная</t>
  </si>
  <si>
    <t>ФСЗ 2008/03089</t>
  </si>
  <si>
    <t>свема сиб</t>
  </si>
  <si>
    <t>135-890</t>
  </si>
  <si>
    <t>Аппарат  рентгенохирургический АRES MR</t>
  </si>
  <si>
    <t>08104785</t>
  </si>
  <si>
    <t>18012/00078</t>
  </si>
  <si>
    <t>большой зал</t>
  </si>
  <si>
    <t>ФСЗ 2009/05020</t>
  </si>
  <si>
    <t>Аспаратор-ирригатор хирургический АИХ6-01 "Фотек"</t>
  </si>
  <si>
    <t>08102426</t>
  </si>
  <si>
    <t>2010/07107</t>
  </si>
  <si>
    <t>08102827</t>
  </si>
  <si>
    <t>10568</t>
  </si>
  <si>
    <t>Аппарат электрохирургический ВЧ Фотек-Е352 (ЭХВЧ-350-01-Фотек)</t>
  </si>
  <si>
    <t>04700078</t>
  </si>
  <si>
    <t>05018</t>
  </si>
  <si>
    <t xml:space="preserve">ФСР 2010/07372 </t>
  </si>
  <si>
    <t>Электрокоагулятор хирургический Фотек Е80М ЭХВЧ-80-02 Фотек</t>
  </si>
  <si>
    <t>ФСР 2010/07373</t>
  </si>
  <si>
    <t>+</t>
  </si>
  <si>
    <t>Скальпель радиочастотный хирургический Электропульс  С-350РЧ</t>
  </si>
  <si>
    <t>02264525/3528-06</t>
  </si>
  <si>
    <t>формула</t>
  </si>
  <si>
    <t>Olipmpus sonosurg в составе энд стойки</t>
  </si>
  <si>
    <t>Светильник  стационарный потолочный хирургический "Эмалюкс"80/80</t>
  </si>
  <si>
    <t>04700114</t>
  </si>
  <si>
    <t>большой зал стол №2</t>
  </si>
  <si>
    <t>Светильник  стационарный потолочный хирургический  "Эмалюкс"80/80</t>
  </si>
  <si>
    <t>257</t>
  </si>
  <si>
    <t>м-о стол 3</t>
  </si>
  <si>
    <t>Светильник  стационарный потолочный хирургический. "Эмалюкс" 80/80</t>
  </si>
  <si>
    <t>04700115</t>
  </si>
  <si>
    <t>Большой зал стол №1</t>
  </si>
  <si>
    <t>Допл. За светильник "Эмалюкс" № 04700113</t>
  </si>
  <si>
    <t>Допл. За светильник "Эмалюкс" № 04700114</t>
  </si>
  <si>
    <t>04700117</t>
  </si>
  <si>
    <t>Допл. За светильник "Эмалюкс" № 04700115</t>
  </si>
  <si>
    <t>04700118</t>
  </si>
  <si>
    <t>Камера для хранения инструментов "Панмед-1"Б</t>
  </si>
  <si>
    <t>08102819</t>
  </si>
  <si>
    <t>0439</t>
  </si>
  <si>
    <t>2007/01472</t>
  </si>
  <si>
    <t>08102820</t>
  </si>
  <si>
    <t>0438</t>
  </si>
  <si>
    <t>0456</t>
  </si>
  <si>
    <t>Стерилизатор озоновый Орион-Си со стерилизац. Камерой 250л.</t>
  </si>
  <si>
    <t>04700021</t>
  </si>
  <si>
    <t>949</t>
  </si>
  <si>
    <t>ФСР 2010/07143</t>
  </si>
  <si>
    <t>инсайт</t>
  </si>
  <si>
    <t>Стерилизатор озоновый Орион-Си с камерой 250л.</t>
  </si>
  <si>
    <t>04700022</t>
  </si>
  <si>
    <t>482</t>
  </si>
  <si>
    <t>Стерилизатор озоновый Орион-Си с камерой 36л.</t>
  </si>
  <si>
    <t>04700023</t>
  </si>
  <si>
    <t>510</t>
  </si>
  <si>
    <t>Облучатель -рециркулятор бактерицидный орубн-3-5</t>
  </si>
  <si>
    <t>08102439</t>
  </si>
  <si>
    <t>предоперационная (№3)</t>
  </si>
  <si>
    <t>022а2006/3767-06</t>
  </si>
  <si>
    <t>Облучатель -рециркулятор бактерицидный орубп-3-5</t>
  </si>
  <si>
    <t>08102434</t>
  </si>
  <si>
    <t>37144</t>
  </si>
  <si>
    <t>передвижной (№2)</t>
  </si>
  <si>
    <t>32012</t>
  </si>
  <si>
    <t>передвижной (№1)</t>
  </si>
  <si>
    <t>Облучатель -рециркулятор бактерицидный СПДС-90-р</t>
  </si>
  <si>
    <t>03100610</t>
  </si>
  <si>
    <t>Коагулятор электрический Covigen forcetriad</t>
  </si>
  <si>
    <t>T2E229508EX</t>
  </si>
  <si>
    <t>ФСЗ 2011/10147</t>
  </si>
  <si>
    <t>свема</t>
  </si>
  <si>
    <t>Стойка лапароскопическая  Olympus medical systems 08</t>
  </si>
  <si>
    <t>ООО "Олимпас Москва"</t>
  </si>
  <si>
    <t>ФС № 2006/1737</t>
  </si>
  <si>
    <t>Стойка лапароскопическая  Olympus medical systems видеоцентр OTV-S7 PRO</t>
  </si>
  <si>
    <t>2004/946</t>
  </si>
  <si>
    <t>Стойка лапароскопическая  Olympus medical systems источник света CLV-S40 PRO</t>
  </si>
  <si>
    <t>Стойка лапароскопическая  Olympus medical systems Инсуффлятор углекислого газа UHI-3</t>
  </si>
  <si>
    <t>Стойка лапароскопическая  Olympus medical systems Электрохирургический блок UES-40</t>
  </si>
  <si>
    <t>Стойка эндоскопическая  Olimpus Medical Systems</t>
  </si>
  <si>
    <t>малый зал</t>
  </si>
  <si>
    <t>Стойка эндоскопическая  Olimpus Medical Systems  видеоцентр OTV-S7 PRO</t>
  </si>
  <si>
    <t>Стойка эндоскопическая  Olimpus Medical Systems блок CLV-S40 PRO</t>
  </si>
  <si>
    <t>Стойка эндоскопическая  Olimpus Medical Systems блок UHI-3</t>
  </si>
  <si>
    <t>7809798</t>
  </si>
  <si>
    <t>Стойка эндоскопическая  Olimpus Medical Systems блок UES-40</t>
  </si>
  <si>
    <t>Стойка эндоскопическая с манипуляционным симулятором Olimpus Medical Systems</t>
  </si>
  <si>
    <t>Стойка эндоскопическая  Olimpus Medical Systems блок OTV-S7 PRO</t>
  </si>
  <si>
    <t>7813393</t>
  </si>
  <si>
    <t>Стойка эндоскопическая  Olimpus Medical Systems блок USB-300</t>
  </si>
  <si>
    <t>Стойка артроскипическа Richard Wolf</t>
  </si>
  <si>
    <t>08103089</t>
  </si>
  <si>
    <t>ФС № 2006/1358</t>
  </si>
  <si>
    <t>Стойка артроскипическа Richard Wolf 5512 (видео камера)</t>
  </si>
  <si>
    <t>1100158121</t>
  </si>
  <si>
    <t>2006/1358</t>
  </si>
  <si>
    <t>Стойка артроскипическа Richard Wolf блок 5124 (источник света)</t>
  </si>
  <si>
    <t>Стойка артроскипическа Richard Wolf блок 2203 (ирригатор)</t>
  </si>
  <si>
    <t>110541</t>
  </si>
  <si>
    <t>Стойка артроскипическа Richard Wolf блок 2304 (шейверная система)</t>
  </si>
  <si>
    <t>Система высокочастотной биополярной абляции VAPR 3 на стойке RW</t>
  </si>
  <si>
    <t>08103093</t>
  </si>
  <si>
    <t>ФС № 2006/1454</t>
  </si>
  <si>
    <t>Стойка эндоскопическая Karl Storz старая</t>
  </si>
  <si>
    <t>в кабинете</t>
  </si>
  <si>
    <t>2002/188</t>
  </si>
  <si>
    <t>Камера цифровая для проведения  эндоскопических операций OTV-S7 на стойке KS</t>
  </si>
  <si>
    <t>Мойка ультразвуковая Elmasonik S 300 H</t>
  </si>
  <si>
    <t>Негатоскоп НОН 907-03 МСК</t>
  </si>
  <si>
    <t>08103072</t>
  </si>
  <si>
    <t>Система ультразвуковая Toshiba SSA-640A  УЗИ мобильная 2 датчика</t>
  </si>
  <si>
    <t>ФС № 2009/04458</t>
  </si>
  <si>
    <t xml:space="preserve">01.06.2009 </t>
  </si>
  <si>
    <t>Система ультразвуковая Toshiba SSA-640A  УЗИ датчик PVT-375ST</t>
  </si>
  <si>
    <t>у</t>
  </si>
  <si>
    <t>99A0982170</t>
  </si>
  <si>
    <t>2009/04458</t>
  </si>
  <si>
    <t>Система ультразвуковая Toshiba SSA-640A  УЗИ датчик PLT-704ST</t>
  </si>
  <si>
    <t>Стол операционный рентгенопрозрачный,гидравлический Flamed SU 03</t>
  </si>
  <si>
    <t>2003/879</t>
  </si>
  <si>
    <t>ЗАО "ДЕЛЬРУС"</t>
  </si>
  <si>
    <t>большая стол №2</t>
  </si>
  <si>
    <t>Стол операционный универсальный рентгенопрозрачный, гидравлический Flamed</t>
  </si>
  <si>
    <t>ООО "Медэк Инструмент Групп"</t>
  </si>
  <si>
    <t>большая стол №1</t>
  </si>
  <si>
    <t>ФС № 2003/879</t>
  </si>
  <si>
    <t>Установка рентгеновская передвижная Shimadzu Openscope (C-дуга)</t>
  </si>
  <si>
    <t>На складе</t>
  </si>
  <si>
    <t>Эндоскопическая камера</t>
  </si>
  <si>
    <t>Эндоскопическая стойка Инсуфлятор на стойке KS</t>
  </si>
  <si>
    <t>Эндоскопическая стойка Модель ОТV на стойке KS</t>
  </si>
  <si>
    <t>Эндоскопическая стойка Монитор ОЕV</t>
  </si>
  <si>
    <t>проф. Щербатых</t>
  </si>
  <si>
    <t>Эндоскопическая стойка насос Sujccymat</t>
  </si>
  <si>
    <t>Эндоскопическая стойка Осветитель CLU</t>
  </si>
  <si>
    <t>Эндоскопическая стойка Электрохир. Устройства</t>
  </si>
  <si>
    <t>Л</t>
  </si>
  <si>
    <t>04700328</t>
  </si>
  <si>
    <t>07075</t>
  </si>
  <si>
    <t>Неврологическое</t>
  </si>
  <si>
    <t>процедурный</t>
  </si>
  <si>
    <t>009095298</t>
  </si>
  <si>
    <t>155920</t>
  </si>
  <si>
    <t>08102627</t>
  </si>
  <si>
    <t>палтный</t>
  </si>
  <si>
    <t>04700204</t>
  </si>
  <si>
    <t>08102990</t>
  </si>
  <si>
    <t>08102989</t>
  </si>
  <si>
    <t>08102991</t>
  </si>
  <si>
    <t>Отсасыватель LC-16 Atmos</t>
  </si>
  <si>
    <t>04700270</t>
  </si>
  <si>
    <t>014340</t>
  </si>
  <si>
    <t>РЭО энцэфалограф Regina2000</t>
  </si>
  <si>
    <t>01370712</t>
  </si>
  <si>
    <t>169.02</t>
  </si>
  <si>
    <t>Лаборатория нейрофизиологии</t>
  </si>
  <si>
    <t xml:space="preserve">нет </t>
  </si>
  <si>
    <t>Радио</t>
  </si>
  <si>
    <t>Электроэнцефалограф DXNT32 стандарт</t>
  </si>
  <si>
    <t>01370713</t>
  </si>
  <si>
    <t>123.02</t>
  </si>
  <si>
    <t>Вибротестер МБН ВТ-02-1К</t>
  </si>
  <si>
    <t>08103074</t>
  </si>
  <si>
    <t>1190</t>
  </si>
  <si>
    <t>08102889</t>
  </si>
  <si>
    <t>030208</t>
  </si>
  <si>
    <t>ФС 2007/00124</t>
  </si>
  <si>
    <t>Комплекс компьютерный многофункциональный для ЭМГ,ВП,ЭРГ,ОАЕ Нейро-ВМП-8</t>
  </si>
  <si>
    <t>08104456</t>
  </si>
  <si>
    <t>ФСР 2010/09381</t>
  </si>
  <si>
    <t>мт</t>
  </si>
  <si>
    <t>Блок усиления №1 Нейро-ВМП-8</t>
  </si>
  <si>
    <t>0998</t>
  </si>
  <si>
    <t>0999</t>
  </si>
  <si>
    <t>Блок аудио-видео Нейро-ВМП-8</t>
  </si>
  <si>
    <t>0788</t>
  </si>
  <si>
    <t>Блок токовый Нейро-ВМП-8</t>
  </si>
  <si>
    <t>0928</t>
  </si>
  <si>
    <t>Система УЗ доплер Kransbuchler LOGIDOP-5</t>
  </si>
  <si>
    <t>01370283</t>
  </si>
  <si>
    <t>3321</t>
  </si>
  <si>
    <t>Стерилизатор озоновый (СО01)</t>
  </si>
  <si>
    <t>1220</t>
  </si>
  <si>
    <t>29/19030497/1674-01</t>
  </si>
  <si>
    <t xml:space="preserve"> 05.03.2001</t>
  </si>
  <si>
    <t xml:space="preserve"> 24.04.2007 </t>
  </si>
  <si>
    <t>Прибор д/лечения апное сна WEINMANN SOMNO smart 2</t>
  </si>
  <si>
    <t>04700049</t>
  </si>
  <si>
    <t>1851</t>
  </si>
  <si>
    <t>Кардиореспираторный скрининг WEINMANN SOMNO Check Effort</t>
  </si>
  <si>
    <t>4367</t>
  </si>
  <si>
    <t>Система УЗИ диагностическая GE Vivid q 5 датчиков</t>
  </si>
  <si>
    <t>08104455</t>
  </si>
  <si>
    <t>050006Vq</t>
  </si>
  <si>
    <t>ФСЗ 2009/04875</t>
  </si>
  <si>
    <t>Система УЗИ диагностическая GE Vivid q датчик 12L</t>
  </si>
  <si>
    <t>87941YP1</t>
  </si>
  <si>
    <t>Система УЗИ диагностическая GE Vivid q датчик 4C</t>
  </si>
  <si>
    <t>247486WX4</t>
  </si>
  <si>
    <t>Система УЗИ диагностическая GE Vivid q датчик M4S</t>
  </si>
  <si>
    <t>97916YP1</t>
  </si>
  <si>
    <t>Система УЗИ диагностическая GE Vivid q датчик 10S</t>
  </si>
  <si>
    <t>128109PD6</t>
  </si>
  <si>
    <t>Система УЗИ диагностическая GE Vivid q датчик 6S</t>
  </si>
  <si>
    <t>130401PD3</t>
  </si>
  <si>
    <t>Стабилоанализатор компьютерный с биологической обратной связью Стабилан-01</t>
  </si>
  <si>
    <t>08104245</t>
  </si>
  <si>
    <t>ФСР 2010/08958</t>
  </si>
  <si>
    <t>т</t>
  </si>
  <si>
    <t>УЗИ-сканер GE Logiq Book XP 3 датчика</t>
  </si>
  <si>
    <t>04700196</t>
  </si>
  <si>
    <t>39188WX8</t>
  </si>
  <si>
    <t>2004/1388</t>
  </si>
  <si>
    <t>УЗИ-сканер GE Logiq Book XP датчик 3C</t>
  </si>
  <si>
    <t>1050604YM6</t>
  </si>
  <si>
    <t>УЗИ-сканер GE Logiq Book XP датчик 8C</t>
  </si>
  <si>
    <t>42768WX2</t>
  </si>
  <si>
    <t>УЗИ-сканер GE Logiq Book XP датчик 8L</t>
  </si>
  <si>
    <t>5969PD0</t>
  </si>
  <si>
    <t>Электронейромиограф"Нейро-ЭМГ-Микро/П" с миограф.иглой 25,08,03г</t>
  </si>
  <si>
    <t>01370838</t>
  </si>
  <si>
    <t>148</t>
  </si>
  <si>
    <t xml:space="preserve">ФСР 2010/09381 </t>
  </si>
  <si>
    <t>08104246</t>
  </si>
  <si>
    <t>11008604</t>
  </si>
  <si>
    <t>Эхоэнцефалограф сономед 315/м от12.02 портативный</t>
  </si>
  <si>
    <t>01370699</t>
  </si>
  <si>
    <t>02080089</t>
  </si>
  <si>
    <t xml:space="preserve">ФСР 2010/08828 </t>
  </si>
  <si>
    <t>Эхоэнцефалограф сономед 315/р от12.02 плата ПК</t>
  </si>
  <si>
    <t>01370698</t>
  </si>
  <si>
    <t>Аппарат Поток 1</t>
  </si>
  <si>
    <t>Физио-терапевт</t>
  </si>
  <si>
    <t>физио каб</t>
  </si>
  <si>
    <t>Аппарат Нион</t>
  </si>
  <si>
    <t>Аппарат ДТ-50-3</t>
  </si>
  <si>
    <t>Аппарат электросон ЭС-10-5</t>
  </si>
  <si>
    <t>Аппарат УВЧ-70-01А</t>
  </si>
  <si>
    <t>Аппарат УЗТ</t>
  </si>
  <si>
    <t>Аппарат Амплипульс</t>
  </si>
  <si>
    <t>Трансаир</t>
  </si>
  <si>
    <t>Аппарат Рикта</t>
  </si>
  <si>
    <t>ИЛФ</t>
  </si>
  <si>
    <t>Аппарат Милта</t>
  </si>
  <si>
    <t>Аппарат ЛУЧ-4</t>
  </si>
  <si>
    <t>Автоклав ГК-100-4</t>
  </si>
  <si>
    <t>Автоклав ГК-100-1</t>
  </si>
  <si>
    <t>Автоклав ГК-100-1 на списание</t>
  </si>
  <si>
    <t>Манометр технический</t>
  </si>
  <si>
    <t>Манометр электроконтактный</t>
  </si>
  <si>
    <t>Стерелизатор паровой</t>
  </si>
  <si>
    <t>УЗИ  аппарат экспертного класса GE Logiq E9 (4 датчика)</t>
  </si>
  <si>
    <t>УЗИ каб.1</t>
  </si>
  <si>
    <t>ФСЗ 2009/04522</t>
  </si>
  <si>
    <t>УЗ датчик для аппрата GE Logiq E9 CL-5</t>
  </si>
  <si>
    <t>узи</t>
  </si>
  <si>
    <t>УЗ датчик для аппрата GE Logiq E9 ML6-15</t>
  </si>
  <si>
    <t>УЗ датчик для аппрата GE Logiq E9 M5S</t>
  </si>
  <si>
    <t>УЗ датчик для аппрата GE Logiq E9 IC5</t>
  </si>
  <si>
    <t>УЗИ  аппарат диагностический GE Logiq Book XP (4 датчика)</t>
  </si>
  <si>
    <t>УЗ датчик для аппрата GE Logiq Book XP 3С-RS</t>
  </si>
  <si>
    <t>1024066YM1</t>
  </si>
  <si>
    <t>УЗ датчик для аппрата GE Logiq Book XP 3S-RS</t>
  </si>
  <si>
    <t>36679WX9</t>
  </si>
  <si>
    <t>УЗ датчик для аппрата GE Logiq Book XP 8LB-RS</t>
  </si>
  <si>
    <t>49413PD8</t>
  </si>
  <si>
    <t>УЗ датчик для аппрата GE Logiq Book XP 8C-RS</t>
  </si>
  <si>
    <t>161078WX1</t>
  </si>
  <si>
    <t>УЗИ аппарат ALOKA Prosound α-5 (4 датчика)</t>
  </si>
  <si>
    <t>кожная</t>
  </si>
  <si>
    <t>ФС 2005/1090</t>
  </si>
  <si>
    <t>УЗ датчик для аппрата ALOKA Prosound α-5 UST-672 5/7.7</t>
  </si>
  <si>
    <t>M01356</t>
  </si>
  <si>
    <t>УЗ датчик для аппрата ALOKA Prosound α-5 UST-52101</t>
  </si>
  <si>
    <t>M02273</t>
  </si>
  <si>
    <t>УЗ датчик для аппрата ALOKA Prosound α-5 UST-9126</t>
  </si>
  <si>
    <t>M03364</t>
  </si>
  <si>
    <t>УЗ датчик для аппрата ALOKA Prosound α-5 UST-5410</t>
  </si>
  <si>
    <t>M00441</t>
  </si>
  <si>
    <t>УЗИ аппарат Toshiba Xario XG (4 датчика)</t>
  </si>
  <si>
    <t>08102838</t>
  </si>
  <si>
    <t>УЗИ каб.2</t>
  </si>
  <si>
    <t>ФСЗ 2009/04056</t>
  </si>
  <si>
    <t>УЗ датчик для аппрата Toshiba Xario XG PST-30BT</t>
  </si>
  <si>
    <t>УЗ датчик для аппрата Toshiba Xario XG PLT-805AT</t>
  </si>
  <si>
    <t>УЗ датчик для аппрата Toshiba Xario XG PVT-375BT</t>
  </si>
  <si>
    <t>УЗ датчик для аппрата Toshiba Xario XG PVT-661VT</t>
  </si>
  <si>
    <t>Сканер диагностический  GE Vscan</t>
  </si>
  <si>
    <t>VH92281HN</t>
  </si>
  <si>
    <t>Система  диагностическая  многоцелевая ультразвуковая  OKП 944280</t>
  </si>
  <si>
    <t>Сканер ультразвуковой  с цветным 17" монитором и датчиками UST-9130, 9118, 5412, 52101</t>
  </si>
  <si>
    <t>Видеокамера эндоскопическая Азимут Плюс (в составе ноутбук ASUS, Samsung CLP-365)</t>
  </si>
  <si>
    <t>29</t>
  </si>
  <si>
    <t>Проктология</t>
  </si>
  <si>
    <t>Аппарат хирургический радиоволновой Ellman Surgitron</t>
  </si>
  <si>
    <t>ФСЗ  2008/02473</t>
  </si>
  <si>
    <t>бесстрочно</t>
  </si>
  <si>
    <t>Осветитель эндоскопический ОС-150-01-М</t>
  </si>
  <si>
    <t>01370615</t>
  </si>
  <si>
    <t>1145</t>
  </si>
  <si>
    <t>Камера УФ - бактерицидная куфхми 670 (на списание)</t>
  </si>
  <si>
    <t>04700197</t>
  </si>
  <si>
    <t>Камера УФ - бактерицидная куфхми 970 новая</t>
  </si>
  <si>
    <t>Колон-гидромат промывания кишечника Colon Hydramat II</t>
  </si>
  <si>
    <t>01370711</t>
  </si>
  <si>
    <t>15502648</t>
  </si>
  <si>
    <t xml:space="preserve">Светильник передвижной kawe masterligth </t>
  </si>
  <si>
    <t>Облучатель -рециркулятор настенный орубп 2-01-КРОНТ</t>
  </si>
  <si>
    <t>Каогулятор фотоновый CTL-3808 ( документы у Крупеневой)</t>
  </si>
  <si>
    <t>04700071</t>
  </si>
  <si>
    <t>12532</t>
  </si>
  <si>
    <t>Весы напольные электронные ТРПМ-200 Д1</t>
  </si>
  <si>
    <t xml:space="preserve">ФСР 2008/02905 </t>
  </si>
  <si>
    <t>154524</t>
  </si>
  <si>
    <t>Указатели давления механические (тонометр)</t>
  </si>
  <si>
    <t>Указатель давления электронный (тонометр)</t>
  </si>
  <si>
    <t>08102496_3</t>
  </si>
  <si>
    <t>Регистрегистратор холтеровского мониторирования АД  ВR-102 plus Schiller</t>
  </si>
  <si>
    <t>08102937</t>
  </si>
  <si>
    <t>ЭКГ/Спиро</t>
  </si>
  <si>
    <t>ФС № 2006/813</t>
  </si>
  <si>
    <t>30.05.2006 </t>
  </si>
  <si>
    <t>30.05.2016 </t>
  </si>
  <si>
    <t>08102938</t>
  </si>
  <si>
    <t>08102939</t>
  </si>
  <si>
    <t>Регистрегистратор холтеровского мониторирования ЭКГ МТ-101  3-х канальный Schiller</t>
  </si>
  <si>
    <t>300.06539</t>
  </si>
  <si>
    <t>300.06538</t>
  </si>
  <si>
    <t>300.11613</t>
  </si>
  <si>
    <t>08102892_3</t>
  </si>
  <si>
    <t>300.11614</t>
  </si>
  <si>
    <t>300.10516</t>
  </si>
  <si>
    <t>Регистрегистратор холтеровского мониторирования АД BR-102</t>
  </si>
  <si>
    <t>Регистрегистратор холтеровского мониторирования ЭКГ МТ-101</t>
  </si>
  <si>
    <t>Спирограф Spirolab III</t>
  </si>
  <si>
    <t>Электрокардиограф SCHILLER CARDIOVIT AT-10</t>
  </si>
  <si>
    <t>08102890</t>
  </si>
  <si>
    <t>ФС № 2006/679</t>
  </si>
  <si>
    <t>17304844</t>
  </si>
  <si>
    <t>Электрокардиограф NIHON KOHDEN ECG-9130 K</t>
  </si>
  <si>
    <t>ФС № 2004/848</t>
  </si>
  <si>
    <t>04700010</t>
  </si>
  <si>
    <t>01128</t>
  </si>
  <si>
    <t>Регистрегистратор холтеровского мониторирования АД Кардио техника</t>
  </si>
  <si>
    <t>ФСР 2008/01748</t>
  </si>
  <si>
    <t>Регистрегистратор холтеровского мониторирования ЭКГ Кардио техника</t>
  </si>
  <si>
    <t>Стойка эндоскопическая Olympus  WM-NP1</t>
  </si>
  <si>
    <t>2619616</t>
  </si>
  <si>
    <t>ФГДС каб.1</t>
  </si>
  <si>
    <t xml:space="preserve">ФС № 2006/1737 </t>
  </si>
  <si>
    <t>Видеоцентр системный Olympus EVIS EXERA II CV-180</t>
  </si>
  <si>
    <t>Источник света ксеноновый Olympus EVIS EXERA II CLV-180</t>
  </si>
  <si>
    <t>Блок подачи углекислого газа Olympus UCR</t>
  </si>
  <si>
    <t>Монитор Olympus OEV-191H</t>
  </si>
  <si>
    <t>08102780_2</t>
  </si>
  <si>
    <t>Эндоскопический отсасыватель Olympus CV-4</t>
  </si>
  <si>
    <t>01370536</t>
  </si>
  <si>
    <t>Электрокоагулятор Conimed system 5000</t>
  </si>
  <si>
    <t>Машина моечная Olympus OER-AW</t>
  </si>
  <si>
    <t>08102783_2</t>
  </si>
  <si>
    <t xml:space="preserve">Мойка ультразвуковая Olympus Endosonic </t>
  </si>
  <si>
    <t>08102848_2</t>
  </si>
  <si>
    <t>2903092</t>
  </si>
  <si>
    <t>Коагулятор электрохирургический ERBE VIO CART (в составе ERBE VIO 300D, ERBE APC)</t>
  </si>
  <si>
    <t>08104619</t>
  </si>
  <si>
    <t>11302994</t>
  </si>
  <si>
    <t xml:space="preserve">ФСЗ 2009/03785 </t>
  </si>
  <si>
    <t>Блок ERBE VIO 300D</t>
  </si>
  <si>
    <t>11310468</t>
  </si>
  <si>
    <t>Блок ERBE APC</t>
  </si>
  <si>
    <t>11353789</t>
  </si>
  <si>
    <t>Камера УФ-бактерицидная для хранения стерильных .инструментов куфхми 970</t>
  </si>
  <si>
    <t>29/18030402/5552-03</t>
  </si>
  <si>
    <t>Ацидогастрометр АГМ-05К</t>
  </si>
  <si>
    <t xml:space="preserve">Гастроэнтеромонитор ГЭМ-01 </t>
  </si>
  <si>
    <t>Стойка эндоскопическая Olympus WM-NP1</t>
  </si>
  <si>
    <t>ФГДС каб.2</t>
  </si>
  <si>
    <t>Выдвижная полка для клавиатуры для WM-P1</t>
  </si>
  <si>
    <t>08102789</t>
  </si>
  <si>
    <t>08102779</t>
  </si>
  <si>
    <t>Электрохирургический блок Olympus PSD-30</t>
  </si>
  <si>
    <t>Эндоскопический отсасыватель Olympus KV-5</t>
  </si>
  <si>
    <t>2725316</t>
  </si>
  <si>
    <t>Машина моечная автоматическая ОЕR-AW</t>
  </si>
  <si>
    <t>08102849_2</t>
  </si>
  <si>
    <t>УЗИ ALOKA Prosound α-10 (один датчик для эндо УЗИ)</t>
  </si>
  <si>
    <t>ФС 2005/1532</t>
  </si>
  <si>
    <t>УЗ датчик для эндо УЗИ MAJ-896</t>
  </si>
  <si>
    <t>1212096</t>
  </si>
  <si>
    <t>Монитор NDS Radiance 24"</t>
  </si>
  <si>
    <t>17728</t>
  </si>
  <si>
    <t>08102802_2</t>
  </si>
  <si>
    <t>08102803_2</t>
  </si>
  <si>
    <t>08102804_1</t>
  </si>
  <si>
    <t>Держатель  ЖК монитора для WM-P1</t>
  </si>
  <si>
    <t>08102790_2</t>
  </si>
  <si>
    <t>Держатель  эндоскопов для WM-P1</t>
  </si>
  <si>
    <t>08102788_2</t>
  </si>
  <si>
    <t>08102786_2</t>
  </si>
  <si>
    <t>ФГДС</t>
  </si>
  <si>
    <t>Видегастроскоп с матрицей высокого разрешения EVIS EXERA II</t>
  </si>
  <si>
    <t>08102846_3</t>
  </si>
  <si>
    <t>Видегастроскоп ультраточный EVIS EXERA II GIF-180n</t>
  </si>
  <si>
    <t>08102847_3</t>
  </si>
  <si>
    <t>Видеоколоноскоп высокого разрешения EVIS EXERA II</t>
  </si>
  <si>
    <t>08102781_2</t>
  </si>
  <si>
    <t>Гастроскоп с принадлежностями</t>
  </si>
  <si>
    <t>Установка эндоскопическая УДЭ-1Кронт</t>
  </si>
  <si>
    <t>08102805_2</t>
  </si>
  <si>
    <t>08102806_2</t>
  </si>
  <si>
    <t>Фибробронхоскоп ВF ХТ30</t>
  </si>
  <si>
    <t>Фиброгастродуоденоскоп JF IT30 боковой</t>
  </si>
  <si>
    <t>Фиброгастроскоп 2 канальный 2Т-20</t>
  </si>
  <si>
    <t>Отсасыватель вакуумный Dixon Vacus7018</t>
  </si>
  <si>
    <t>Отсасыватель медицинский Мевакс М-38</t>
  </si>
  <si>
    <t>Отсос эндоскопический CV-4</t>
  </si>
  <si>
    <t>Бронхофиброскоп Olympus</t>
  </si>
  <si>
    <t>Видеогастроскоп Olympus в комплекте</t>
  </si>
  <si>
    <t>Видеосистема OTV-F3</t>
  </si>
  <si>
    <t>Видеосистема Фуджи</t>
  </si>
  <si>
    <t>Гастроскоп ЭГ410</t>
  </si>
  <si>
    <t>Гастрофиброскоп OLYMPUS XQ 40 доп. К инв№ 03100435</t>
  </si>
  <si>
    <t>Гастрофиброскоп OLYMPUS XQ 40  доп. К инв.№ 01370951</t>
  </si>
  <si>
    <t>Гастрофиброскоп XQ40 с принадлежнастями фгс</t>
  </si>
  <si>
    <t>Источник света галог CLE-10</t>
  </si>
  <si>
    <t>01370577_1</t>
  </si>
  <si>
    <t>Источник света галог CLE-10F</t>
  </si>
  <si>
    <t>Источник света галог CLE-4</t>
  </si>
  <si>
    <t>Держатель постера</t>
  </si>
  <si>
    <t>03100776_1</t>
  </si>
  <si>
    <t>03100776_2</t>
  </si>
  <si>
    <t>Инструмент для удаления геммороидальн. Узлов "Storz"</t>
  </si>
  <si>
    <t>Кабель экг(2хкан)для ап-та мт200</t>
  </si>
  <si>
    <t>Камера дезинфекционная</t>
  </si>
  <si>
    <t>Камера УФ-бактерицидная для хранения стерильных .инструментов</t>
  </si>
  <si>
    <t>Коагулятор электрохирургический</t>
  </si>
  <si>
    <t>Электрокоагулятор хирургический Фотек  ЭХВЧ-140-02</t>
  </si>
  <si>
    <t>08102631</t>
  </si>
  <si>
    <t>Гинеколог</t>
  </si>
  <si>
    <t>ФСР 2010/07371</t>
  </si>
  <si>
    <t>Видеокольпоскоп Sensitec SLC-2000</t>
  </si>
  <si>
    <t>Кресло гинекологическое КГ-6-3</t>
  </si>
  <si>
    <t>ФСР2008/02476</t>
  </si>
  <si>
    <t>не ограничен</t>
  </si>
  <si>
    <t>Шкаф сухожаровой ГП-80-СПУ</t>
  </si>
  <si>
    <t>01370512</t>
  </si>
  <si>
    <t>17666</t>
  </si>
  <si>
    <t xml:space="preserve"> ФСР 2010/07333</t>
  </si>
  <si>
    <t>Сканер цитологический Truscreen</t>
  </si>
  <si>
    <t>8683</t>
  </si>
  <si>
    <t>ФСЗ 2009/04120</t>
  </si>
  <si>
    <t>08102728</t>
  </si>
  <si>
    <t>к27209</t>
  </si>
  <si>
    <t>Осветитель kawe masterlight</t>
  </si>
  <si>
    <t>0480058</t>
  </si>
  <si>
    <t>08102971_2</t>
  </si>
  <si>
    <t>08103009_2</t>
  </si>
  <si>
    <t>Облучатель -рециркулятор орубп-03-КРОНТ-4(ДЕЗАР-4)передвижной</t>
  </si>
  <si>
    <t>08102627_2_1</t>
  </si>
  <si>
    <t>08102627_2_2</t>
  </si>
  <si>
    <t>Облучатель -рециркулятор воздуха орубп-01-КРОНТ-4(ДЕЗАР-5)</t>
  </si>
  <si>
    <t>Облучатель -рециркулятор настенный орубп2-01-КРОНТ</t>
  </si>
  <si>
    <t>08102851_3</t>
  </si>
  <si>
    <t>08102852_3</t>
  </si>
  <si>
    <t>08102897_3</t>
  </si>
  <si>
    <t>08102898_3</t>
  </si>
  <si>
    <t>08102899_3</t>
  </si>
  <si>
    <t>Облучатель -рециркулятор орбн 2*15</t>
  </si>
  <si>
    <t>08102433_2_1</t>
  </si>
  <si>
    <t>08102433_2_2</t>
  </si>
  <si>
    <t>08102433_2_3</t>
  </si>
  <si>
    <t>Облучатель -рециркулятор передвижной СПДС-60-Р</t>
  </si>
  <si>
    <t>08102993_2</t>
  </si>
  <si>
    <t>08103004_2</t>
  </si>
  <si>
    <t>08103006_2</t>
  </si>
  <si>
    <t>08103007_2</t>
  </si>
  <si>
    <t>Облучатель -рециркулятор передвижной СПДС-90-Р</t>
  </si>
  <si>
    <t>Облучатель-рец. ОРУБ-03-КРОНТ-4</t>
  </si>
  <si>
    <t>Осветитель+ световод 12.02</t>
  </si>
  <si>
    <t>Система hivamat</t>
  </si>
  <si>
    <t>08102726_2</t>
  </si>
  <si>
    <t>Стерилизатор паровой ГК-100-3 круглый горизонтальный</t>
  </si>
  <si>
    <t xml:space="preserve">  ФСР 2009/05556</t>
  </si>
  <si>
    <t xml:space="preserve"> 20.08.2009 </t>
  </si>
  <si>
    <t>Стетоскоп  SТ-77Раппопорта</t>
  </si>
  <si>
    <t>08102680_2</t>
  </si>
  <si>
    <t>Стимувит</t>
  </si>
  <si>
    <t>Тонометр амбулаторный BR-102 (амбулаторн. Регистратор)</t>
  </si>
  <si>
    <t>03101863_1</t>
  </si>
  <si>
    <t>Тонометр механический ВР АG 1-30 встоенный стетоскоп</t>
  </si>
  <si>
    <t>08102673_2</t>
  </si>
  <si>
    <t>08102813_2</t>
  </si>
  <si>
    <t>Урофлоуметр АГАТ</t>
  </si>
  <si>
    <t>08102659_2</t>
  </si>
  <si>
    <t>Фильтр воздушный</t>
  </si>
  <si>
    <t>08102784_2</t>
  </si>
  <si>
    <t>Кожно- венерологическое</t>
  </si>
  <si>
    <t>Весы напольные электронные ВЭМ-150 до 200кг</t>
  </si>
  <si>
    <t>04800358</t>
  </si>
  <si>
    <t>13861</t>
  </si>
  <si>
    <t>каб пува терапии</t>
  </si>
  <si>
    <t>009095193</t>
  </si>
  <si>
    <t>Гигрометр ВИТ-2</t>
  </si>
  <si>
    <t>Указатели давления механические (тонометр) Little Doctor LD-71</t>
  </si>
  <si>
    <t>01370182</t>
  </si>
  <si>
    <t>01370178</t>
  </si>
  <si>
    <t>290</t>
  </si>
  <si>
    <t>Аппарат УЗТ-1-07</t>
  </si>
  <si>
    <t>01370179</t>
  </si>
  <si>
    <t>6632</t>
  </si>
  <si>
    <t>08102576</t>
  </si>
  <si>
    <t>24T0045.09</t>
  </si>
  <si>
    <t>01370185</t>
  </si>
  <si>
    <t>0903</t>
  </si>
  <si>
    <t>Аппарат для низкочастотной магнитотерапии "Полюс-101"</t>
  </si>
  <si>
    <t>04700171</t>
  </si>
  <si>
    <t>794</t>
  </si>
  <si>
    <t>Аппарат Искра1 для местной дарсонвализации</t>
  </si>
  <si>
    <t>01370181</t>
  </si>
  <si>
    <t>744</t>
  </si>
  <si>
    <t>Аппарат селективной фототерапии Waldmann UV 7001K</t>
  </si>
  <si>
    <t>04700037</t>
  </si>
  <si>
    <t>73073</t>
  </si>
  <si>
    <t>МЗМПР 98/647</t>
  </si>
  <si>
    <t>Аппарат терапевтический Dermalight 500-1 UVA-1</t>
  </si>
  <si>
    <t>08103035</t>
  </si>
  <si>
    <t>110844</t>
  </si>
  <si>
    <t>ФСЗ 2008/03409</t>
  </si>
  <si>
    <t>Аппарат терапевтический Dermalight 500-2 UVB331</t>
  </si>
  <si>
    <t>110843</t>
  </si>
  <si>
    <t>110842</t>
  </si>
  <si>
    <t>Аппарат терапевтический Dermalight 80</t>
  </si>
  <si>
    <t>110951</t>
  </si>
  <si>
    <t>ФСЗ 2009/03410</t>
  </si>
  <si>
    <t>112715</t>
  </si>
  <si>
    <t>Видеодерматоскоп BS-888Pro</t>
  </si>
  <si>
    <t>08104214</t>
  </si>
  <si>
    <t>ассистентская</t>
  </si>
  <si>
    <t>нет</t>
  </si>
  <si>
    <t>08104215</t>
  </si>
  <si>
    <t>08102729</t>
  </si>
  <si>
    <t>27670К</t>
  </si>
  <si>
    <t>08102955</t>
  </si>
  <si>
    <t>113054</t>
  </si>
  <si>
    <t>08102956</t>
  </si>
  <si>
    <t>113056</t>
  </si>
  <si>
    <t>08102957</t>
  </si>
  <si>
    <t>110315</t>
  </si>
  <si>
    <t>08102965</t>
  </si>
  <si>
    <t>08102966</t>
  </si>
  <si>
    <t>113066</t>
  </si>
  <si>
    <t>зав отд</t>
  </si>
  <si>
    <t>08102973</t>
  </si>
  <si>
    <t>08102979</t>
  </si>
  <si>
    <t>08102980</t>
  </si>
  <si>
    <t>113059</t>
  </si>
  <si>
    <t>08102981</t>
  </si>
  <si>
    <t>113016</t>
  </si>
  <si>
    <t>08102982</t>
  </si>
  <si>
    <t>113012</t>
  </si>
  <si>
    <t>08102985</t>
  </si>
  <si>
    <t>113036</t>
  </si>
  <si>
    <t>08102986</t>
  </si>
  <si>
    <t>Облучатель ртутно-кварцевый на штативе ОРК-21м1</t>
  </si>
  <si>
    <t>04700170</t>
  </si>
  <si>
    <t>99121</t>
  </si>
  <si>
    <t>08102128</t>
  </si>
  <si>
    <t>7149</t>
  </si>
  <si>
    <t>пристрой</t>
  </si>
  <si>
    <t>Парафинонагреватель Каскад 7л</t>
  </si>
  <si>
    <t>08102575</t>
  </si>
  <si>
    <t>81</t>
  </si>
  <si>
    <t>Стерилизатор воздушный ГП-40-3 ПО "Витязь"</t>
  </si>
  <si>
    <t>08102422</t>
  </si>
  <si>
    <t>02524</t>
  </si>
  <si>
    <t>медина</t>
  </si>
  <si>
    <t>Центрифуга СМ-6М (ЕLMI)</t>
  </si>
  <si>
    <t>08102643</t>
  </si>
  <si>
    <t>921528</t>
  </si>
  <si>
    <t>Эхокамера Алока SSD 1400</t>
  </si>
  <si>
    <t>01370520</t>
  </si>
  <si>
    <t>Электрокардиограф SCHILLER CARDIOVIT AT-101</t>
  </si>
  <si>
    <t>Указатели давления механические</t>
  </si>
  <si>
    <t>Указатель давления мед.Omron M1 Classic</t>
  </si>
  <si>
    <t>5307669L</t>
  </si>
  <si>
    <t>опер блок</t>
  </si>
  <si>
    <t>Диоптриметр LM-P 5</t>
  </si>
  <si>
    <t>Диоптриметр оптический ДО-3</t>
  </si>
  <si>
    <t>127008</t>
  </si>
  <si>
    <t>ФСР 2011/11307</t>
  </si>
  <si>
    <t>Автокераторефрактометр Topcon KR8100</t>
  </si>
  <si>
    <t>213762</t>
  </si>
  <si>
    <t>МЗ РФ № 2003/619</t>
  </si>
  <si>
    <t>Автокераторефрактометр Topcon KR8900</t>
  </si>
  <si>
    <t>08103085_2</t>
  </si>
  <si>
    <t>Каб. Лазер хирургии</t>
  </si>
  <si>
    <t>ФСЗ 2009/04967</t>
  </si>
  <si>
    <t>Система лазерная офтальмологическая CARL ZEISS VISULAS YAG III Combi</t>
  </si>
  <si>
    <t>ФС 2004/1541</t>
  </si>
  <si>
    <t xml:space="preserve">Система лазерная офтальмологическая CARL ZEISS VISULAS YAG III </t>
  </si>
  <si>
    <t>1078898</t>
  </si>
  <si>
    <t>Система лазерная офтальмологическая CARL ZEISS VISULAS 532S</t>
  </si>
  <si>
    <t>1079922</t>
  </si>
  <si>
    <t>Система лазерная офтальмологическая CARL ZEISS VISULAS стол</t>
  </si>
  <si>
    <t>2003001</t>
  </si>
  <si>
    <t>Томограф офтальмологический оптический когерентный  Optovue rtvue RT-100</t>
  </si>
  <si>
    <t>ФСЗ 2008/01423</t>
  </si>
  <si>
    <t>Томограф офтальмологический оптический когерентный  Optovue rtvue RT-100 (CAM)</t>
  </si>
  <si>
    <t>32324</t>
  </si>
  <si>
    <t>Томограф офтальмологический оптический когерентный  Optovue rtvue RT-100 (ET)</t>
  </si>
  <si>
    <t>42468</t>
  </si>
  <si>
    <t>Система офтальмологическая хирургическая Alcon Laureate Wold Phaco System</t>
  </si>
  <si>
    <t>ФСЗ 2008/01404</t>
  </si>
  <si>
    <t>Установка офтальмологическая хирургическая Alcon INFINITI Vision System Ozil</t>
  </si>
  <si>
    <t>ФСЗ 2008/02810</t>
  </si>
  <si>
    <t>Тонометр  бесконтактный Tomey FT-1000</t>
  </si>
  <si>
    <t>ФСЗ 2008/01687</t>
  </si>
  <si>
    <t>Тонометр бесконтактный компьютеризированный Topcon CT-80</t>
  </si>
  <si>
    <t>08102656</t>
  </si>
  <si>
    <t xml:space="preserve">ФС № 2006/1211 </t>
  </si>
  <si>
    <t>Эластотонометр Филатова -Кальфа</t>
  </si>
  <si>
    <t>Дефибриллятор NIHON KOHDEN серия ТЕС 7721К</t>
  </si>
  <si>
    <t>08102708</t>
  </si>
  <si>
    <t>81643</t>
  </si>
  <si>
    <t>URAL - 0089</t>
  </si>
  <si>
    <t>УЗИ офтальмологический сканер Tomey UD-6000</t>
  </si>
  <si>
    <t>ФСЗ 2009/05664</t>
  </si>
  <si>
    <t>Аппарат электрохирургический ВЧ Фотек ЭХВЧ-80-01</t>
  </si>
  <si>
    <t>03101845</t>
  </si>
  <si>
    <t>04783</t>
  </si>
  <si>
    <t>ФСР 2010/07333</t>
  </si>
  <si>
    <t>Стерилизатор воздушный ГП-40-СПУ "Смоленское ПУ"</t>
  </si>
  <si>
    <t>08102732</t>
  </si>
  <si>
    <t>17237</t>
  </si>
  <si>
    <t>ФС 022б2004/0208-04</t>
  </si>
  <si>
    <t xml:space="preserve"> 21.07.2004</t>
  </si>
  <si>
    <t xml:space="preserve"> 21.07.2014</t>
  </si>
  <si>
    <t>Автоклав вакуумный TAU-CLAVE 3000</t>
  </si>
  <si>
    <t>08103029_2</t>
  </si>
  <si>
    <t>Электрофизиологический прибор Tomey ЕР-1000 Multifocal</t>
  </si>
  <si>
    <t>08102445_3</t>
  </si>
  <si>
    <t>?</t>
  </si>
  <si>
    <t>Анализатор полей зрения - (Периметр) Twinfield</t>
  </si>
  <si>
    <t>Камера немидриатическая ретинальная TRC-NW200</t>
  </si>
  <si>
    <t>08102574_2</t>
  </si>
  <si>
    <t>Раздатка</t>
  </si>
  <si>
    <t>Линейка скиаскопическая</t>
  </si>
  <si>
    <t>Часы песочные</t>
  </si>
  <si>
    <t>Манометр кислородный</t>
  </si>
  <si>
    <t>Аппарат Поток 1 (ГЭ-50-2)</t>
  </si>
  <si>
    <t>Аппарат лазерный физиотерапевтиеский Азар</t>
  </si>
  <si>
    <t>Аппарат УЗ-терапии УЗТ-1</t>
  </si>
  <si>
    <t>Аппарат дорсонвализации ламповый Искр1</t>
  </si>
  <si>
    <t>Аппарат Луч</t>
  </si>
  <si>
    <t>Не поверялся</t>
  </si>
  <si>
    <t>Облучатель ультрафиолетовый оуфну ЭМА-Е</t>
  </si>
  <si>
    <t>29/06030401-5190-03</t>
  </si>
  <si>
    <t>Аппарат   скан Ультра</t>
  </si>
  <si>
    <t>Аппарат  ультразвуковой УЗТ-1</t>
  </si>
  <si>
    <t>01370242_1</t>
  </si>
  <si>
    <t>Аппарат  азор 2к/02</t>
  </si>
  <si>
    <t>Аппарат Тонус-1М (ДДТ-50-8)</t>
  </si>
  <si>
    <t>Аппарат УЗТ-1-04</t>
  </si>
  <si>
    <t>Аппарат Луч-4 Старый</t>
  </si>
  <si>
    <t>ФСЗ 2008/02473</t>
  </si>
  <si>
    <t>Аппарат УВЧ - 66</t>
  </si>
  <si>
    <t>04700090_1</t>
  </si>
  <si>
    <t>660</t>
  </si>
  <si>
    <t>Аппарат  Луч-4 (СМВ-20-3) новый</t>
  </si>
  <si>
    <t>ФСЗ 2010/07244</t>
  </si>
  <si>
    <t>Бормашина  Marathon 701 ВМ50S1</t>
  </si>
  <si>
    <t>08103038_2</t>
  </si>
  <si>
    <t>Видеомодуль с дисплеем ЖК</t>
  </si>
  <si>
    <t>08103095_2</t>
  </si>
  <si>
    <t>Галогеновый офтальмоскоп</t>
  </si>
  <si>
    <t>01370267_1</t>
  </si>
  <si>
    <t>Галогеновый офтальмоскоп ВЕТА 200</t>
  </si>
  <si>
    <t>Измеритель стекол Диоптриметр</t>
  </si>
  <si>
    <t>Инжектор Монарх</t>
  </si>
  <si>
    <t>08102423_3</t>
  </si>
  <si>
    <t>Инжектор универсальный</t>
  </si>
  <si>
    <t>Камера для хранения  стерильных  инструментов  куфхми "Медин 670"</t>
  </si>
  <si>
    <t>Камера для хранения  стерильных  инструментов  куфхми "Медин 970</t>
  </si>
  <si>
    <t>08102452_3</t>
  </si>
  <si>
    <t>Компьютеризированное рабочее место врача-офтальмолога</t>
  </si>
  <si>
    <t>08102573_2</t>
  </si>
  <si>
    <t>Лампа щелевая Shin Nippon SL-45</t>
  </si>
  <si>
    <t>08103075_2</t>
  </si>
  <si>
    <t>ФС 2005/751</t>
  </si>
  <si>
    <t>08103090_2</t>
  </si>
  <si>
    <t>08102446_3</t>
  </si>
  <si>
    <t>Лампа щелевая Shin Nippon SL-45/1</t>
  </si>
  <si>
    <t>Лампа щелевая Shin Nippon SL -45DX</t>
  </si>
  <si>
    <t>Лампа щелевая Topcon SL-D2</t>
  </si>
  <si>
    <t>08103091_2</t>
  </si>
  <si>
    <t>Лампа щелевая Topcon SL 7F</t>
  </si>
  <si>
    <t>01370254_1</t>
  </si>
  <si>
    <t>707218</t>
  </si>
  <si>
    <t>Комплект линз  Япония</t>
  </si>
  <si>
    <t>01370235_1</t>
  </si>
  <si>
    <t>Линза Тропе ОТ4MGA</t>
  </si>
  <si>
    <t>08102086_3</t>
  </si>
  <si>
    <t>Линзы в деревянном ящике</t>
  </si>
  <si>
    <t>03101065_1</t>
  </si>
  <si>
    <t>1299</t>
  </si>
  <si>
    <t>03101065_2</t>
  </si>
  <si>
    <t>1309</t>
  </si>
  <si>
    <t>03101065_3</t>
  </si>
  <si>
    <t>1294</t>
  </si>
  <si>
    <t>Набор глаукомный М1002</t>
  </si>
  <si>
    <t>Набор для склеропластики М-1004</t>
  </si>
  <si>
    <t>03101784_1</t>
  </si>
  <si>
    <t>Набор пробных линз скипенса</t>
  </si>
  <si>
    <t>03101069_1</t>
  </si>
  <si>
    <t>03101069_2</t>
  </si>
  <si>
    <t>03101069_3</t>
  </si>
  <si>
    <t>Наркозный аппарат Acoma Vigor</t>
  </si>
  <si>
    <t>08102959_2</t>
  </si>
  <si>
    <t>08102960_2</t>
  </si>
  <si>
    <t>08102961_2</t>
  </si>
  <si>
    <t>08102962_2</t>
  </si>
  <si>
    <t>08102963_2</t>
  </si>
  <si>
    <t>Облучатель -рециркулятор передвижной. Орубп-01-КРОНТ-4(ДЕЗАР-4)</t>
  </si>
  <si>
    <t>08102650_2_4</t>
  </si>
  <si>
    <t>08102650_2_5</t>
  </si>
  <si>
    <t>Облучатель ОРУБ-03-КРОНТ-4</t>
  </si>
  <si>
    <t>Облучатель-рецеркулярный орубп-03-КРОНТ-4</t>
  </si>
  <si>
    <t>08102420_3</t>
  </si>
  <si>
    <t>Оправа пробная универсальная</t>
  </si>
  <si>
    <t>Осветитель ОТИЗ-10-1</t>
  </si>
  <si>
    <t>Офтальмоскоп HENE BETA-200S с аккумулятором. Ручкой тип R</t>
  </si>
  <si>
    <t>ФС 2005/722</t>
  </si>
  <si>
    <t>Офтальмоскоп Веta 200</t>
  </si>
  <si>
    <t>08102947_2</t>
  </si>
  <si>
    <t>08102948_2</t>
  </si>
  <si>
    <t>08102829_2</t>
  </si>
  <si>
    <t>Ретинометр HEINE LAMBDA-100</t>
  </si>
  <si>
    <t>08102088_3</t>
  </si>
  <si>
    <t>Стереомикроскоп операционный Hi-R900</t>
  </si>
  <si>
    <t>ФС №2006/617</t>
  </si>
  <si>
    <t>Стереомикроскоп операционный Hi-R900A</t>
  </si>
  <si>
    <t>Стерилизатор24*155*252мм</t>
  </si>
  <si>
    <t>08102470_3_1</t>
  </si>
  <si>
    <t>08102470_3_2</t>
  </si>
  <si>
    <t>Трансиллюминатор HEINE Finoff</t>
  </si>
  <si>
    <t>08102089_2</t>
  </si>
  <si>
    <t>Монитор прикроватный МПР 5-02</t>
  </si>
  <si>
    <t>01370624</t>
  </si>
  <si>
    <t>Монитор прикроватный пациента GUARDIAN ВРМ - 700</t>
  </si>
  <si>
    <t>04700063</t>
  </si>
  <si>
    <t>170-HF5O15</t>
  </si>
  <si>
    <t>08102711</t>
  </si>
  <si>
    <t>24553</t>
  </si>
  <si>
    <t>Аудиометр+импеданс-мометр АС-40</t>
  </si>
  <si>
    <t>01370949</t>
  </si>
  <si>
    <t>145900</t>
  </si>
  <si>
    <t>01370845</t>
  </si>
  <si>
    <t>Электрокардиограф ЭКЗТ-01-"Р-Д"</t>
  </si>
  <si>
    <t>E1500420711</t>
  </si>
  <si>
    <t>Термометр электронный</t>
  </si>
  <si>
    <t>Н/Д</t>
  </si>
  <si>
    <t>08102743</t>
  </si>
  <si>
    <t>17976</t>
  </si>
  <si>
    <t>Стерилизатор воздушный ГП-80-СПУ</t>
  </si>
  <si>
    <t>08103026</t>
  </si>
  <si>
    <t>22005</t>
  </si>
  <si>
    <t xml:space="preserve">Весы электронные для взвешивания пациентов </t>
  </si>
  <si>
    <t>009094940</t>
  </si>
  <si>
    <t>154541</t>
  </si>
  <si>
    <t>15902048</t>
  </si>
  <si>
    <t>Аппарат наркозный Draeger Fabius - Tiro</t>
  </si>
  <si>
    <t>04700261</t>
  </si>
  <si>
    <t>ARYH0061</t>
  </si>
  <si>
    <t>ФС 2006/627</t>
  </si>
  <si>
    <t>Испаритель анастетика Draeger Vamos на аппарате Draeger Fabius -tiro</t>
  </si>
  <si>
    <t>ARZB0056</t>
  </si>
  <si>
    <t>Аппарат наркозный Acoma Vigor</t>
  </si>
  <si>
    <t>01370059</t>
  </si>
  <si>
    <t>299</t>
  </si>
  <si>
    <t>Аппарат портативный ИВЛ ACOMA Mobil 1000 передан в РАО 12,12,12</t>
  </si>
  <si>
    <t>0621200445</t>
  </si>
  <si>
    <t xml:space="preserve">Датчик к наркозному аппарату АСОМА </t>
  </si>
  <si>
    <t>08102706</t>
  </si>
  <si>
    <t>Дефибриллятор Schiller Minidef 3</t>
  </si>
  <si>
    <t xml:space="preserve"> 14.08.2016</t>
  </si>
  <si>
    <t>Аппарат "ЛАСТ-ЛОР"</t>
  </si>
  <si>
    <t>08102453</t>
  </si>
  <si>
    <t>Аппарат тонзиллор-М ультразвуковой подан на списание</t>
  </si>
  <si>
    <t>04700207</t>
  </si>
  <si>
    <t>Аппарат Тонзиллор-М ультрозвуковойподан на списание</t>
  </si>
  <si>
    <t>08102125</t>
  </si>
  <si>
    <t>Видеокамера медицинская 1-чипная Richard Wolf RW 5512</t>
  </si>
  <si>
    <t>08102855</t>
  </si>
  <si>
    <t>08102856</t>
  </si>
  <si>
    <t>Видеомонитор медицинский Richard Wolf Sony 21 дюйм</t>
  </si>
  <si>
    <t>08102857</t>
  </si>
  <si>
    <t>2015538</t>
  </si>
  <si>
    <t>Аппарат радиоволновой хирургический Surgitron</t>
  </si>
  <si>
    <t>08104190</t>
  </si>
  <si>
    <t>3002999</t>
  </si>
  <si>
    <t>Коагулятор с принадлежностями Karl Storz Autocom 200</t>
  </si>
  <si>
    <t>20522520</t>
  </si>
  <si>
    <t>Медиацентр medicapture USB200</t>
  </si>
  <si>
    <t>2209104</t>
  </si>
  <si>
    <t>Стойка эндоскопическая лор Richard Wolf (1)</t>
  </si>
  <si>
    <t>Устройство записывающее (карта памяти) Richard Wolf</t>
  </si>
  <si>
    <t>08102858_3</t>
  </si>
  <si>
    <t>Дистиллятор ДЭ-10</t>
  </si>
  <si>
    <t>08102690_2</t>
  </si>
  <si>
    <t>310</t>
  </si>
  <si>
    <t>Ингалятор Omron CX-3</t>
  </si>
  <si>
    <t>31623</t>
  </si>
  <si>
    <t>Источник света ксеноновый Richard Wolf</t>
  </si>
  <si>
    <t>08102854_3</t>
  </si>
  <si>
    <t>Источник света НК6000</t>
  </si>
  <si>
    <t>03100232_1</t>
  </si>
  <si>
    <t>3639</t>
  </si>
  <si>
    <t>Источники света эндоскопические Halogen RW 4250</t>
  </si>
  <si>
    <t>04700337</t>
  </si>
  <si>
    <t>материальная</t>
  </si>
  <si>
    <t>Ларингоскоп фиброволоконный КА WE</t>
  </si>
  <si>
    <t>Лор-комбайн Nagashima SN E NT NEW Peerless</t>
  </si>
  <si>
    <t>01370599</t>
  </si>
  <si>
    <t>004418</t>
  </si>
  <si>
    <t>амбулатория</t>
  </si>
  <si>
    <t>Микроскоп биологический (операционные)leicam400e</t>
  </si>
  <si>
    <t>Мойка ультразвуковая  Sonorex-rk-512H</t>
  </si>
  <si>
    <t>08102153_2</t>
  </si>
  <si>
    <t>7950038572 010</t>
  </si>
  <si>
    <t>MP1AHF007</t>
  </si>
  <si>
    <t>MP1AHP010</t>
  </si>
  <si>
    <t>Насос шприцевой atom 1235N</t>
  </si>
  <si>
    <t>1613674</t>
  </si>
  <si>
    <t>97/136</t>
  </si>
  <si>
    <t>04700074</t>
  </si>
  <si>
    <t>092005</t>
  </si>
  <si>
    <t>Камера для хранения  стерильных  инструментов  куфхми "Медин 970"</t>
  </si>
  <si>
    <t>04700060</t>
  </si>
  <si>
    <t>Камера бактерицидная передвижная СПДС-2-К</t>
  </si>
  <si>
    <t>08103015_2</t>
  </si>
  <si>
    <t>113085</t>
  </si>
  <si>
    <t>ФСР 2010/09347</t>
  </si>
  <si>
    <t>08103016_2</t>
  </si>
  <si>
    <t>Облучатель -рециркулятор  орубн-3-3-КРОНТ</t>
  </si>
  <si>
    <t>Облучатель -рециркулятор  орубн-3-5-КРОНТ</t>
  </si>
  <si>
    <t>Облучатель -рециркулятор бактерицидный Дезар-4</t>
  </si>
  <si>
    <t>08102436_3</t>
  </si>
  <si>
    <t>34989</t>
  </si>
  <si>
    <t>коридор 1э</t>
  </si>
  <si>
    <t>Облучатель -рециркулятор бактерицидный Дезар-5</t>
  </si>
  <si>
    <t>08102438_3</t>
  </si>
  <si>
    <t>Облучатель -рециркулятор бактерицидный Дезар-7</t>
  </si>
  <si>
    <t>08102440_3</t>
  </si>
  <si>
    <t>36593</t>
  </si>
  <si>
    <t>коридор 2э</t>
  </si>
  <si>
    <t>08102441_3</t>
  </si>
  <si>
    <t>23260</t>
  </si>
  <si>
    <t>пост</t>
  </si>
  <si>
    <t>Облучатель ОБН-300</t>
  </si>
  <si>
    <t>03100236_1</t>
  </si>
  <si>
    <t>03100236_2</t>
  </si>
  <si>
    <t>08102103_2</t>
  </si>
  <si>
    <t>Операционный светильник эмалюкс</t>
  </si>
  <si>
    <t>01370601</t>
  </si>
  <si>
    <t>46655861</t>
  </si>
  <si>
    <t>01370600</t>
  </si>
  <si>
    <t>46655261</t>
  </si>
  <si>
    <t>Осветитель налобный Heine HK 6000</t>
  </si>
  <si>
    <t>01370933_1</t>
  </si>
  <si>
    <t>3645</t>
  </si>
  <si>
    <t>Оборудование для телеконференций Shure MIC</t>
  </si>
  <si>
    <t>0310050254</t>
  </si>
  <si>
    <t>Операционный микроскоп для оториноларингологии Leica M400 E</t>
  </si>
  <si>
    <t>01370873_1</t>
  </si>
  <si>
    <t>070507009</t>
  </si>
  <si>
    <t>Прибор страбоскопический Atmos Strobo</t>
  </si>
  <si>
    <t>08102831_2</t>
  </si>
  <si>
    <t>100426905580</t>
  </si>
  <si>
    <t>Рино-фаринго-ларингофиброскоп</t>
  </si>
  <si>
    <t>Риноманометр Rhinomanometer 300</t>
  </si>
  <si>
    <t>Световод волоконнооптический</t>
  </si>
  <si>
    <t>Скрининг-аудиометр, в комплекте TDH 39</t>
  </si>
  <si>
    <t>01370950</t>
  </si>
  <si>
    <t>Стерилизатор озоновый "Орион" ОП1-М</t>
  </si>
  <si>
    <t>04700282</t>
  </si>
  <si>
    <t>1391</t>
  </si>
  <si>
    <t>Стерилизатор сухожировой</t>
  </si>
  <si>
    <t>01370073_1</t>
  </si>
  <si>
    <t>Стол для проведения хирургических операций1650 Merivaara Corp</t>
  </si>
  <si>
    <t>08102903_2</t>
  </si>
  <si>
    <t>Стол для проведения хирургических операций ОК-Гамма, Медин</t>
  </si>
  <si>
    <t>08102895_3</t>
  </si>
  <si>
    <t>01370603_1</t>
  </si>
  <si>
    <t>Установка для электрохимического синтеза анолита АНК СТЭЛ-80</t>
  </si>
  <si>
    <t>08102715_2</t>
  </si>
  <si>
    <t xml:space="preserve">Анализатор биохимический автоматический  Saphire-400 </t>
  </si>
  <si>
    <t>2019391011</t>
  </si>
  <si>
    <t>Биохим</t>
  </si>
  <si>
    <t>ФС 2004/1346</t>
  </si>
  <si>
    <t>ФСЗ 2012/11638</t>
  </si>
  <si>
    <t>Анализатор биохимический полуавтоматический Cormay multi</t>
  </si>
  <si>
    <t>801260165</t>
  </si>
  <si>
    <t>Анализатор биохимический полуавтоматический Photometer-5010</t>
  </si>
  <si>
    <t>7542</t>
  </si>
  <si>
    <t xml:space="preserve">  ФСЗ 2012/12158</t>
  </si>
  <si>
    <t xml:space="preserve">  27.12.2012</t>
  </si>
  <si>
    <t>Анализатор электролитов Easylyte plus K, Na, Cl</t>
  </si>
  <si>
    <t>2981BNKC</t>
  </si>
  <si>
    <t>ФС 2004/913</t>
  </si>
  <si>
    <t>Анализатор электролитов Easylyte plus K, Na, Ca, pH</t>
  </si>
  <si>
    <t>43884CNCA</t>
  </si>
  <si>
    <t xml:space="preserve">ФСЗ 2007/00167 </t>
  </si>
  <si>
    <t>Коагулометр полуавтомат Sysmex CA-50</t>
  </si>
  <si>
    <t>A3149</t>
  </si>
  <si>
    <t>ФСЗ 2010/06772</t>
  </si>
  <si>
    <t>Рефрактометр Atago SPR-T2</t>
  </si>
  <si>
    <t>01350011</t>
  </si>
  <si>
    <t>Анализатор Nyco Card Reader II</t>
  </si>
  <si>
    <t>49167</t>
  </si>
  <si>
    <t>Имун</t>
  </si>
  <si>
    <t>ФС 2004/1057</t>
  </si>
  <si>
    <t>Фотометр микропланшетный для ИФА Humanreder</t>
  </si>
  <si>
    <t>Анализатор иммуноферментный Thermolabsystems Multiskan EX</t>
  </si>
  <si>
    <t>51118170</t>
  </si>
  <si>
    <t>Амплификатор детектирующий ДТ-96 с ПК</t>
  </si>
  <si>
    <t>HB2401</t>
  </si>
  <si>
    <t>Зав лаб</t>
  </si>
  <si>
    <t>ФСР 2007/01250</t>
  </si>
  <si>
    <t>Фото-Денситометр Scanion Hospitex diagnostics</t>
  </si>
  <si>
    <t>Анализатор биохимический Vital Scientific Microlab - 300</t>
  </si>
  <si>
    <t>клин</t>
  </si>
  <si>
    <t>Анализатор автоматический гематологический  Sysmex KX -21 с ПК</t>
  </si>
  <si>
    <t>A5780</t>
  </si>
  <si>
    <t xml:space="preserve">ФСЗ 2010/07966 </t>
  </si>
  <si>
    <t>Анализатор автоматический гематологический  Sysmex XS-1000i с ПК</t>
  </si>
  <si>
    <t>69290</t>
  </si>
  <si>
    <t>Анализатор общего белка в моче фотометрический портативный Белур 600</t>
  </si>
  <si>
    <t xml:space="preserve">ФСР 2009/06212 </t>
  </si>
  <si>
    <t>Анализатор мочи  Miditron Junior II</t>
  </si>
  <si>
    <t>08102556_2</t>
  </si>
  <si>
    <t>MK 8108786</t>
  </si>
  <si>
    <t xml:space="preserve">МЗ РФ № 98/1390 </t>
  </si>
  <si>
    <t>Анализатор автоматический мочи Sysmex UF-500i</t>
  </si>
  <si>
    <t>Фотоэлектронный колориметр цифровой АР-101</t>
  </si>
  <si>
    <t>101181</t>
  </si>
  <si>
    <t>Анализатор СОЭ Sed Rate Screener100/II (SRS 100/II)</t>
  </si>
  <si>
    <t>Весы электронные 200 гр Shimadzu АХ-200</t>
  </si>
  <si>
    <t>Дистиллятор ДЭ-4</t>
  </si>
  <si>
    <t>Дозатор пипеточный одноканальный Ленпипет, Biohit proline, Humapette</t>
  </si>
  <si>
    <t>Дозатор пипеточный многокальный Thermo</t>
  </si>
  <si>
    <t>Шкаф сухожаровой Биндер FD 115</t>
  </si>
  <si>
    <t>Стерилизатор ГП-40-3 "Витязь"</t>
  </si>
  <si>
    <t>08102430_3</t>
  </si>
  <si>
    <t>Стерилизатор паровой ВК-75-01</t>
  </si>
  <si>
    <t>Стерилизатор паровой ГП-100-3</t>
  </si>
  <si>
    <t>08103028_2</t>
  </si>
  <si>
    <t>Термостат tdb-120 c алюминевым блоком Ф-103</t>
  </si>
  <si>
    <t>Термостат ТС-1/20 СПУ</t>
  </si>
  <si>
    <t>08103024_2</t>
  </si>
  <si>
    <t>08103025_2</t>
  </si>
  <si>
    <t>Термостат -стерилизатор Инкуцел 111</t>
  </si>
  <si>
    <t>Термостат горячевозд. Стерилизатор Jncucell V-55</t>
  </si>
  <si>
    <t>4755</t>
  </si>
  <si>
    <t>0839</t>
  </si>
  <si>
    <t>9433</t>
  </si>
  <si>
    <t>08103011_2</t>
  </si>
  <si>
    <t>08103012_2</t>
  </si>
  <si>
    <t>08103013_2</t>
  </si>
  <si>
    <t>Камера бактерицидная СПДС-2-К</t>
  </si>
  <si>
    <t>08103017_2</t>
  </si>
  <si>
    <t>08103018_2</t>
  </si>
  <si>
    <t>Камера ультрафиолетовая настольная спдс-3</t>
  </si>
  <si>
    <t>08103019_2</t>
  </si>
  <si>
    <t>08103020_2</t>
  </si>
  <si>
    <t>08103021_2</t>
  </si>
  <si>
    <t>08103022_2</t>
  </si>
  <si>
    <t>08103023_2</t>
  </si>
  <si>
    <t>Центрифуга СМ-6М (ELMI)</t>
  </si>
  <si>
    <t>Центрифуга СМ -6М (ELMI)</t>
  </si>
  <si>
    <t>ПЦР</t>
  </si>
  <si>
    <t>Центрифуга СМ-6 М (ELMI)</t>
  </si>
  <si>
    <t>Бокс бавп-01 Ламинар-С абактериальной воздушной среды</t>
  </si>
  <si>
    <t>08102750_2</t>
  </si>
  <si>
    <t>08102751_2</t>
  </si>
  <si>
    <t>Бокс С ПЦР ламинар</t>
  </si>
  <si>
    <t>Фотометр (полуавтомат) 5010v5+</t>
  </si>
  <si>
    <t>Центрифуга лабораторная</t>
  </si>
  <si>
    <t>Весы напольные электронные ВТ-300</t>
  </si>
  <si>
    <t>16706</t>
  </si>
  <si>
    <t>Весы до 300 кг</t>
  </si>
  <si>
    <t>Весы до 30 кг ПВ-30</t>
  </si>
  <si>
    <t>ЧЛХ</t>
  </si>
  <si>
    <t>физио.каб.</t>
  </si>
  <si>
    <t>Сухожаровой шкаф Binder ED 115</t>
  </si>
  <si>
    <t>Сухожаровой шкаф Binder ED 240</t>
  </si>
  <si>
    <t>Стерилизатор воздушный ГП-160 ПЗ</t>
  </si>
  <si>
    <t>Монитор прикроватный NIHON KOHDEN BSM-2351К</t>
  </si>
  <si>
    <t>08102709_2</t>
  </si>
  <si>
    <t xml:space="preserve">ФС № 2005/1092 </t>
  </si>
  <si>
    <t>Монитор прикроватный Guardian BPM700</t>
  </si>
  <si>
    <t>Инфузомат инфузионный насос  10-PL -2100</t>
  </si>
  <si>
    <t>Аппарат  для имплантологии и челюстно-лицевой хирургии  SURGIC-XT Plus with X-SG</t>
  </si>
  <si>
    <t>Аппарат  наркозный Fabius- Tiro</t>
  </si>
  <si>
    <t xml:space="preserve">06.05.2006 </t>
  </si>
  <si>
    <t xml:space="preserve">06.05.2016 </t>
  </si>
  <si>
    <t>Аппарат наркозно-дыхательный  Draeger Fabius Tiro</t>
  </si>
  <si>
    <t>ARYH0062</t>
  </si>
  <si>
    <t>Аппарат  ультразвуковой УЗУМИ-2 для предстерилизации очистки инстария</t>
  </si>
  <si>
    <t>Аппарат  ультразвуковой терапии  УЗТ-1-02с</t>
  </si>
  <si>
    <t>Аппарат для имплантологии  Surgic- XT</t>
  </si>
  <si>
    <t xml:space="preserve">Аппарат для лечения динамическими токами                                                                                                          </t>
  </si>
  <si>
    <t>Аппарат для хирургии и имплантологии  Surgic- XT Рlus</t>
  </si>
  <si>
    <t>08102450_3</t>
  </si>
  <si>
    <t>Аппарат УВЧ-60 для физиотерапии</t>
  </si>
  <si>
    <t>08102739_2</t>
  </si>
  <si>
    <t>Аппарат хирургический ультразвуковой  остеотомии и остеопластике Master Surgery</t>
  </si>
  <si>
    <t>Бормашина з/т Marathon 3</t>
  </si>
  <si>
    <t>Бормашина  Marathon 3</t>
  </si>
  <si>
    <t>Бормашина з/т Maratron 3</t>
  </si>
  <si>
    <t>Генератор электрохирургический Vesalius LX80</t>
  </si>
  <si>
    <t>ФС 2004/1410</t>
  </si>
  <si>
    <t xml:space="preserve">09.11.2004 </t>
  </si>
  <si>
    <t xml:space="preserve">09.11.2014 </t>
  </si>
  <si>
    <t>Дерматом электрический дэд-55от12.02ч/л</t>
  </si>
  <si>
    <t>08102707_2</t>
  </si>
  <si>
    <t>81653</t>
  </si>
  <si>
    <t>Ингалятор Омрон СХ</t>
  </si>
  <si>
    <t>Камера УФ-бактерицидная для хранения стерильных инструментов  до 7 суток</t>
  </si>
  <si>
    <t>08102632_2_1</t>
  </si>
  <si>
    <t>08102632_2_2</t>
  </si>
  <si>
    <t>08102632_2_3</t>
  </si>
  <si>
    <t>08102632_2_4</t>
  </si>
  <si>
    <t>08102096_3</t>
  </si>
  <si>
    <t>01370914_1</t>
  </si>
  <si>
    <t>Коагулятор моно-биополярный Force EZ</t>
  </si>
  <si>
    <t>Монитор реанимационный  ВРМ-700 Guardian</t>
  </si>
  <si>
    <t>Облучатель -рецеркулятор орбпб01 передвижной</t>
  </si>
  <si>
    <t>08102974_2</t>
  </si>
  <si>
    <t>08102975_2</t>
  </si>
  <si>
    <t>08102976_2</t>
  </si>
  <si>
    <t>08102977_2</t>
  </si>
  <si>
    <t>08102978_2</t>
  </si>
  <si>
    <t>Тер .стом</t>
  </si>
  <si>
    <t>Стерилизатор паровой  AD-7</t>
  </si>
  <si>
    <t>Стерилизатор сухожаровой  TAU CLINIC</t>
  </si>
  <si>
    <t>Автоклав АD7 автоматический</t>
  </si>
  <si>
    <t xml:space="preserve">08102663_2                    </t>
  </si>
  <si>
    <t>Аппарат лазерный стоматологический</t>
  </si>
  <si>
    <t xml:space="preserve">08102620_2                    </t>
  </si>
  <si>
    <t>Аппарат стоматологический Десна</t>
  </si>
  <si>
    <t xml:space="preserve">08104088                      </t>
  </si>
  <si>
    <t xml:space="preserve">08104089                      </t>
  </si>
  <si>
    <t xml:space="preserve">08104090                      </t>
  </si>
  <si>
    <t>Аппарат стоматологический пескоструйный AIR-FLOW</t>
  </si>
  <si>
    <t xml:space="preserve">08102621_2                    </t>
  </si>
  <si>
    <t>Аппарат стоматологический ультразвуковой KIT Piezon Master</t>
  </si>
  <si>
    <t xml:space="preserve">08102497_3                    </t>
  </si>
  <si>
    <t xml:space="preserve">08102194                      </t>
  </si>
  <si>
    <t>Камера УФ  бактерицидная"Ультра-лайт" (малая) (Х)</t>
  </si>
  <si>
    <t xml:space="preserve">08102364_2                    </t>
  </si>
  <si>
    <t xml:space="preserve">04700265                      </t>
  </si>
  <si>
    <t>Камера УФ--бактерицидная бактерицидная для хранения стери 800х600х420 до 7 суток</t>
  </si>
  <si>
    <t xml:space="preserve">08102370_3                    </t>
  </si>
  <si>
    <t>Камера УФ-бактерицидная для хранения стерильных изделий 800х600х420 до 7 суток</t>
  </si>
  <si>
    <t xml:space="preserve">08102369_3                    </t>
  </si>
  <si>
    <t>Коагулятор Sensimatic 600SE</t>
  </si>
  <si>
    <t xml:space="preserve">08104017                      </t>
  </si>
  <si>
    <t xml:space="preserve">МЗ РФ № 2001/1379   </t>
  </si>
  <si>
    <t xml:space="preserve">08104018                      </t>
  </si>
  <si>
    <t>Компрессор безмасляный OIL LESS 430 W(615)</t>
  </si>
  <si>
    <t xml:space="preserve">08102611_2                    </t>
  </si>
  <si>
    <t>Кресло стоматологическое КСЭМ 05</t>
  </si>
  <si>
    <t xml:space="preserve">01370926                      </t>
  </si>
  <si>
    <t xml:space="preserve">04700321                      </t>
  </si>
  <si>
    <t xml:space="preserve">04700322                      </t>
  </si>
  <si>
    <t>Мойка ультразвуковая Clean3800A</t>
  </si>
  <si>
    <t xml:space="preserve">08104019                      </t>
  </si>
  <si>
    <t xml:space="preserve">08104020                      </t>
  </si>
  <si>
    <t xml:space="preserve">08104021                      </t>
  </si>
  <si>
    <t xml:space="preserve">08104022                      </t>
  </si>
  <si>
    <t>Мойка ультразвуковая Sonoreex Super RK</t>
  </si>
  <si>
    <t xml:space="preserve">08102578_2                    </t>
  </si>
  <si>
    <t xml:space="preserve">08102599_3                    </t>
  </si>
  <si>
    <t>Облучатель -рециркулятор  орубн2-01 КРОНТ(Дезар-2)</t>
  </si>
  <si>
    <t xml:space="preserve">08102640_2                    </t>
  </si>
  <si>
    <t xml:space="preserve">08104055                      </t>
  </si>
  <si>
    <t xml:space="preserve">08104056                      </t>
  </si>
  <si>
    <t xml:space="preserve">04800601                      </t>
  </si>
  <si>
    <t xml:space="preserve">04800602                      </t>
  </si>
  <si>
    <t xml:space="preserve">04800603                      </t>
  </si>
  <si>
    <t xml:space="preserve">04800600                      </t>
  </si>
  <si>
    <t>Стерилизатор паровой автоклав ВТD-23</t>
  </si>
  <si>
    <t xml:space="preserve">08104253                      </t>
  </si>
  <si>
    <t xml:space="preserve">08104254                      </t>
  </si>
  <si>
    <t>Стерилизатор терминатор (Hi-Strong N-1200)</t>
  </si>
  <si>
    <t xml:space="preserve">08102359_2                    </t>
  </si>
  <si>
    <t>Стерилизатор терминатор (Hi-Strong N-1200)/1</t>
  </si>
  <si>
    <t xml:space="preserve">08102360_2                    </t>
  </si>
  <si>
    <t>Стерилизатор терминатор (Hi-Strong N-1200)/2</t>
  </si>
  <si>
    <t xml:space="preserve">08102361_2                    </t>
  </si>
  <si>
    <t>Сухожаровой шкаф TAU CLINIC-45л</t>
  </si>
  <si>
    <t xml:space="preserve">08102478_3                    </t>
  </si>
  <si>
    <t>Сухожаровой шкаф TAU CLINIC-45л/1</t>
  </si>
  <si>
    <t xml:space="preserve">08102555_2                    </t>
  </si>
  <si>
    <t>Шкаф сухожаровой TAU-Cilinic</t>
  </si>
  <si>
    <t xml:space="preserve">08102362_2                    </t>
  </si>
  <si>
    <t>04800282</t>
  </si>
  <si>
    <t>Психиатрическое</t>
  </si>
  <si>
    <t>2шт списать</t>
  </si>
  <si>
    <t xml:space="preserve">Весы для взвешивания пациентов </t>
  </si>
  <si>
    <t>приемный покой</t>
  </si>
  <si>
    <t>Аппарат  Амплипульс-5</t>
  </si>
  <si>
    <t>ФС022а2006\3571-06</t>
  </si>
  <si>
    <t>Аппарат УВЧ-70-01р</t>
  </si>
  <si>
    <t>016</t>
  </si>
  <si>
    <t>ФСР 2008\03491</t>
  </si>
  <si>
    <t>Аппарат  электросон 4Т</t>
  </si>
  <si>
    <t>01370272_1</t>
  </si>
  <si>
    <t>списать</t>
  </si>
  <si>
    <t>Аппарат "ЭС-10-5" электросон</t>
  </si>
  <si>
    <t>ФС02013390\5311-06</t>
  </si>
  <si>
    <t>Аппарат магнитотерапевтический Алмаг-01</t>
  </si>
  <si>
    <t>ФСР2007\00136</t>
  </si>
  <si>
    <t>Аппарат низкочастотной терапии717</t>
  </si>
  <si>
    <t>69584</t>
  </si>
  <si>
    <t>Аппарат Поток-1</t>
  </si>
  <si>
    <t>ФСР2010\09713</t>
  </si>
  <si>
    <t>Аппарат  Электросон</t>
  </si>
  <si>
    <t>01370275_1</t>
  </si>
  <si>
    <t>НЕТ</t>
  </si>
  <si>
    <t>Аппарат ЭС-10-5 электросон</t>
  </si>
  <si>
    <t>проц.каб.2эт.</t>
  </si>
  <si>
    <t>08102984_2</t>
  </si>
  <si>
    <t>проц.каб.1эт.</t>
  </si>
  <si>
    <t>Облучатель -рециркулятор передв.. Орубп-3-3-КРОНТ</t>
  </si>
  <si>
    <t>08102569_2</t>
  </si>
  <si>
    <t>ФС022а2006\3766-06</t>
  </si>
  <si>
    <t>Облучатель -рециркулятор передвижной. Орубп-3-3-КРОНТ</t>
  </si>
  <si>
    <t>08102650_2_3</t>
  </si>
  <si>
    <t>Облучатель бактерицидный ОБН -450П передв.</t>
  </si>
  <si>
    <t>08102405_3_1</t>
  </si>
  <si>
    <t>МЗ РБ №ИМ-7.4411</t>
  </si>
  <si>
    <t>08102405_3_2</t>
  </si>
  <si>
    <t>Облучатель ОБНП (2*30)-02</t>
  </si>
  <si>
    <t>08102100_2</t>
  </si>
  <si>
    <t>бельевая чистая</t>
  </si>
  <si>
    <t>ФС022а5897\1907-05</t>
  </si>
  <si>
    <t>08102102_3</t>
  </si>
  <si>
    <t>сестринская 2эт.</t>
  </si>
  <si>
    <t>29/18071102/4862-03</t>
  </si>
  <si>
    <t>Электрокардиограф NIHON KOHDEN ECG-8340K</t>
  </si>
  <si>
    <t>00360</t>
  </si>
  <si>
    <t>07073</t>
  </si>
  <si>
    <t>бельевая грязная</t>
  </si>
  <si>
    <t>10444</t>
  </si>
  <si>
    <t>156255</t>
  </si>
  <si>
    <t>Искра-1</t>
  </si>
  <si>
    <t>ФС022а2183\0876-04</t>
  </si>
  <si>
    <t>УГН-1</t>
  </si>
  <si>
    <t>90254</t>
  </si>
  <si>
    <t>5шт списать</t>
  </si>
  <si>
    <t>ад 04800437</t>
  </si>
  <si>
    <t>Фартук Rg для защиты мал.</t>
  </si>
  <si>
    <t>Rg Центр</t>
  </si>
  <si>
    <t>Rg</t>
  </si>
  <si>
    <t>Фартук Rg для защиты</t>
  </si>
  <si>
    <t>Пластины Rg для защиты</t>
  </si>
  <si>
    <t>Очки Rg для защиты</t>
  </si>
  <si>
    <t>Шапочка Rg для защиты</t>
  </si>
  <si>
    <t>Рентгенодиагностический аппарат ITALRAY Clinomat</t>
  </si>
  <si>
    <t>97/793</t>
  </si>
  <si>
    <t xml:space="preserve">10.07.1997 </t>
  </si>
  <si>
    <t>Рентгенодиагностический маммограф Philips Mammo Diagnost UC</t>
  </si>
  <si>
    <t>2003/1384 </t>
  </si>
  <si>
    <t xml:space="preserve">15.10.2013 </t>
  </si>
  <si>
    <t>Рентгенодиагностический передвижной аппарат 10Л6-01-Р</t>
  </si>
  <si>
    <t xml:space="preserve">ФСР 2010/06806 </t>
  </si>
  <si>
    <t xml:space="preserve">12.02.2010 </t>
  </si>
  <si>
    <t>Остеоденситометр рентгеновский DMS Stratos</t>
  </si>
  <si>
    <t>Ортопантомограф  Villa Sistemi Medicali Rotograph Plus</t>
  </si>
  <si>
    <t>Рентген кабинет стом. Отд</t>
  </si>
  <si>
    <t>2001/979</t>
  </si>
  <si>
    <t>Компьютерный томограф GE BrightSpeed 16</t>
  </si>
  <si>
    <t>электрокардиостимулятор   эндокардиальной стимуляции наружный "ЭКС - Сетал - 1В"</t>
  </si>
  <si>
    <t>2220560</t>
  </si>
  <si>
    <t>ФСР 2011/10113</t>
  </si>
  <si>
    <t>РОСС RU Д -RU.АД37.В.27957/20</t>
  </si>
  <si>
    <t xml:space="preserve">Опер блок </t>
  </si>
  <si>
    <t>Нейрофизиологии</t>
  </si>
  <si>
    <t>мскт</t>
  </si>
  <si>
    <t>ММ458-05</t>
  </si>
  <si>
    <t>ДРК-1</t>
  </si>
  <si>
    <t>9638</t>
  </si>
  <si>
    <t>9G1743A</t>
  </si>
  <si>
    <t>08102810_2</t>
  </si>
  <si>
    <t>Бирюса</t>
  </si>
  <si>
    <t>02.2010</t>
  </si>
  <si>
    <t xml:space="preserve">POZIS ХФ-140-1 </t>
  </si>
  <si>
    <t>216CV20005324</t>
  </si>
  <si>
    <t>Бирюса 150К MEDLINE</t>
  </si>
  <si>
    <t>0 6351 0003377</t>
  </si>
  <si>
    <t>отделение</t>
  </si>
  <si>
    <t>небулайзерная</t>
  </si>
  <si>
    <t>Бирюса 8ЕК</t>
  </si>
  <si>
    <t>6648</t>
  </si>
  <si>
    <t>6663</t>
  </si>
  <si>
    <t>POZIS Paracels ХФ-400-2</t>
  </si>
  <si>
    <t>213CV20016139</t>
  </si>
  <si>
    <t>POZIS Paracels ХФ-140</t>
  </si>
  <si>
    <t>216CV10037636</t>
  </si>
  <si>
    <t>POZIS Paracels ХЛ-340</t>
  </si>
  <si>
    <t>217WV20001542</t>
  </si>
  <si>
    <t>Бирюса 350 MEDLINE</t>
  </si>
  <si>
    <t>59470001528</t>
  </si>
  <si>
    <t>67230002492</t>
  </si>
  <si>
    <t>213CV20015865</t>
  </si>
  <si>
    <t>Бирюса 520НВ3</t>
  </si>
  <si>
    <t>-</t>
  </si>
  <si>
    <t>Холодильник фармацевтический</t>
  </si>
  <si>
    <t>3 этаж</t>
  </si>
  <si>
    <t>220TV20002811</t>
  </si>
  <si>
    <t>220WV20002704</t>
  </si>
  <si>
    <t>220TV20002799</t>
  </si>
  <si>
    <t>POZIS Paracels ХФ-250</t>
  </si>
  <si>
    <t>204CV20038342</t>
  </si>
  <si>
    <t>217CV20001707</t>
  </si>
  <si>
    <t>204CV20037950</t>
  </si>
  <si>
    <t>216CV20004644</t>
  </si>
  <si>
    <t>220TV20005232</t>
  </si>
  <si>
    <t>63510003378</t>
  </si>
  <si>
    <t>63510003325</t>
  </si>
  <si>
    <t>ст м.с.</t>
  </si>
  <si>
    <t>POZIS Paracels ХФ-140-1</t>
  </si>
  <si>
    <t>216CV20005162</t>
  </si>
  <si>
    <t>Бирюса 108</t>
  </si>
  <si>
    <t>0 5672 0056140</t>
  </si>
  <si>
    <t>8402 ZX</t>
  </si>
  <si>
    <t>URLK-0070</t>
  </si>
  <si>
    <t>Hamilton Galileo classic</t>
  </si>
  <si>
    <t>Hamilton Galileo gold</t>
  </si>
  <si>
    <t>ГастроСкан ГЭМ-01</t>
  </si>
  <si>
    <t>V1511297</t>
  </si>
  <si>
    <t>Нейро-ВМП-8</t>
  </si>
  <si>
    <t>Комплекс компьютерный многофункциональный для ЭМГ,ВП,ЭРГ,ОАЕ</t>
  </si>
  <si>
    <t xml:space="preserve">Система УЗИ диагностическая </t>
  </si>
  <si>
    <t>GE Vivid q 5 датчиков</t>
  </si>
  <si>
    <t xml:space="preserve">Стабилоанализатор компьютерный с биологической обратной связью </t>
  </si>
  <si>
    <t>Стабилан-01</t>
  </si>
  <si>
    <t>Нейро-ЭМГ-Микро/П</t>
  </si>
  <si>
    <t xml:space="preserve">Электроэнцефалограф-регистратор компьютеризированный  </t>
  </si>
  <si>
    <t>Энцефалан-ЭЭГР-19/26</t>
  </si>
  <si>
    <t>Электроэнцефалограф-регистратор компьютеризированный портативный</t>
  </si>
  <si>
    <t xml:space="preserve"> Энцефалан-ЭЭГР</t>
  </si>
  <si>
    <t>РЕО-СПЕКТР-3/Р</t>
  </si>
  <si>
    <t>нд</t>
  </si>
  <si>
    <t>РЕО-СПЕКТР</t>
  </si>
  <si>
    <t>08102442_3</t>
  </si>
  <si>
    <t>301AV20025999</t>
  </si>
  <si>
    <t>Установка моечная(репроцессор) для эндоскопов</t>
  </si>
  <si>
    <t>Электронейромиограф</t>
  </si>
  <si>
    <t>Система модульная энцефалографическая compumedics (somte кардио-респираторный монитор)</t>
  </si>
  <si>
    <t>Реогрф-полианализатор шестиканальный для комплексного исследования параметров кровообращения РГПА -6/12 «Реан-поли»</t>
  </si>
  <si>
    <t>Комплекс аппаратно-программный электроэнцефалографический «МИЦАР-ЭЭГ» исполнение «МИЦАР-ЭЭГ_10/70-201»</t>
  </si>
  <si>
    <t xml:space="preserve">комплекса аппаратно-программного электроэнцефалографического «Мицар-ЭЭГ-Смарт» (Mitsar-EEG-SmartBCI) </t>
  </si>
  <si>
    <t>2250МВ</t>
  </si>
  <si>
    <t>08106077</t>
  </si>
  <si>
    <t>2022</t>
  </si>
  <si>
    <t>BA0000002716</t>
  </si>
  <si>
    <t>ASRA-6576</t>
  </si>
  <si>
    <t>ASRA-6522</t>
  </si>
  <si>
    <t/>
  </si>
  <si>
    <t>0.02</t>
  </si>
  <si>
    <t>5.09</t>
  </si>
  <si>
    <t>1.11</t>
  </si>
  <si>
    <t xml:space="preserve">Комплекс реографический </t>
  </si>
  <si>
    <t>Рео-спектр-01-Нейрософт</t>
  </si>
  <si>
    <t>Терапия УЗИ</t>
  </si>
  <si>
    <t>Mindray imec 12</t>
  </si>
  <si>
    <t>Термоконтроллер A2</t>
  </si>
  <si>
    <t>78411-20</t>
  </si>
  <si>
    <t>2001054</t>
  </si>
  <si>
    <t>АМ Газ</t>
  </si>
  <si>
    <t>H-thermo A2</t>
  </si>
  <si>
    <t>TRKO-2V</t>
  </si>
  <si>
    <t>A200000038C7D581</t>
  </si>
  <si>
    <t>73311-18</t>
  </si>
  <si>
    <t>Комплексы регистраторов температуры и относительной влажности 5 датчиков</t>
  </si>
  <si>
    <t>ГК-100"Сити"</t>
  </si>
  <si>
    <t>220128</t>
  </si>
  <si>
    <t>08.2022</t>
  </si>
  <si>
    <t>ц</t>
  </si>
  <si>
    <t>46053</t>
  </si>
  <si>
    <t>36175</t>
  </si>
  <si>
    <t>35977</t>
  </si>
  <si>
    <t>42368</t>
  </si>
  <si>
    <t>16.03.2020</t>
  </si>
  <si>
    <t>16.03.2021</t>
  </si>
  <si>
    <t>16.03.2022</t>
  </si>
  <si>
    <t>16.03.2023</t>
  </si>
  <si>
    <t>Упаковочная машина</t>
  </si>
  <si>
    <t>08104823</t>
  </si>
  <si>
    <t>08104824</t>
  </si>
  <si>
    <t>08104828</t>
  </si>
  <si>
    <t>12.04.2017</t>
  </si>
  <si>
    <t>20.07.2021</t>
  </si>
  <si>
    <t>08104870</t>
  </si>
  <si>
    <t>18.12.2012</t>
  </si>
  <si>
    <t>7240000052</t>
  </si>
  <si>
    <t>26.05.2015</t>
  </si>
  <si>
    <t>08102395_3</t>
  </si>
  <si>
    <t>24.01.2011</t>
  </si>
  <si>
    <t>07.08.2018</t>
  </si>
  <si>
    <t>10.01.2008</t>
  </si>
  <si>
    <t>22.12.2010</t>
  </si>
  <si>
    <t>К08102846_3</t>
  </si>
  <si>
    <t>К08102847_3</t>
  </si>
  <si>
    <t>К08103077_2</t>
  </si>
  <si>
    <t>17.11.2011</t>
  </si>
  <si>
    <t>Видео гастроскоп</t>
  </si>
  <si>
    <t>Видео колоноскоп</t>
  </si>
  <si>
    <t>Видео гастроскоп 2-х канальный</t>
  </si>
  <si>
    <t>2929716</t>
  </si>
  <si>
    <t>02.02.2022</t>
  </si>
  <si>
    <t>71012413780</t>
  </si>
  <si>
    <t>К7360000163</t>
  </si>
  <si>
    <t>23.05.2016</t>
  </si>
  <si>
    <t>26.11.2012</t>
  </si>
  <si>
    <t>2704958</t>
  </si>
  <si>
    <t>К08102779_2</t>
  </si>
  <si>
    <t>04.10.2011</t>
  </si>
  <si>
    <t>01.06.2017</t>
  </si>
  <si>
    <t>27.06.2018</t>
  </si>
  <si>
    <t>27.05.2014</t>
  </si>
  <si>
    <t>27.08.2014</t>
  </si>
  <si>
    <t>14.10.2019</t>
  </si>
  <si>
    <t>01.11.2007</t>
  </si>
  <si>
    <t xml:space="preserve">облучатель -рециркулятор воздуха ультрафиолетовый бактерицидный </t>
  </si>
  <si>
    <t>ОРБ-1Н POZIS</t>
  </si>
  <si>
    <t>31.12.2020</t>
  </si>
  <si>
    <t xml:space="preserve">Авторефрактометр </t>
  </si>
  <si>
    <t>URK-800F</t>
  </si>
  <si>
    <t>F8VGC7F</t>
  </si>
  <si>
    <t>20.10.2022</t>
  </si>
  <si>
    <t>Пневмотометр</t>
  </si>
  <si>
    <t>Оптический когерентный томограф</t>
  </si>
  <si>
    <t>Optovue Solix</t>
  </si>
  <si>
    <t>Melag Vacuklav 24 B+</t>
  </si>
  <si>
    <t>03.12.2018</t>
  </si>
  <si>
    <t>01.03.2023</t>
  </si>
  <si>
    <t>13B1X10041000018</t>
  </si>
  <si>
    <t xml:space="preserve"> BIOrad1000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</si>
</sst>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"/>
    <numFmt numFmtId="165" formatCode="00000000"/>
  </numFmts>
  <fonts count="77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8"/>
      <name val="Calibri"/>
      <family val="2"/>
      <charset val="204"/>
    </font>
    <font>
      <strike/>
      <sz val="11"/>
      <color theme="1"/>
      <name val="Calibri"/>
      <family val="2"/>
      <charset val="204"/>
      <scheme val="minor"/>
    </font>
    <font>
      <sz val="8"/>
      <color rgb="FF000000"/>
      <name val="Verdana"/>
      <family val="2"/>
      <charset val="204"/>
    </font>
    <font>
      <sz val="8"/>
      <color rgb="FF212529"/>
      <name val="Verdana"/>
      <family val="2"/>
      <charset val="204"/>
    </font>
    <font>
      <sz val="11"/>
      <color rgb="FF9C65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name val="Arial"/>
      <family val="2"/>
      <charset val="1"/>
    </font>
    <font>
      <sz val="11"/>
      <color theme="0"/>
      <name val="Calibri"/>
      <family val="2"/>
      <charset val="1"/>
    </font>
    <font>
      <sz val="12"/>
      <name val="Times New Roman"/>
      <family val="1"/>
      <charset val="204"/>
    </font>
    <font>
      <sz val="11"/>
      <name val="Calibri"/>
      <family val="2"/>
      <charset val="1"/>
    </font>
    <font>
      <sz val="8"/>
      <name val="Arial"/>
      <family val="2"/>
    </font>
    <font>
      <strike/>
      <sz val="11"/>
      <name val="Calibri"/>
      <family val="2"/>
      <charset val="1"/>
    </font>
    <font>
      <strike/>
      <sz val="11"/>
      <name val="Calibri"/>
      <family val="2"/>
      <charset val="204"/>
      <scheme val="minor"/>
    </font>
    <font>
      <strike/>
      <sz val="8"/>
      <name val="Arial"/>
      <family val="2"/>
    </font>
    <font>
      <strike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204"/>
    </font>
    <font>
      <b/>
      <u/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1"/>
    </font>
    <font>
      <sz val="11"/>
      <name val="Calibri"/>
      <family val="2"/>
      <charset val="204"/>
    </font>
    <font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9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2" tint="-9.9887081514938816E-2"/>
      </left>
      <right/>
      <top style="thin">
        <color theme="8"/>
      </top>
      <bottom/>
      <diagonal/>
    </border>
    <border>
      <left style="thin">
        <color theme="2" tint="-9.9887081514938816E-2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2" tint="-9.9887081514938816E-2"/>
      </top>
      <bottom/>
      <diagonal/>
    </border>
    <border>
      <left style="thin">
        <color theme="2" tint="-9.9887081514938816E-2"/>
      </left>
      <right/>
      <top style="thin">
        <color theme="2" tint="-9.9887081514938816E-2"/>
      </top>
      <bottom/>
      <diagonal/>
    </border>
    <border>
      <left style="thin">
        <color theme="2" tint="-9.9887081514938816E-2"/>
      </left>
      <right style="thin">
        <color theme="8"/>
      </right>
      <top style="thin">
        <color theme="2" tint="-9.9887081514938816E-2"/>
      </top>
      <bottom/>
      <diagonal/>
    </border>
    <border>
      <left style="thin">
        <color theme="8"/>
      </left>
      <right style="thin">
        <color theme="8"/>
      </right>
      <top style="thin">
        <color theme="4" tint="0.39988402966399123"/>
      </top>
      <bottom style="thin">
        <color theme="8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8"/>
      </left>
      <right/>
      <top style="thin">
        <color theme="2" tint="-9.9887081514938816E-2"/>
      </top>
      <bottom style="thin">
        <color theme="8"/>
      </bottom>
      <diagonal/>
    </border>
    <border>
      <left style="thin">
        <color theme="2" tint="-9.9887081514938816E-2"/>
      </left>
      <right/>
      <top style="thin">
        <color theme="2" tint="-9.9887081514938816E-2"/>
      </top>
      <bottom style="thin">
        <color theme="8"/>
      </bottom>
      <diagonal/>
    </border>
    <border>
      <left style="thin">
        <color theme="2" tint="-9.9887081514938816E-2"/>
      </left>
      <right style="thin">
        <color theme="8"/>
      </right>
      <top style="thin">
        <color theme="2" tint="-9.9887081514938816E-2"/>
      </top>
      <bottom style="thin">
        <color theme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/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1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0" tint="-0.499984740745262"/>
      </bottom>
      <diagonal/>
    </border>
    <border>
      <left/>
      <right style="thin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1"/>
      </right>
      <top style="thin">
        <color theme="0" tint="-0.499984740745262"/>
      </top>
      <bottom/>
      <diagonal/>
    </border>
    <border>
      <left/>
      <right style="thin">
        <color theme="1"/>
      </right>
      <top style="thin">
        <color indexed="64"/>
      </top>
      <bottom style="thin">
        <color theme="0" tint="-0.499984740745262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1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theme="1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1"/>
      </left>
      <right style="thin">
        <color indexed="64"/>
      </right>
      <top style="thin">
        <color theme="0" tint="-0.499984740745262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1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1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1"/>
      </bottom>
      <diagonal/>
    </border>
    <border>
      <left/>
      <right style="thin">
        <color theme="1"/>
      </right>
      <top style="thin">
        <color theme="0" tint="-0.499984740745262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rgb="FFE5B2B2"/>
      </left>
      <right style="thin">
        <color rgb="FFE5B2B2"/>
      </right>
      <top style="thin">
        <color rgb="FFE5B2B2"/>
      </top>
      <bottom style="thin">
        <color rgb="FFE5B2B2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</borders>
  <cellStyleXfs count="7">
    <xf numFmtId="0" fontId="0" fillId="0" borderId="0"/>
    <xf numFmtId="0" fontId="24" fillId="0" borderId="0"/>
    <xf numFmtId="0" fontId="52" fillId="0" borderId="0"/>
    <xf numFmtId="0" fontId="49" fillId="0" borderId="0"/>
    <xf numFmtId="0" fontId="49" fillId="0" borderId="0"/>
    <xf numFmtId="0" fontId="57" fillId="10" borderId="0" applyNumberFormat="0" applyBorder="0" applyAlignment="0" applyProtection="0"/>
    <xf numFmtId="0" fontId="70" fillId="0" borderId="0" applyNumberFormat="0" applyFill="0" applyBorder="0" applyAlignment="0" applyProtection="0"/>
  </cellStyleXfs>
  <cellXfs count="745">
    <xf numFmtId="0" fontId="45" fillId="0" borderId="0" xfId="0" applyFont="1"/>
    <xf numFmtId="49" fontId="45" fillId="0" borderId="0" xfId="0" applyNumberFormat="1" applyFont="1" applyAlignment="1">
      <alignment horizontal="center" vertical="center" wrapText="1"/>
    </xf>
    <xf numFmtId="49" fontId="45" fillId="0" borderId="0" xfId="0" applyNumberFormat="1" applyFont="1" applyAlignment="1">
      <alignment horizontal="right" vertical="center" wrapText="1"/>
    </xf>
    <xf numFmtId="49" fontId="45" fillId="0" borderId="0" xfId="0" applyNumberFormat="1" applyFont="1" applyAlignment="1">
      <alignment vertical="center" wrapText="1"/>
    </xf>
    <xf numFmtId="49" fontId="45" fillId="0" borderId="0" xfId="0" applyNumberFormat="1" applyFont="1" applyAlignment="1">
      <alignment horizontal="left" vertical="center" wrapText="1"/>
    </xf>
    <xf numFmtId="49" fontId="46" fillId="2" borderId="1" xfId="0" applyNumberFormat="1" applyFont="1" applyFill="1" applyBorder="1" applyAlignment="1">
      <alignment horizontal="center" vertical="center" wrapText="1"/>
    </xf>
    <xf numFmtId="49" fontId="46" fillId="2" borderId="2" xfId="0" applyNumberFormat="1" applyFont="1" applyFill="1" applyBorder="1" applyAlignment="1">
      <alignment horizontal="center" vertical="center" wrapText="1"/>
    </xf>
    <xf numFmtId="49" fontId="46" fillId="2" borderId="3" xfId="0" applyNumberFormat="1" applyFont="1" applyFill="1" applyBorder="1" applyAlignment="1">
      <alignment horizontal="center" vertical="center" wrapText="1"/>
    </xf>
    <xf numFmtId="49" fontId="45" fillId="0" borderId="4" xfId="0" applyNumberFormat="1" applyFont="1" applyBorder="1" applyAlignment="1">
      <alignment horizontal="center" vertical="center" wrapText="1"/>
    </xf>
    <xf numFmtId="49" fontId="45" fillId="0" borderId="5" xfId="0" applyNumberFormat="1" applyFont="1" applyBorder="1" applyAlignment="1">
      <alignment horizontal="right" vertical="center" wrapText="1"/>
    </xf>
    <xf numFmtId="49" fontId="45" fillId="0" borderId="5" xfId="0" applyNumberFormat="1" applyFont="1" applyBorder="1" applyAlignment="1">
      <alignment vertical="center" wrapText="1"/>
    </xf>
    <xf numFmtId="49" fontId="45" fillId="0" borderId="5" xfId="0" applyNumberFormat="1" applyFont="1" applyBorder="1" applyAlignment="1">
      <alignment horizontal="center" vertical="center" wrapText="1"/>
    </xf>
    <xf numFmtId="49" fontId="45" fillId="0" borderId="6" xfId="0" applyNumberFormat="1" applyFont="1" applyBorder="1" applyAlignment="1">
      <alignment horizontal="left" vertical="center" wrapText="1"/>
    </xf>
    <xf numFmtId="49" fontId="45" fillId="3" borderId="5" xfId="0" applyNumberFormat="1" applyFont="1" applyFill="1" applyBorder="1" applyAlignment="1">
      <alignment horizontal="right" vertical="center" wrapText="1"/>
    </xf>
    <xf numFmtId="49" fontId="45" fillId="3" borderId="5" xfId="0" applyNumberFormat="1" applyFont="1" applyFill="1" applyBorder="1" applyAlignment="1">
      <alignment vertical="center" wrapText="1"/>
    </xf>
    <xf numFmtId="0" fontId="47" fillId="0" borderId="7" xfId="0" applyFont="1" applyBorder="1" applyAlignment="1">
      <alignment wrapText="1"/>
    </xf>
    <xf numFmtId="49" fontId="45" fillId="0" borderId="8" xfId="0" applyNumberFormat="1" applyFont="1" applyBorder="1" applyAlignment="1">
      <alignment vertical="center" wrapText="1"/>
    </xf>
    <xf numFmtId="49" fontId="45" fillId="0" borderId="9" xfId="0" applyNumberFormat="1" applyFont="1" applyBorder="1" applyAlignment="1">
      <alignment horizontal="center" vertical="center" wrapText="1"/>
    </xf>
    <xf numFmtId="49" fontId="45" fillId="0" borderId="10" xfId="0" applyNumberFormat="1" applyFont="1" applyBorder="1" applyAlignment="1">
      <alignment horizontal="right" vertical="center" wrapText="1"/>
    </xf>
    <xf numFmtId="49" fontId="45" fillId="0" borderId="10" xfId="0" applyNumberFormat="1" applyFont="1" applyBorder="1" applyAlignment="1">
      <alignment vertical="center" wrapText="1"/>
    </xf>
    <xf numFmtId="49" fontId="45" fillId="0" borderId="10" xfId="0" applyNumberFormat="1" applyFont="1" applyBorder="1" applyAlignment="1">
      <alignment horizontal="center" vertical="center" wrapText="1"/>
    </xf>
    <xf numFmtId="49" fontId="45" fillId="0" borderId="11" xfId="0" applyNumberFormat="1" applyFont="1" applyBorder="1" applyAlignment="1">
      <alignment horizontal="left" vertical="center" wrapText="1"/>
    </xf>
    <xf numFmtId="1" fontId="45" fillId="0" borderId="5" xfId="0" applyNumberFormat="1" applyFont="1" applyBorder="1" applyAlignment="1">
      <alignment horizontal="right" vertical="center" wrapText="1"/>
    </xf>
    <xf numFmtId="49" fontId="45" fillId="0" borderId="6" xfId="0" applyNumberFormat="1" applyFont="1" applyBorder="1" applyAlignment="1">
      <alignment horizontal="center" vertical="center" wrapText="1"/>
    </xf>
    <xf numFmtId="49" fontId="45" fillId="0" borderId="5" xfId="0" applyNumberFormat="1" applyFont="1" applyBorder="1" applyAlignment="1">
      <alignment horizontal="left" vertical="center" wrapText="1"/>
    </xf>
    <xf numFmtId="49" fontId="43" fillId="0" borderId="5" xfId="0" applyNumberFormat="1" applyFont="1" applyBorder="1" applyAlignment="1">
      <alignment vertical="center" wrapText="1"/>
    </xf>
    <xf numFmtId="49" fontId="42" fillId="0" borderId="5" xfId="0" applyNumberFormat="1" applyFont="1" applyBorder="1" applyAlignment="1">
      <alignment vertical="center" wrapText="1"/>
    </xf>
    <xf numFmtId="49" fontId="42" fillId="0" borderId="5" xfId="0" applyNumberFormat="1" applyFont="1" applyBorder="1" applyAlignment="1">
      <alignment horizontal="right" vertical="center" wrapText="1"/>
    </xf>
    <xf numFmtId="49" fontId="42" fillId="0" borderId="5" xfId="0" applyNumberFormat="1" applyFont="1" applyBorder="1" applyAlignment="1">
      <alignment horizontal="center" vertical="center" wrapText="1"/>
    </xf>
    <xf numFmtId="49" fontId="41" fillId="0" borderId="5" xfId="0" applyNumberFormat="1" applyFont="1" applyBorder="1" applyAlignment="1">
      <alignment vertical="center" wrapText="1"/>
    </xf>
    <xf numFmtId="49" fontId="41" fillId="0" borderId="5" xfId="0" applyNumberFormat="1" applyFont="1" applyBorder="1" applyAlignment="1">
      <alignment horizontal="right" vertical="center" wrapText="1"/>
    </xf>
    <xf numFmtId="0" fontId="45" fillId="0" borderId="5" xfId="0" applyFont="1" applyBorder="1" applyAlignment="1">
      <alignment wrapText="1"/>
    </xf>
    <xf numFmtId="49" fontId="40" fillId="0" borderId="5" xfId="0" applyNumberFormat="1" applyFont="1" applyBorder="1" applyAlignment="1">
      <alignment vertical="center" wrapText="1"/>
    </xf>
    <xf numFmtId="49" fontId="39" fillId="0" borderId="5" xfId="0" applyNumberFormat="1" applyFont="1" applyBorder="1" applyAlignment="1">
      <alignment vertical="center" wrapText="1"/>
    </xf>
    <xf numFmtId="49" fontId="32" fillId="0" borderId="5" xfId="0" applyNumberFormat="1" applyFont="1" applyBorder="1" applyAlignment="1">
      <alignment vertical="center" wrapText="1"/>
    </xf>
    <xf numFmtId="49" fontId="31" fillId="0" borderId="5" xfId="0" applyNumberFormat="1" applyFont="1" applyBorder="1" applyAlignment="1">
      <alignment vertical="center" wrapText="1"/>
    </xf>
    <xf numFmtId="49" fontId="31" fillId="0" borderId="5" xfId="0" applyNumberFormat="1" applyFont="1" applyBorder="1" applyAlignment="1">
      <alignment horizontal="right" vertical="center" wrapText="1"/>
    </xf>
    <xf numFmtId="49" fontId="30" fillId="0" borderId="5" xfId="0" applyNumberFormat="1" applyFont="1" applyBorder="1" applyAlignment="1">
      <alignment vertical="center" wrapText="1"/>
    </xf>
    <xf numFmtId="49" fontId="29" fillId="0" borderId="5" xfId="0" applyNumberFormat="1" applyFont="1" applyBorder="1" applyAlignment="1">
      <alignment vertical="center" wrapText="1"/>
    </xf>
    <xf numFmtId="49" fontId="29" fillId="0" borderId="5" xfId="0" applyNumberFormat="1" applyFont="1" applyBorder="1" applyAlignment="1">
      <alignment horizontal="right" vertical="center" wrapText="1"/>
    </xf>
    <xf numFmtId="49" fontId="29" fillId="0" borderId="5" xfId="0" applyNumberFormat="1" applyFont="1" applyBorder="1" applyAlignment="1">
      <alignment horizontal="center" vertical="center" wrapText="1"/>
    </xf>
    <xf numFmtId="49" fontId="28" fillId="0" borderId="5" xfId="0" applyNumberFormat="1" applyFont="1" applyBorder="1" applyAlignment="1">
      <alignment vertical="center" wrapText="1"/>
    </xf>
    <xf numFmtId="49" fontId="28" fillId="0" borderId="8" xfId="0" applyNumberFormat="1" applyFont="1" applyBorder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49" fontId="26" fillId="0" borderId="5" xfId="0" applyNumberFormat="1" applyFont="1" applyBorder="1" applyAlignment="1">
      <alignment vertical="center" wrapText="1"/>
    </xf>
    <xf numFmtId="49" fontId="25" fillId="0" borderId="5" xfId="0" applyNumberFormat="1" applyFont="1" applyBorder="1" applyAlignment="1">
      <alignment vertical="center" wrapText="1"/>
    </xf>
    <xf numFmtId="0" fontId="25" fillId="0" borderId="12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45" fillId="0" borderId="0" xfId="0" applyFont="1" applyAlignment="1">
      <alignment horizontal="right"/>
    </xf>
    <xf numFmtId="0" fontId="45" fillId="0" borderId="16" xfId="0" applyFont="1" applyBorder="1"/>
    <xf numFmtId="0" fontId="45" fillId="0" borderId="18" xfId="0" applyFont="1" applyBorder="1"/>
    <xf numFmtId="0" fontId="45" fillId="0" borderId="20" xfId="0" applyFont="1" applyBorder="1"/>
    <xf numFmtId="0" fontId="45" fillId="0" borderId="14" xfId="0" applyFont="1" applyBorder="1"/>
    <xf numFmtId="0" fontId="45" fillId="0" borderId="24" xfId="0" applyFont="1" applyBorder="1"/>
    <xf numFmtId="0" fontId="45" fillId="0" borderId="22" xfId="0" applyFont="1" applyBorder="1"/>
    <xf numFmtId="0" fontId="45" fillId="0" borderId="26" xfId="0" applyFont="1" applyBorder="1"/>
    <xf numFmtId="0" fontId="45" fillId="0" borderId="14" xfId="0" applyFont="1" applyBorder="1" applyAlignment="1">
      <alignment horizontal="right"/>
    </xf>
    <xf numFmtId="0" fontId="45" fillId="0" borderId="16" xfId="0" applyFont="1" applyBorder="1" applyAlignment="1">
      <alignment horizontal="right"/>
    </xf>
    <xf numFmtId="0" fontId="45" fillId="0" borderId="18" xfId="0" applyFont="1" applyBorder="1" applyAlignment="1">
      <alignment horizontal="right"/>
    </xf>
    <xf numFmtId="0" fontId="45" fillId="0" borderId="20" xfId="0" applyFont="1" applyBorder="1" applyAlignment="1">
      <alignment horizontal="right"/>
    </xf>
    <xf numFmtId="0" fontId="45" fillId="0" borderId="26" xfId="0" applyFont="1" applyBorder="1" applyAlignment="1">
      <alignment horizontal="right"/>
    </xf>
    <xf numFmtId="0" fontId="45" fillId="0" borderId="13" xfId="0" applyFont="1" applyBorder="1" applyAlignment="1">
      <alignment horizontal="right"/>
    </xf>
    <xf numFmtId="0" fontId="45" fillId="0" borderId="15" xfId="0" applyFont="1" applyBorder="1" applyAlignment="1">
      <alignment horizontal="right"/>
    </xf>
    <xf numFmtId="0" fontId="45" fillId="0" borderId="17" xfId="0" applyFont="1" applyBorder="1" applyAlignment="1">
      <alignment horizontal="right"/>
    </xf>
    <xf numFmtId="0" fontId="45" fillId="0" borderId="23" xfId="0" applyFont="1" applyBorder="1" applyAlignment="1">
      <alignment horizontal="right"/>
    </xf>
    <xf numFmtId="0" fontId="45" fillId="0" borderId="21" xfId="0" applyFont="1" applyBorder="1" applyAlignment="1">
      <alignment horizontal="right"/>
    </xf>
    <xf numFmtId="0" fontId="25" fillId="0" borderId="19" xfId="0" applyFont="1" applyBorder="1" applyAlignment="1">
      <alignment horizontal="right"/>
    </xf>
    <xf numFmtId="0" fontId="45" fillId="0" borderId="25" xfId="0" applyFont="1" applyBorder="1" applyAlignment="1">
      <alignment horizontal="right"/>
    </xf>
    <xf numFmtId="0" fontId="45" fillId="0" borderId="19" xfId="0" applyFont="1" applyBorder="1" applyAlignment="1">
      <alignment horizontal="right"/>
    </xf>
    <xf numFmtId="0" fontId="45" fillId="0" borderId="13" xfId="0" applyFont="1" applyBorder="1" applyAlignment="1">
      <alignment horizontal="center"/>
    </xf>
    <xf numFmtId="0" fontId="45" fillId="0" borderId="15" xfId="0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20" xfId="0" applyFont="1" applyBorder="1"/>
    <xf numFmtId="0" fontId="25" fillId="0" borderId="15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45" fillId="0" borderId="19" xfId="0" applyFont="1" applyBorder="1" applyAlignment="1">
      <alignment horizontal="center"/>
    </xf>
    <xf numFmtId="0" fontId="45" fillId="0" borderId="25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45" fillId="0" borderId="28" xfId="0" applyFont="1" applyBorder="1" applyAlignment="1">
      <alignment horizontal="right"/>
    </xf>
    <xf numFmtId="0" fontId="45" fillId="0" borderId="29" xfId="0" applyFont="1" applyBorder="1" applyAlignment="1">
      <alignment horizontal="right"/>
    </xf>
    <xf numFmtId="0" fontId="45" fillId="0" borderId="30" xfId="0" applyFont="1" applyBorder="1" applyAlignment="1">
      <alignment horizontal="right"/>
    </xf>
    <xf numFmtId="0" fontId="45" fillId="0" borderId="31" xfId="0" applyFont="1" applyBorder="1" applyAlignment="1">
      <alignment horizontal="right"/>
    </xf>
    <xf numFmtId="0" fontId="45" fillId="0" borderId="27" xfId="0" applyFont="1" applyBorder="1" applyAlignment="1">
      <alignment horizontal="right"/>
    </xf>
    <xf numFmtId="0" fontId="45" fillId="0" borderId="32" xfId="0" applyFont="1" applyBorder="1" applyAlignment="1">
      <alignment horizontal="right"/>
    </xf>
    <xf numFmtId="0" fontId="45" fillId="0" borderId="33" xfId="0" applyFont="1" applyBorder="1" applyAlignment="1">
      <alignment horizontal="right"/>
    </xf>
    <xf numFmtId="0" fontId="50" fillId="0" borderId="39" xfId="0" applyFont="1" applyBorder="1" applyAlignment="1">
      <alignment horizontal="center"/>
    </xf>
    <xf numFmtId="0" fontId="45" fillId="0" borderId="40" xfId="0" applyFont="1" applyBorder="1"/>
    <xf numFmtId="0" fontId="45" fillId="0" borderId="41" xfId="0" applyFont="1" applyBorder="1"/>
    <xf numFmtId="0" fontId="45" fillId="0" borderId="42" xfId="0" applyFont="1" applyBorder="1"/>
    <xf numFmtId="0" fontId="45" fillId="0" borderId="43" xfId="0" applyFont="1" applyBorder="1"/>
    <xf numFmtId="0" fontId="45" fillId="0" borderId="44" xfId="0" applyFont="1" applyBorder="1"/>
    <xf numFmtId="0" fontId="45" fillId="0" borderId="45" xfId="0" applyFont="1" applyBorder="1"/>
    <xf numFmtId="0" fontId="45" fillId="0" borderId="46" xfId="0" applyFont="1" applyBorder="1"/>
    <xf numFmtId="0" fontId="45" fillId="0" borderId="47" xfId="0" applyFont="1" applyBorder="1"/>
    <xf numFmtId="0" fontId="50" fillId="0" borderId="48" xfId="0" applyFont="1" applyBorder="1" applyAlignment="1">
      <alignment horizontal="center"/>
    </xf>
    <xf numFmtId="0" fontId="50" fillId="0" borderId="49" xfId="0" applyFont="1" applyBorder="1" applyAlignment="1">
      <alignment horizontal="center"/>
    </xf>
    <xf numFmtId="0" fontId="50" fillId="0" borderId="50" xfId="0" applyFont="1" applyBorder="1" applyAlignment="1">
      <alignment horizontal="center"/>
    </xf>
    <xf numFmtId="0" fontId="50" fillId="0" borderId="51" xfId="0" applyFont="1" applyBorder="1" applyAlignment="1">
      <alignment horizontal="center"/>
    </xf>
    <xf numFmtId="0" fontId="45" fillId="0" borderId="52" xfId="0" applyFont="1" applyBorder="1"/>
    <xf numFmtId="0" fontId="45" fillId="0" borderId="53" xfId="0" applyFont="1" applyBorder="1"/>
    <xf numFmtId="0" fontId="45" fillId="0" borderId="54" xfId="0" applyFont="1" applyBorder="1"/>
    <xf numFmtId="0" fontId="45" fillId="0" borderId="55" xfId="0" applyFont="1" applyBorder="1"/>
    <xf numFmtId="0" fontId="45" fillId="0" borderId="56" xfId="0" applyFont="1" applyBorder="1"/>
    <xf numFmtId="0" fontId="45" fillId="0" borderId="58" xfId="0" applyFont="1" applyBorder="1"/>
    <xf numFmtId="0" fontId="45" fillId="0" borderId="59" xfId="0" applyFont="1" applyBorder="1"/>
    <xf numFmtId="0" fontId="45" fillId="0" borderId="60" xfId="0" applyFont="1" applyBorder="1"/>
    <xf numFmtId="0" fontId="45" fillId="0" borderId="61" xfId="0" applyFont="1" applyBorder="1"/>
    <xf numFmtId="0" fontId="45" fillId="0" borderId="57" xfId="0" applyFont="1" applyBorder="1"/>
    <xf numFmtId="0" fontId="45" fillId="0" borderId="62" xfId="0" applyFont="1" applyBorder="1"/>
    <xf numFmtId="0" fontId="45" fillId="0" borderId="63" xfId="0" applyFont="1" applyBorder="1"/>
    <xf numFmtId="0" fontId="45" fillId="0" borderId="64" xfId="0" applyFont="1" applyBorder="1"/>
    <xf numFmtId="0" fontId="50" fillId="0" borderId="65" xfId="0" applyFont="1" applyBorder="1" applyAlignment="1">
      <alignment horizontal="center"/>
    </xf>
    <xf numFmtId="0" fontId="45" fillId="0" borderId="67" xfId="0" applyFont="1" applyBorder="1" applyAlignment="1">
      <alignment horizontal="center"/>
    </xf>
    <xf numFmtId="0" fontId="45" fillId="0" borderId="68" xfId="0" applyFont="1" applyBorder="1"/>
    <xf numFmtId="0" fontId="45" fillId="0" borderId="67" xfId="0" applyFont="1" applyBorder="1" applyAlignment="1">
      <alignment horizontal="right"/>
    </xf>
    <xf numFmtId="0" fontId="45" fillId="0" borderId="68" xfId="0" applyFont="1" applyBorder="1" applyAlignment="1">
      <alignment horizontal="right"/>
    </xf>
    <xf numFmtId="0" fontId="45" fillId="0" borderId="69" xfId="0" applyFont="1" applyBorder="1"/>
    <xf numFmtId="0" fontId="25" fillId="0" borderId="34" xfId="0" applyFont="1" applyBorder="1" applyAlignment="1">
      <alignment horizontal="center"/>
    </xf>
    <xf numFmtId="0" fontId="25" fillId="0" borderId="35" xfId="0" applyFont="1" applyBorder="1" applyAlignment="1">
      <alignment horizontal="center"/>
    </xf>
    <xf numFmtId="0" fontId="25" fillId="0" borderId="36" xfId="0" applyFont="1" applyBorder="1" applyAlignment="1">
      <alignment horizontal="center"/>
    </xf>
    <xf numFmtId="0" fontId="25" fillId="0" borderId="37" xfId="0" applyFont="1" applyBorder="1" applyAlignment="1">
      <alignment horizontal="center"/>
    </xf>
    <xf numFmtId="0" fontId="25" fillId="0" borderId="38" xfId="0" applyFont="1" applyBorder="1" applyAlignment="1">
      <alignment horizontal="center"/>
    </xf>
    <xf numFmtId="0" fontId="25" fillId="0" borderId="66" xfId="0" applyFont="1" applyBorder="1" applyAlignment="1">
      <alignment horizontal="center"/>
    </xf>
    <xf numFmtId="49" fontId="24" fillId="0" borderId="5" xfId="0" applyNumberFormat="1" applyFont="1" applyBorder="1" applyAlignment="1">
      <alignment horizontal="right" vertical="center" wrapText="1"/>
    </xf>
    <xf numFmtId="49" fontId="24" fillId="0" borderId="5" xfId="0" applyNumberFormat="1" applyFont="1" applyBorder="1" applyAlignment="1">
      <alignment horizontal="center" vertical="center" wrapText="1"/>
    </xf>
    <xf numFmtId="49" fontId="24" fillId="0" borderId="5" xfId="0" applyNumberFormat="1" applyFont="1" applyBorder="1" applyAlignment="1">
      <alignment vertical="center" wrapText="1"/>
    </xf>
    <xf numFmtId="49" fontId="24" fillId="0" borderId="5" xfId="3" applyNumberFormat="1" applyFont="1" applyBorder="1" applyAlignment="1">
      <alignment vertical="center" wrapText="1"/>
    </xf>
    <xf numFmtId="49" fontId="23" fillId="0" borderId="5" xfId="4" applyNumberFormat="1" applyFont="1" applyBorder="1" applyAlignment="1">
      <alignment horizontal="right" vertical="center" wrapText="1"/>
    </xf>
    <xf numFmtId="49" fontId="23" fillId="0" borderId="5" xfId="4" applyNumberFormat="1" applyFont="1" applyBorder="1" applyAlignment="1">
      <alignment horizontal="center" vertical="center" wrapText="1"/>
    </xf>
    <xf numFmtId="49" fontId="23" fillId="0" borderId="5" xfId="0" applyNumberFormat="1" applyFont="1" applyBorder="1" applyAlignment="1">
      <alignment vertical="center" wrapText="1"/>
    </xf>
    <xf numFmtId="49" fontId="23" fillId="0" borderId="5" xfId="0" applyNumberFormat="1" applyFont="1" applyBorder="1" applyAlignment="1">
      <alignment horizontal="right" vertical="center" wrapText="1"/>
    </xf>
    <xf numFmtId="49" fontId="23" fillId="0" borderId="5" xfId="0" applyNumberFormat="1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49" fontId="23" fillId="0" borderId="0" xfId="0" applyNumberFormat="1" applyFont="1" applyAlignment="1">
      <alignment vertical="center" wrapText="1"/>
    </xf>
    <xf numFmtId="49" fontId="24" fillId="0" borderId="0" xfId="0" applyNumberFormat="1" applyFont="1" applyAlignment="1">
      <alignment vertical="center" wrapText="1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49" fontId="26" fillId="0" borderId="0" xfId="0" applyNumberFormat="1" applyFont="1" applyAlignment="1">
      <alignment horizontal="right" vertical="center" wrapText="1"/>
    </xf>
    <xf numFmtId="0" fontId="23" fillId="0" borderId="0" xfId="0" applyFont="1"/>
    <xf numFmtId="49" fontId="23" fillId="0" borderId="5" xfId="3" applyNumberFormat="1" applyFont="1" applyBorder="1" applyAlignment="1">
      <alignment vertical="center" wrapText="1"/>
    </xf>
    <xf numFmtId="49" fontId="45" fillId="3" borderId="0" xfId="0" applyNumberFormat="1" applyFont="1" applyFill="1" applyAlignment="1">
      <alignment horizontal="right" vertical="center" wrapText="1"/>
    </xf>
    <xf numFmtId="0" fontId="22" fillId="0" borderId="0" xfId="0" applyFont="1"/>
    <xf numFmtId="0" fontId="47" fillId="0" borderId="70" xfId="2" applyFont="1" applyBorder="1" applyAlignment="1">
      <alignment vertical="top" wrapText="1"/>
    </xf>
    <xf numFmtId="49" fontId="47" fillId="0" borderId="70" xfId="2" applyNumberFormat="1" applyFont="1" applyBorder="1" applyAlignment="1">
      <alignment horizontal="center" vertical="top" wrapText="1"/>
    </xf>
    <xf numFmtId="49" fontId="46" fillId="2" borderId="0" xfId="0" applyNumberFormat="1" applyFont="1" applyFill="1" applyAlignment="1">
      <alignment horizontal="center" vertical="center" wrapText="1"/>
    </xf>
    <xf numFmtId="1" fontId="46" fillId="2" borderId="0" xfId="0" applyNumberFormat="1" applyFont="1" applyFill="1" applyAlignment="1">
      <alignment horizontal="center" vertical="center" wrapText="1"/>
    </xf>
    <xf numFmtId="49" fontId="46" fillId="2" borderId="0" xfId="0" applyNumberFormat="1" applyFont="1" applyFill="1" applyAlignment="1">
      <alignment horizontal="right" wrapText="1"/>
    </xf>
    <xf numFmtId="164" fontId="46" fillId="2" borderId="0" xfId="0" applyNumberFormat="1" applyFont="1" applyFill="1" applyAlignment="1">
      <alignment horizontal="right" vertical="center" wrapText="1"/>
    </xf>
    <xf numFmtId="49" fontId="22" fillId="0" borderId="0" xfId="0" applyNumberFormat="1" applyFont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49" fontId="24" fillId="0" borderId="0" xfId="0" applyNumberFormat="1" applyFont="1" applyAlignment="1">
      <alignment horizontal="right" vertical="center" wrapText="1"/>
    </xf>
    <xf numFmtId="1" fontId="22" fillId="0" borderId="0" xfId="0" applyNumberFormat="1" applyFont="1" applyAlignment="1">
      <alignment horizontal="center" vertical="center" wrapText="1"/>
    </xf>
    <xf numFmtId="164" fontId="45" fillId="0" borderId="0" xfId="0" applyNumberFormat="1" applyFont="1" applyAlignment="1">
      <alignment horizontal="right" vertical="center" wrapText="1"/>
    </xf>
    <xf numFmtId="1" fontId="18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49" fontId="22" fillId="0" borderId="0" xfId="0" applyNumberFormat="1" applyFont="1" applyAlignment="1">
      <alignment vertical="center" wrapText="1"/>
    </xf>
    <xf numFmtId="49" fontId="54" fillId="0" borderId="0" xfId="0" applyNumberFormat="1" applyFont="1" applyAlignment="1">
      <alignment vertical="center" wrapText="1"/>
    </xf>
    <xf numFmtId="49" fontId="54" fillId="6" borderId="0" xfId="0" applyNumberFormat="1" applyFont="1" applyFill="1" applyAlignment="1">
      <alignment horizontal="center" vertical="center" wrapText="1"/>
    </xf>
    <xf numFmtId="49" fontId="54" fillId="6" borderId="0" xfId="0" applyNumberFormat="1" applyFont="1" applyFill="1" applyAlignment="1">
      <alignment vertical="center" wrapText="1"/>
    </xf>
    <xf numFmtId="49" fontId="54" fillId="6" borderId="0" xfId="0" applyNumberFormat="1" applyFont="1" applyFill="1" applyAlignment="1">
      <alignment horizontal="left" vertical="center" wrapText="1"/>
    </xf>
    <xf numFmtId="49" fontId="39" fillId="0" borderId="0" xfId="0" applyNumberFormat="1" applyFont="1" applyAlignment="1">
      <alignment vertical="center" wrapText="1"/>
    </xf>
    <xf numFmtId="49" fontId="54" fillId="0" borderId="0" xfId="0" applyNumberFormat="1" applyFont="1" applyAlignment="1">
      <alignment horizontal="center" vertical="center" wrapText="1"/>
    </xf>
    <xf numFmtId="49" fontId="54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49" fontId="17" fillId="0" borderId="0" xfId="0" applyNumberFormat="1" applyFont="1" applyAlignment="1">
      <alignment vertical="center" wrapText="1"/>
    </xf>
    <xf numFmtId="49" fontId="45" fillId="0" borderId="0" xfId="0" applyNumberFormat="1" applyFont="1" applyAlignment="1">
      <alignment horizontal="right" wrapText="1"/>
    </xf>
    <xf numFmtId="0" fontId="0" fillId="0" borderId="0" xfId="0"/>
    <xf numFmtId="1" fontId="45" fillId="0" borderId="0" xfId="0" applyNumberFormat="1" applyFont="1" applyAlignment="1">
      <alignment horizontal="center" vertical="center" wrapText="1"/>
    </xf>
    <xf numFmtId="49" fontId="25" fillId="0" borderId="0" xfId="0" applyNumberFormat="1" applyFont="1" applyAlignment="1">
      <alignment vertical="center" wrapText="1"/>
    </xf>
    <xf numFmtId="49" fontId="45" fillId="5" borderId="0" xfId="0" applyNumberFormat="1" applyFont="1" applyFill="1" applyAlignment="1">
      <alignment vertical="center" wrapText="1"/>
    </xf>
    <xf numFmtId="0" fontId="0" fillId="0" borderId="0" xfId="0" applyAlignment="1">
      <alignment horizontal="right"/>
    </xf>
    <xf numFmtId="49" fontId="23" fillId="0" borderId="0" xfId="0" applyNumberFormat="1" applyFont="1" applyAlignment="1">
      <alignment horizontal="left" vertical="center" wrapText="1"/>
    </xf>
    <xf numFmtId="49" fontId="17" fillId="0" borderId="0" xfId="0" applyNumberFormat="1" applyFont="1" applyAlignment="1">
      <alignment horizontal="right" vertical="center" wrapText="1"/>
    </xf>
    <xf numFmtId="49" fontId="46" fillId="2" borderId="0" xfId="0" applyNumberFormat="1" applyFont="1" applyFill="1" applyAlignment="1">
      <alignment horizontal="left" vertical="center" wrapText="1"/>
    </xf>
    <xf numFmtId="49" fontId="24" fillId="0" borderId="0" xfId="0" applyNumberFormat="1" applyFont="1" applyAlignment="1">
      <alignment horizontal="left" vertical="center" wrapText="1"/>
    </xf>
    <xf numFmtId="49" fontId="17" fillId="0" borderId="0" xfId="0" applyNumberFormat="1" applyFont="1" applyAlignment="1">
      <alignment horizontal="left" vertical="center" wrapText="1"/>
    </xf>
    <xf numFmtId="49" fontId="46" fillId="2" borderId="0" xfId="0" applyNumberFormat="1" applyFont="1" applyFill="1" applyAlignment="1">
      <alignment horizontal="right" vertical="center" wrapText="1"/>
    </xf>
    <xf numFmtId="0" fontId="17" fillId="0" borderId="0" xfId="0" applyFont="1"/>
    <xf numFmtId="49" fontId="45" fillId="9" borderId="0" xfId="0" applyNumberFormat="1" applyFont="1" applyFill="1" applyAlignment="1">
      <alignment vertical="center" wrapText="1"/>
    </xf>
    <xf numFmtId="0" fontId="0" fillId="7" borderId="70" xfId="0" applyFill="1" applyBorder="1" applyAlignment="1">
      <alignment horizontal="left" vertical="top" wrapText="1"/>
    </xf>
    <xf numFmtId="0" fontId="0" fillId="0" borderId="70" xfId="0" applyBorder="1" applyAlignment="1">
      <alignment horizontal="left" vertical="top" wrapText="1"/>
    </xf>
    <xf numFmtId="49" fontId="0" fillId="7" borderId="70" xfId="0" applyNumberFormat="1" applyFill="1" applyBorder="1" applyAlignment="1">
      <alignment horizontal="center" vertical="top" wrapText="1"/>
    </xf>
    <xf numFmtId="49" fontId="0" fillId="7" borderId="70" xfId="0" applyNumberFormat="1" applyFill="1" applyBorder="1" applyAlignment="1">
      <alignment horizontal="center" wrapText="1"/>
    </xf>
    <xf numFmtId="0" fontId="0" fillId="9" borderId="70" xfId="0" applyFill="1" applyBorder="1" applyAlignment="1">
      <alignment wrapText="1"/>
    </xf>
    <xf numFmtId="0" fontId="0" fillId="0" borderId="70" xfId="0" applyBorder="1" applyAlignment="1">
      <alignment wrapText="1"/>
    </xf>
    <xf numFmtId="49" fontId="0" fillId="6" borderId="70" xfId="0" applyNumberFormat="1" applyFill="1" applyBorder="1" applyAlignment="1">
      <alignment horizontal="center" wrapText="1"/>
    </xf>
    <xf numFmtId="0" fontId="0" fillId="7" borderId="70" xfId="0" applyFill="1" applyBorder="1" applyAlignment="1">
      <alignment wrapText="1"/>
    </xf>
    <xf numFmtId="0" fontId="58" fillId="7" borderId="70" xfId="0" applyFont="1" applyFill="1" applyBorder="1" applyAlignment="1">
      <alignment horizontal="left" vertical="top" wrapText="1"/>
    </xf>
    <xf numFmtId="0" fontId="58" fillId="0" borderId="70" xfId="0" applyFont="1" applyBorder="1" applyAlignment="1">
      <alignment horizontal="left" vertical="top" wrapText="1"/>
    </xf>
    <xf numFmtId="49" fontId="58" fillId="7" borderId="70" xfId="0" applyNumberFormat="1" applyFont="1" applyFill="1" applyBorder="1" applyAlignment="1">
      <alignment horizontal="center" wrapText="1"/>
    </xf>
    <xf numFmtId="49" fontId="58" fillId="7" borderId="0" xfId="0" applyNumberFormat="1" applyFont="1" applyFill="1" applyAlignment="1">
      <alignment horizontal="center" wrapText="1"/>
    </xf>
    <xf numFmtId="0" fontId="58" fillId="11" borderId="70" xfId="0" applyFont="1" applyFill="1" applyBorder="1" applyAlignment="1">
      <alignment horizontal="left" vertical="top" wrapText="1"/>
    </xf>
    <xf numFmtId="49" fontId="0" fillId="11" borderId="70" xfId="0" applyNumberFormat="1" applyFill="1" applyBorder="1" applyAlignment="1">
      <alignment horizontal="center" vertical="top" wrapText="1"/>
    </xf>
    <xf numFmtId="49" fontId="58" fillId="11" borderId="70" xfId="0" applyNumberFormat="1" applyFont="1" applyFill="1" applyBorder="1" applyAlignment="1">
      <alignment horizontal="center" wrapText="1"/>
    </xf>
    <xf numFmtId="0" fontId="0" fillId="6" borderId="70" xfId="0" applyFill="1" applyBorder="1" applyAlignment="1">
      <alignment wrapText="1"/>
    </xf>
    <xf numFmtId="0" fontId="0" fillId="11" borderId="70" xfId="0" applyFill="1" applyBorder="1" applyAlignment="1">
      <alignment horizontal="left" vertical="top" wrapText="1"/>
    </xf>
    <xf numFmtId="49" fontId="0" fillId="11" borderId="70" xfId="0" applyNumberFormat="1" applyFill="1" applyBorder="1" applyAlignment="1">
      <alignment horizontal="center" wrapText="1"/>
    </xf>
    <xf numFmtId="0" fontId="58" fillId="7" borderId="70" xfId="0" applyFont="1" applyFill="1" applyBorder="1" applyAlignment="1">
      <alignment wrapText="1"/>
    </xf>
    <xf numFmtId="0" fontId="58" fillId="7" borderId="70" xfId="0" applyFont="1" applyFill="1" applyBorder="1" applyAlignment="1">
      <alignment horizontal="center"/>
    </xf>
    <xf numFmtId="0" fontId="47" fillId="7" borderId="70" xfId="0" applyFont="1" applyFill="1" applyBorder="1" applyAlignment="1">
      <alignment horizontal="left" vertical="top" wrapText="1"/>
    </xf>
    <xf numFmtId="0" fontId="47" fillId="12" borderId="70" xfId="0" applyFont="1" applyFill="1" applyBorder="1" applyAlignment="1">
      <alignment horizontal="left" vertical="top" wrapText="1"/>
    </xf>
    <xf numFmtId="49" fontId="0" fillId="12" borderId="70" xfId="0" applyNumberFormat="1" applyFill="1" applyBorder="1" applyAlignment="1">
      <alignment horizontal="center" vertical="top" wrapText="1"/>
    </xf>
    <xf numFmtId="49" fontId="0" fillId="12" borderId="70" xfId="0" applyNumberFormat="1" applyFill="1" applyBorder="1" applyAlignment="1">
      <alignment horizontal="center" wrapText="1"/>
    </xf>
    <xf numFmtId="49" fontId="0" fillId="0" borderId="70" xfId="0" applyNumberFormat="1" applyBorder="1" applyAlignment="1">
      <alignment horizontal="center" wrapText="1"/>
    </xf>
    <xf numFmtId="49" fontId="0" fillId="0" borderId="70" xfId="0" applyNumberFormat="1" applyBorder="1" applyAlignment="1">
      <alignment horizontal="center" vertical="top" wrapText="1"/>
    </xf>
    <xf numFmtId="0" fontId="58" fillId="0" borderId="70" xfId="0" applyFont="1" applyBorder="1" applyAlignment="1">
      <alignment wrapText="1"/>
    </xf>
    <xf numFmtId="0" fontId="58" fillId="11" borderId="70" xfId="0" applyFont="1" applyFill="1" applyBorder="1" applyAlignment="1">
      <alignment wrapText="1"/>
    </xf>
    <xf numFmtId="0" fontId="0" fillId="6" borderId="70" xfId="0" applyFill="1" applyBorder="1" applyAlignment="1">
      <alignment horizontal="left" vertical="top" wrapText="1"/>
    </xf>
    <xf numFmtId="49" fontId="0" fillId="9" borderId="70" xfId="0" applyNumberFormat="1" applyFill="1" applyBorder="1" applyAlignment="1">
      <alignment horizontal="center" wrapText="1"/>
    </xf>
    <xf numFmtId="0" fontId="0" fillId="12" borderId="70" xfId="0" applyFill="1" applyBorder="1" applyAlignment="1">
      <alignment horizontal="left" vertical="top" wrapText="1"/>
    </xf>
    <xf numFmtId="0" fontId="0" fillId="8" borderId="70" xfId="0" applyFill="1" applyBorder="1" applyAlignment="1">
      <alignment wrapText="1"/>
    </xf>
    <xf numFmtId="49" fontId="0" fillId="8" borderId="70" xfId="0" applyNumberFormat="1" applyFill="1" applyBorder="1" applyAlignment="1">
      <alignment horizontal="center" vertical="top" wrapText="1"/>
    </xf>
    <xf numFmtId="49" fontId="0" fillId="8" borderId="70" xfId="0" applyNumberFormat="1" applyFill="1" applyBorder="1" applyAlignment="1">
      <alignment horizontal="center" wrapText="1"/>
    </xf>
    <xf numFmtId="0" fontId="0" fillId="7" borderId="71" xfId="0" applyFill="1" applyBorder="1" applyAlignment="1">
      <alignment horizontal="left" vertical="top" wrapText="1"/>
    </xf>
    <xf numFmtId="0" fontId="0" fillId="0" borderId="71" xfId="0" applyBorder="1" applyAlignment="1">
      <alignment horizontal="left" vertical="top" wrapText="1"/>
    </xf>
    <xf numFmtId="49" fontId="0" fillId="7" borderId="72" xfId="0" applyNumberFormat="1" applyFill="1" applyBorder="1" applyAlignment="1">
      <alignment horizontal="center" vertical="top" wrapText="1"/>
    </xf>
    <xf numFmtId="49" fontId="0" fillId="7" borderId="71" xfId="0" applyNumberFormat="1" applyFill="1" applyBorder="1" applyAlignment="1">
      <alignment horizontal="center" wrapText="1"/>
    </xf>
    <xf numFmtId="0" fontId="0" fillId="7" borderId="70" xfId="0" applyFill="1" applyBorder="1" applyAlignment="1">
      <alignment horizontal="center" vertical="top"/>
    </xf>
    <xf numFmtId="0" fontId="59" fillId="7" borderId="70" xfId="0" applyFont="1" applyFill="1" applyBorder="1" applyAlignment="1">
      <alignment horizontal="left" vertical="top" wrapText="1"/>
    </xf>
    <xf numFmtId="0" fontId="0" fillId="7" borderId="70" xfId="0" applyFill="1" applyBorder="1"/>
    <xf numFmtId="0" fontId="0" fillId="6" borderId="70" xfId="0" applyFill="1" applyBorder="1"/>
    <xf numFmtId="0" fontId="58" fillId="7" borderId="70" xfId="0" applyFont="1" applyFill="1" applyBorder="1"/>
    <xf numFmtId="0" fontId="47" fillId="11" borderId="70" xfId="0" applyFont="1" applyFill="1" applyBorder="1" applyAlignment="1">
      <alignment horizontal="left" vertical="top" wrapText="1"/>
    </xf>
    <xf numFmtId="0" fontId="58" fillId="0" borderId="70" xfId="0" applyFont="1" applyBorder="1"/>
    <xf numFmtId="0" fontId="59" fillId="11" borderId="70" xfId="0" applyFont="1" applyFill="1" applyBorder="1" applyAlignment="1">
      <alignment horizontal="left" vertical="top" wrapText="1"/>
    </xf>
    <xf numFmtId="0" fontId="0" fillId="0" borderId="70" xfId="0" applyBorder="1"/>
    <xf numFmtId="0" fontId="59" fillId="12" borderId="70" xfId="0" applyFont="1" applyFill="1" applyBorder="1" applyAlignment="1">
      <alignment horizontal="left" vertical="top" wrapText="1"/>
    </xf>
    <xf numFmtId="0" fontId="0" fillId="12" borderId="70" xfId="0" applyFill="1" applyBorder="1"/>
    <xf numFmtId="0" fontId="59" fillId="0" borderId="70" xfId="0" applyFont="1" applyBorder="1" applyAlignment="1">
      <alignment horizontal="left" vertical="top" wrapText="1"/>
    </xf>
    <xf numFmtId="0" fontId="0" fillId="11" borderId="70" xfId="0" applyFill="1" applyBorder="1"/>
    <xf numFmtId="0" fontId="58" fillId="11" borderId="70" xfId="0" applyFont="1" applyFill="1" applyBorder="1"/>
    <xf numFmtId="0" fontId="59" fillId="8" borderId="70" xfId="0" applyFont="1" applyFill="1" applyBorder="1" applyAlignment="1">
      <alignment horizontal="left" vertical="top" wrapText="1"/>
    </xf>
    <xf numFmtId="0" fontId="0" fillId="8" borderId="70" xfId="0" applyFill="1" applyBorder="1"/>
    <xf numFmtId="0" fontId="59" fillId="7" borderId="71" xfId="0" applyFont="1" applyFill="1" applyBorder="1" applyAlignment="1">
      <alignment horizontal="left" vertical="top" wrapText="1"/>
    </xf>
    <xf numFmtId="0" fontId="0" fillId="13" borderId="70" xfId="0" applyFill="1" applyBorder="1" applyAlignment="1">
      <alignment horizontal="center"/>
    </xf>
    <xf numFmtId="0" fontId="0" fillId="13" borderId="70" xfId="0" applyFill="1" applyBorder="1"/>
    <xf numFmtId="0" fontId="0" fillId="0" borderId="70" xfId="0" applyBorder="1" applyAlignment="1">
      <alignment horizontal="right" wrapText="1"/>
    </xf>
    <xf numFmtId="0" fontId="0" fillId="13" borderId="70" xfId="0" applyFill="1" applyBorder="1" applyAlignment="1">
      <alignment horizontal="right" wrapText="1"/>
    </xf>
    <xf numFmtId="1" fontId="0" fillId="0" borderId="70" xfId="0" applyNumberFormat="1" applyBorder="1" applyAlignment="1">
      <alignment wrapText="1"/>
    </xf>
    <xf numFmtId="14" fontId="0" fillId="0" borderId="70" xfId="0" applyNumberFormat="1" applyBorder="1" applyAlignment="1">
      <alignment wrapText="1"/>
    </xf>
    <xf numFmtId="0" fontId="0" fillId="6" borderId="70" xfId="0" applyFill="1" applyBorder="1" applyAlignment="1">
      <alignment horizontal="center"/>
    </xf>
    <xf numFmtId="0" fontId="0" fillId="6" borderId="70" xfId="0" applyFill="1" applyBorder="1" applyAlignment="1">
      <alignment horizontal="right" wrapText="1"/>
    </xf>
    <xf numFmtId="0" fontId="0" fillId="7" borderId="70" xfId="0" applyFill="1" applyBorder="1" applyAlignment="1">
      <alignment horizontal="center"/>
    </xf>
    <xf numFmtId="14" fontId="0" fillId="7" borderId="70" xfId="0" applyNumberFormat="1" applyFill="1" applyBorder="1"/>
    <xf numFmtId="0" fontId="0" fillId="7" borderId="70" xfId="0" applyFill="1" applyBorder="1" applyAlignment="1">
      <alignment horizontal="right" wrapText="1"/>
    </xf>
    <xf numFmtId="14" fontId="0" fillId="13" borderId="70" xfId="0" applyNumberFormat="1" applyFill="1" applyBorder="1"/>
    <xf numFmtId="0" fontId="58" fillId="7" borderId="70" xfId="0" applyFont="1" applyFill="1" applyBorder="1" applyAlignment="1">
      <alignment horizontal="right" wrapText="1"/>
    </xf>
    <xf numFmtId="1" fontId="58" fillId="0" borderId="70" xfId="0" applyNumberFormat="1" applyFont="1" applyBorder="1" applyAlignment="1">
      <alignment wrapText="1"/>
    </xf>
    <xf numFmtId="14" fontId="58" fillId="0" borderId="70" xfId="0" applyNumberFormat="1" applyFont="1" applyBorder="1" applyAlignment="1">
      <alignment wrapText="1"/>
    </xf>
    <xf numFmtId="0" fontId="58" fillId="0" borderId="70" xfId="0" applyFont="1" applyBorder="1" applyAlignment="1">
      <alignment horizontal="right" wrapText="1"/>
    </xf>
    <xf numFmtId="14" fontId="0" fillId="6" borderId="70" xfId="0" applyNumberFormat="1" applyFill="1" applyBorder="1" applyAlignment="1">
      <alignment horizontal="right" wrapText="1"/>
    </xf>
    <xf numFmtId="14" fontId="58" fillId="0" borderId="0" xfId="0" applyNumberFormat="1" applyFont="1" applyAlignment="1">
      <alignment wrapText="1"/>
    </xf>
    <xf numFmtId="0" fontId="0" fillId="9" borderId="70" xfId="0" applyFill="1" applyBorder="1" applyAlignment="1">
      <alignment horizontal="center"/>
    </xf>
    <xf numFmtId="14" fontId="0" fillId="9" borderId="70" xfId="0" applyNumberFormat="1" applyFill="1" applyBorder="1"/>
    <xf numFmtId="0" fontId="0" fillId="9" borderId="70" xfId="0" applyFill="1" applyBorder="1"/>
    <xf numFmtId="0" fontId="58" fillId="9" borderId="70" xfId="0" applyFont="1" applyFill="1" applyBorder="1" applyAlignment="1">
      <alignment horizontal="right" wrapText="1"/>
    </xf>
    <xf numFmtId="0" fontId="0" fillId="0" borderId="70" xfId="0" applyBorder="1" applyAlignment="1">
      <alignment horizontal="center"/>
    </xf>
    <xf numFmtId="14" fontId="0" fillId="0" borderId="70" xfId="0" applyNumberFormat="1" applyBorder="1"/>
    <xf numFmtId="14" fontId="0" fillId="6" borderId="70" xfId="0" applyNumberFormat="1" applyFill="1" applyBorder="1"/>
    <xf numFmtId="14" fontId="0" fillId="7" borderId="70" xfId="0" applyNumberFormat="1" applyFill="1" applyBorder="1" applyAlignment="1">
      <alignment wrapText="1"/>
    </xf>
    <xf numFmtId="14" fontId="0" fillId="13" borderId="70" xfId="0" applyNumberFormat="1" applyFill="1" applyBorder="1" applyAlignment="1">
      <alignment wrapText="1"/>
    </xf>
    <xf numFmtId="14" fontId="58" fillId="7" borderId="70" xfId="0" applyNumberFormat="1" applyFont="1" applyFill="1" applyBorder="1" applyAlignment="1">
      <alignment wrapText="1"/>
    </xf>
    <xf numFmtId="14" fontId="58" fillId="13" borderId="70" xfId="0" applyNumberFormat="1" applyFont="1" applyFill="1" applyBorder="1" applyAlignment="1">
      <alignment wrapText="1"/>
    </xf>
    <xf numFmtId="0" fontId="0" fillId="9" borderId="70" xfId="0" applyFill="1" applyBorder="1" applyAlignment="1">
      <alignment horizontal="right" wrapText="1"/>
    </xf>
    <xf numFmtId="0" fontId="0" fillId="12" borderId="70" xfId="0" applyFill="1" applyBorder="1" applyAlignment="1">
      <alignment horizontal="center"/>
    </xf>
    <xf numFmtId="14" fontId="0" fillId="12" borderId="70" xfId="0" applyNumberFormat="1" applyFill="1" applyBorder="1"/>
    <xf numFmtId="0" fontId="0" fillId="12" borderId="70" xfId="0" applyFill="1" applyBorder="1" applyAlignment="1">
      <alignment horizontal="right" wrapText="1"/>
    </xf>
    <xf numFmtId="0" fontId="58" fillId="6" borderId="70" xfId="0" applyFont="1" applyFill="1" applyBorder="1" applyAlignment="1">
      <alignment horizontal="right" wrapText="1"/>
    </xf>
    <xf numFmtId="1" fontId="58" fillId="6" borderId="70" xfId="0" applyNumberFormat="1" applyFont="1" applyFill="1" applyBorder="1" applyAlignment="1">
      <alignment wrapText="1"/>
    </xf>
    <xf numFmtId="14" fontId="58" fillId="6" borderId="70" xfId="0" applyNumberFormat="1" applyFont="1" applyFill="1" applyBorder="1" applyAlignment="1">
      <alignment wrapText="1"/>
    </xf>
    <xf numFmtId="1" fontId="58" fillId="7" borderId="70" xfId="0" applyNumberFormat="1" applyFont="1" applyFill="1" applyBorder="1" applyAlignment="1">
      <alignment wrapText="1"/>
    </xf>
    <xf numFmtId="1" fontId="0" fillId="7" borderId="70" xfId="0" applyNumberFormat="1" applyFill="1" applyBorder="1" applyAlignment="1">
      <alignment wrapText="1"/>
    </xf>
    <xf numFmtId="14" fontId="0" fillId="7" borderId="70" xfId="0" applyNumberFormat="1" applyFill="1" applyBorder="1" applyAlignment="1">
      <alignment horizontal="right" wrapText="1"/>
    </xf>
    <xf numFmtId="17" fontId="0" fillId="7" borderId="70" xfId="0" applyNumberFormat="1" applyFill="1" applyBorder="1" applyAlignment="1">
      <alignment horizontal="right" wrapText="1"/>
    </xf>
    <xf numFmtId="17" fontId="0" fillId="13" borderId="70" xfId="0" applyNumberFormat="1" applyFill="1" applyBorder="1" applyAlignment="1">
      <alignment horizontal="right" wrapText="1"/>
    </xf>
    <xf numFmtId="1" fontId="0" fillId="6" borderId="70" xfId="0" applyNumberFormat="1" applyFill="1" applyBorder="1" applyAlignment="1">
      <alignment wrapText="1"/>
    </xf>
    <xf numFmtId="14" fontId="0" fillId="6" borderId="70" xfId="0" applyNumberFormat="1" applyFill="1" applyBorder="1" applyAlignment="1">
      <alignment wrapText="1"/>
    </xf>
    <xf numFmtId="1" fontId="60" fillId="6" borderId="70" xfId="0" applyNumberFormat="1" applyFont="1" applyFill="1" applyBorder="1" applyAlignment="1">
      <alignment wrapText="1"/>
    </xf>
    <xf numFmtId="14" fontId="60" fillId="6" borderId="70" xfId="0" applyNumberFormat="1" applyFont="1" applyFill="1" applyBorder="1" applyAlignment="1">
      <alignment wrapText="1"/>
    </xf>
    <xf numFmtId="0" fontId="0" fillId="7" borderId="71" xfId="0" applyFill="1" applyBorder="1" applyAlignment="1">
      <alignment horizontal="right" wrapText="1"/>
    </xf>
    <xf numFmtId="0" fontId="0" fillId="13" borderId="72" xfId="0" applyFill="1" applyBorder="1" applyAlignment="1">
      <alignment horizontal="right" wrapText="1"/>
    </xf>
    <xf numFmtId="0" fontId="0" fillId="9" borderId="72" xfId="0" applyFill="1" applyBorder="1" applyAlignment="1">
      <alignment horizontal="right" wrapText="1"/>
    </xf>
    <xf numFmtId="1" fontId="0" fillId="9" borderId="70" xfId="0" applyNumberFormat="1" applyFill="1" applyBorder="1" applyAlignment="1">
      <alignment wrapText="1"/>
    </xf>
    <xf numFmtId="0" fontId="58" fillId="0" borderId="0" xfId="0" applyFont="1"/>
    <xf numFmtId="0" fontId="61" fillId="7" borderId="70" xfId="0" applyFont="1" applyFill="1" applyBorder="1"/>
    <xf numFmtId="0" fontId="58" fillId="6" borderId="70" xfId="0" applyFont="1" applyFill="1" applyBorder="1"/>
    <xf numFmtId="49" fontId="58" fillId="0" borderId="70" xfId="0" applyNumberFormat="1" applyFont="1" applyBorder="1" applyAlignment="1">
      <alignment horizontal="center" wrapText="1"/>
    </xf>
    <xf numFmtId="49" fontId="0" fillId="0" borderId="72" xfId="0" applyNumberFormat="1" applyBorder="1" applyAlignment="1">
      <alignment horizontal="center" vertical="top" wrapText="1"/>
    </xf>
    <xf numFmtId="49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/>
    </xf>
    <xf numFmtId="49" fontId="45" fillId="0" borderId="70" xfId="0" applyNumberFormat="1" applyFont="1" applyBorder="1" applyAlignment="1">
      <alignment vertical="center" wrapText="1"/>
    </xf>
    <xf numFmtId="49" fontId="45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center" vertical="center" wrapText="1"/>
    </xf>
    <xf numFmtId="49" fontId="0" fillId="0" borderId="70" xfId="0" applyNumberFormat="1" applyBorder="1" applyAlignment="1">
      <alignment horizontal="center" vertical="center" wrapText="1"/>
    </xf>
    <xf numFmtId="49" fontId="58" fillId="0" borderId="70" xfId="0" applyNumberFormat="1" applyFont="1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1" fontId="58" fillId="0" borderId="70" xfId="0" applyNumberFormat="1" applyFont="1" applyBorder="1" applyAlignment="1">
      <alignment horizontal="center" vertical="center" wrapText="1"/>
    </xf>
    <xf numFmtId="14" fontId="58" fillId="0" borderId="70" xfId="0" applyNumberFormat="1" applyFont="1" applyBorder="1" applyAlignment="1">
      <alignment horizontal="center" vertical="center" wrapText="1"/>
    </xf>
    <xf numFmtId="0" fontId="58" fillId="0" borderId="70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0" fillId="0" borderId="74" xfId="0" applyBorder="1" applyAlignment="1">
      <alignment horizontal="left" vertical="top" wrapText="1"/>
    </xf>
    <xf numFmtId="0" fontId="0" fillId="0" borderId="74" xfId="0" applyBorder="1" applyAlignment="1">
      <alignment horizontal="right" wrapText="1"/>
    </xf>
    <xf numFmtId="49" fontId="0" fillId="0" borderId="70" xfId="0" applyNumberFormat="1" applyBorder="1" applyAlignment="1">
      <alignment vertical="center" wrapText="1"/>
    </xf>
    <xf numFmtId="0" fontId="62" fillId="0" borderId="70" xfId="0" applyFont="1" applyBorder="1" applyAlignment="1">
      <alignment wrapText="1"/>
    </xf>
    <xf numFmtId="14" fontId="0" fillId="0" borderId="0" xfId="0" applyNumberFormat="1"/>
    <xf numFmtId="0" fontId="0" fillId="0" borderId="70" xfId="0" applyBorder="1" applyAlignment="1">
      <alignment horizontal="center" wrapText="1"/>
    </xf>
    <xf numFmtId="0" fontId="62" fillId="0" borderId="70" xfId="0" applyFont="1" applyBorder="1" applyAlignment="1">
      <alignment horizontal="left" vertical="top" wrapText="1"/>
    </xf>
    <xf numFmtId="49" fontId="62" fillId="0" borderId="70" xfId="0" applyNumberFormat="1" applyFont="1" applyBorder="1" applyAlignment="1">
      <alignment horizontal="center" vertical="top" wrapText="1"/>
    </xf>
    <xf numFmtId="0" fontId="47" fillId="0" borderId="70" xfId="0" applyFont="1" applyBorder="1" applyAlignment="1">
      <alignment horizontal="left" vertical="top" wrapText="1"/>
    </xf>
    <xf numFmtId="49" fontId="47" fillId="0" borderId="70" xfId="0" applyNumberFormat="1" applyFont="1" applyBorder="1" applyAlignment="1">
      <alignment horizontal="center" vertical="top" wrapText="1"/>
    </xf>
    <xf numFmtId="0" fontId="63" fillId="0" borderId="70" xfId="2" applyFont="1" applyBorder="1" applyAlignment="1">
      <alignment horizontal="right" vertical="top" wrapText="1"/>
    </xf>
    <xf numFmtId="0" fontId="64" fillId="0" borderId="70" xfId="0" applyFont="1" applyBorder="1" applyAlignment="1">
      <alignment wrapText="1"/>
    </xf>
    <xf numFmtId="0" fontId="65" fillId="0" borderId="70" xfId="2" applyFont="1" applyBorder="1" applyAlignment="1">
      <alignment vertical="top" wrapText="1"/>
    </xf>
    <xf numFmtId="49" fontId="65" fillId="0" borderId="70" xfId="2" applyNumberFormat="1" applyFont="1" applyBorder="1" applyAlignment="1">
      <alignment horizontal="center" vertical="top" wrapText="1"/>
    </xf>
    <xf numFmtId="49" fontId="66" fillId="0" borderId="70" xfId="2" applyNumberFormat="1" applyFont="1" applyBorder="1" applyAlignment="1">
      <alignment horizontal="center" vertical="top" wrapText="1"/>
    </xf>
    <xf numFmtId="0" fontId="67" fillId="0" borderId="70" xfId="0" applyFont="1" applyBorder="1"/>
    <xf numFmtId="0" fontId="67" fillId="0" borderId="70" xfId="0" applyFont="1" applyBorder="1" applyAlignment="1">
      <alignment horizontal="center"/>
    </xf>
    <xf numFmtId="0" fontId="66" fillId="0" borderId="70" xfId="2" applyFont="1" applyBorder="1" applyAlignment="1">
      <alignment horizontal="right" vertical="top" wrapText="1"/>
    </xf>
    <xf numFmtId="1" fontId="67" fillId="0" borderId="70" xfId="0" applyNumberFormat="1" applyFont="1" applyBorder="1" applyAlignment="1">
      <alignment wrapText="1"/>
    </xf>
    <xf numFmtId="14" fontId="67" fillId="0" borderId="70" xfId="0" applyNumberFormat="1" applyFont="1" applyBorder="1" applyAlignment="1">
      <alignment wrapText="1"/>
    </xf>
    <xf numFmtId="0" fontId="67" fillId="0" borderId="70" xfId="0" applyFont="1" applyBorder="1" applyAlignment="1">
      <alignment horizontal="center" wrapText="1"/>
    </xf>
    <xf numFmtId="0" fontId="67" fillId="0" borderId="70" xfId="0" applyFont="1" applyBorder="1" applyAlignment="1">
      <alignment wrapText="1"/>
    </xf>
    <xf numFmtId="49" fontId="63" fillId="0" borderId="70" xfId="2" applyNumberFormat="1" applyFont="1" applyBorder="1" applyAlignment="1">
      <alignment horizontal="center" vertical="top" wrapText="1"/>
    </xf>
    <xf numFmtId="0" fontId="0" fillId="0" borderId="71" xfId="0" applyBorder="1" applyAlignment="1">
      <alignment wrapText="1"/>
    </xf>
    <xf numFmtId="49" fontId="0" fillId="0" borderId="71" xfId="0" applyNumberFormat="1" applyBorder="1" applyAlignment="1">
      <alignment horizontal="center" wrapText="1"/>
    </xf>
    <xf numFmtId="0" fontId="0" fillId="0" borderId="71" xfId="0" applyBorder="1" applyAlignment="1">
      <alignment horizontal="center"/>
    </xf>
    <xf numFmtId="14" fontId="0" fillId="0" borderId="71" xfId="0" applyNumberFormat="1" applyBorder="1"/>
    <xf numFmtId="0" fontId="0" fillId="0" borderId="71" xfId="0" applyBorder="1" applyAlignment="1">
      <alignment horizontal="right" wrapText="1"/>
    </xf>
    <xf numFmtId="49" fontId="0" fillId="0" borderId="70" xfId="0" applyNumberFormat="1" applyBorder="1" applyAlignment="1">
      <alignment vertical="top" wrapText="1"/>
    </xf>
    <xf numFmtId="14" fontId="0" fillId="0" borderId="70" xfId="0" applyNumberFormat="1" applyBorder="1" applyAlignment="1">
      <alignment horizontal="center"/>
    </xf>
    <xf numFmtId="1" fontId="0" fillId="0" borderId="70" xfId="0" applyNumberFormat="1" applyBorder="1" applyAlignment="1">
      <alignment horizontal="left" vertical="top" wrapText="1"/>
    </xf>
    <xf numFmtId="49" fontId="0" fillId="0" borderId="74" xfId="0" applyNumberFormat="1" applyBorder="1" applyAlignment="1">
      <alignment horizontal="center" vertical="top" wrapText="1"/>
    </xf>
    <xf numFmtId="0" fontId="0" fillId="0" borderId="74" xfId="0" applyBorder="1" applyAlignment="1">
      <alignment horizontal="center"/>
    </xf>
    <xf numFmtId="14" fontId="0" fillId="0" borderId="74" xfId="0" applyNumberFormat="1" applyBorder="1"/>
    <xf numFmtId="0" fontId="0" fillId="0" borderId="74" xfId="0" applyBorder="1"/>
    <xf numFmtId="49" fontId="0" fillId="0" borderId="71" xfId="0" applyNumberFormat="1" applyBorder="1" applyAlignment="1">
      <alignment horizontal="center" vertical="top" wrapText="1"/>
    </xf>
    <xf numFmtId="0" fontId="0" fillId="0" borderId="71" xfId="0" applyBorder="1"/>
    <xf numFmtId="49" fontId="0" fillId="0" borderId="70" xfId="0" applyNumberFormat="1" applyBorder="1" applyAlignment="1">
      <alignment wrapText="1"/>
    </xf>
    <xf numFmtId="49" fontId="0" fillId="0" borderId="74" xfId="0" applyNumberFormat="1" applyBorder="1" applyAlignment="1">
      <alignment horizontal="center" wrapText="1"/>
    </xf>
    <xf numFmtId="49" fontId="0" fillId="0" borderId="72" xfId="0" applyNumberFormat="1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47" fillId="0" borderId="70" xfId="0" applyFont="1" applyBorder="1" applyAlignment="1">
      <alignment wrapText="1"/>
    </xf>
    <xf numFmtId="0" fontId="0" fillId="0" borderId="72" xfId="0" applyBorder="1" applyAlignment="1">
      <alignment horizontal="left" vertical="top" wrapText="1"/>
    </xf>
    <xf numFmtId="49" fontId="47" fillId="0" borderId="70" xfId="2" applyNumberFormat="1" applyFont="1" applyBorder="1" applyAlignment="1">
      <alignment vertical="top" wrapText="1"/>
    </xf>
    <xf numFmtId="49" fontId="58" fillId="0" borderId="70" xfId="0" applyNumberFormat="1" applyFont="1" applyBorder="1" applyAlignment="1">
      <alignment horizontal="center"/>
    </xf>
    <xf numFmtId="0" fontId="0" fillId="0" borderId="70" xfId="0" applyBorder="1" applyAlignment="1">
      <alignment horizontal="right"/>
    </xf>
    <xf numFmtId="165" fontId="63" fillId="0" borderId="70" xfId="2" applyNumberFormat="1" applyFont="1" applyBorder="1" applyAlignment="1">
      <alignment horizontal="center" vertical="top" wrapText="1"/>
    </xf>
    <xf numFmtId="165" fontId="63" fillId="0" borderId="70" xfId="2" applyNumberFormat="1" applyFont="1" applyBorder="1" applyAlignment="1">
      <alignment vertical="top" wrapText="1"/>
    </xf>
    <xf numFmtId="0" fontId="47" fillId="0" borderId="70" xfId="2" applyFont="1" applyBorder="1" applyAlignment="1">
      <alignment horizontal="right" vertical="top" wrapText="1"/>
    </xf>
    <xf numFmtId="14" fontId="58" fillId="0" borderId="70" xfId="0" applyNumberFormat="1" applyFont="1" applyBorder="1"/>
    <xf numFmtId="14" fontId="58" fillId="0" borderId="70" xfId="0" applyNumberFormat="1" applyFont="1" applyBorder="1" applyAlignment="1">
      <alignment horizontal="center"/>
    </xf>
    <xf numFmtId="14" fontId="0" fillId="0" borderId="70" xfId="0" applyNumberFormat="1" applyBorder="1" applyAlignment="1">
      <alignment horizontal="left" vertical="center" wrapText="1"/>
    </xf>
    <xf numFmtId="14" fontId="0" fillId="0" borderId="70" xfId="0" applyNumberFormat="1" applyBorder="1" applyAlignment="1">
      <alignment horizontal="center" vertical="center" wrapText="1"/>
    </xf>
    <xf numFmtId="0" fontId="0" fillId="0" borderId="70" xfId="0" applyBorder="1" applyAlignment="1">
      <alignment horizontal="left" vertical="center" wrapText="1"/>
    </xf>
    <xf numFmtId="0" fontId="0" fillId="0" borderId="70" xfId="0" applyBorder="1" applyAlignment="1">
      <alignment horizontal="center" vertical="top" wrapText="1"/>
    </xf>
    <xf numFmtId="0" fontId="0" fillId="0" borderId="70" xfId="0" applyBorder="1" applyAlignment="1">
      <alignment horizontal="left"/>
    </xf>
    <xf numFmtId="0" fontId="0" fillId="0" borderId="0" xfId="0" applyAlignment="1">
      <alignment horizontal="left"/>
    </xf>
    <xf numFmtId="0" fontId="67" fillId="0" borderId="70" xfId="0" applyFont="1" applyBorder="1" applyAlignment="1">
      <alignment horizontal="left" vertical="top" wrapText="1"/>
    </xf>
    <xf numFmtId="14" fontId="0" fillId="0" borderId="70" xfId="0" applyNumberFormat="1" applyBorder="1" applyAlignment="1">
      <alignment horizontal="left"/>
    </xf>
    <xf numFmtId="49" fontId="0" fillId="0" borderId="70" xfId="0" applyNumberFormat="1" applyBorder="1" applyAlignment="1">
      <alignment horizontal="left"/>
    </xf>
    <xf numFmtId="49" fontId="0" fillId="0" borderId="70" xfId="0" applyNumberFormat="1" applyBorder="1" applyAlignment="1">
      <alignment horizontal="center"/>
    </xf>
    <xf numFmtId="0" fontId="0" fillId="0" borderId="70" xfId="0" applyBorder="1" applyAlignment="1">
      <alignment horizontal="right" vertical="top" wrapText="1"/>
    </xf>
    <xf numFmtId="14" fontId="0" fillId="0" borderId="70" xfId="0" applyNumberFormat="1" applyBorder="1" applyAlignment="1">
      <alignment horizontal="center" vertical="top" wrapText="1"/>
    </xf>
    <xf numFmtId="0" fontId="0" fillId="0" borderId="72" xfId="0" applyBorder="1"/>
    <xf numFmtId="0" fontId="0" fillId="0" borderId="73" xfId="0" applyBorder="1" applyAlignment="1">
      <alignment vertical="top" wrapText="1"/>
    </xf>
    <xf numFmtId="0" fontId="0" fillId="0" borderId="72" xfId="0" applyBorder="1" applyAlignment="1">
      <alignment wrapText="1"/>
    </xf>
    <xf numFmtId="0" fontId="0" fillId="0" borderId="72" xfId="0" applyBorder="1" applyAlignment="1">
      <alignment horizontal="right" wrapText="1"/>
    </xf>
    <xf numFmtId="0" fontId="0" fillId="0" borderId="74" xfId="0" applyBorder="1" applyAlignment="1">
      <alignment wrapText="1"/>
    </xf>
    <xf numFmtId="1" fontId="0" fillId="0" borderId="72" xfId="0" applyNumberFormat="1" applyBorder="1" applyAlignment="1">
      <alignment wrapText="1"/>
    </xf>
    <xf numFmtId="1" fontId="58" fillId="0" borderId="72" xfId="0" applyNumberFormat="1" applyFont="1" applyBorder="1" applyAlignment="1">
      <alignment wrapText="1"/>
    </xf>
    <xf numFmtId="0" fontId="0" fillId="0" borderId="74" xfId="0" applyBorder="1" applyAlignment="1">
      <alignment horizontal="left"/>
    </xf>
    <xf numFmtId="0" fontId="0" fillId="0" borderId="74" xfId="0" applyBorder="1" applyAlignment="1">
      <alignment horizontal="right"/>
    </xf>
    <xf numFmtId="49" fontId="58" fillId="0" borderId="70" xfId="0" applyNumberFormat="1" applyFont="1" applyBorder="1" applyAlignment="1">
      <alignment horizontal="center" vertical="top" wrapText="1"/>
    </xf>
    <xf numFmtId="0" fontId="58" fillId="0" borderId="70" xfId="0" applyFont="1" applyBorder="1" applyAlignment="1">
      <alignment horizontal="left"/>
    </xf>
    <xf numFmtId="0" fontId="58" fillId="0" borderId="70" xfId="0" applyFont="1" applyBorder="1" applyAlignment="1">
      <alignment horizontal="right"/>
    </xf>
    <xf numFmtId="0" fontId="58" fillId="0" borderId="0" xfId="0" applyFont="1" applyAlignment="1">
      <alignment horizontal="left"/>
    </xf>
    <xf numFmtId="0" fontId="0" fillId="0" borderId="74" xfId="0" applyBorder="1" applyAlignment="1">
      <alignment horizontal="center" vertical="top" wrapText="1"/>
    </xf>
    <xf numFmtId="14" fontId="0" fillId="0" borderId="74" xfId="0" applyNumberFormat="1" applyBorder="1" applyAlignment="1">
      <alignment horizontal="center" vertical="top" wrapText="1"/>
    </xf>
    <xf numFmtId="0" fontId="0" fillId="0" borderId="71" xfId="0" applyBorder="1" applyAlignment="1">
      <alignment horizontal="center" vertical="top" wrapText="1"/>
    </xf>
    <xf numFmtId="14" fontId="0" fillId="0" borderId="71" xfId="0" applyNumberFormat="1" applyBorder="1" applyAlignment="1">
      <alignment horizontal="center" vertical="top" wrapText="1"/>
    </xf>
    <xf numFmtId="0" fontId="0" fillId="0" borderId="71" xfId="0" applyBorder="1" applyAlignment="1">
      <alignment horizontal="right"/>
    </xf>
    <xf numFmtId="0" fontId="0" fillId="0" borderId="75" xfId="0" applyBorder="1" applyAlignment="1">
      <alignment horizontal="center" vertical="top" wrapText="1"/>
    </xf>
    <xf numFmtId="0" fontId="58" fillId="0" borderId="75" xfId="0" applyFont="1" applyBorder="1" applyAlignment="1">
      <alignment wrapText="1"/>
    </xf>
    <xf numFmtId="49" fontId="58" fillId="0" borderId="75" xfId="0" applyNumberFormat="1" applyFont="1" applyBorder="1" applyAlignment="1">
      <alignment horizontal="center" wrapText="1"/>
    </xf>
    <xf numFmtId="0" fontId="58" fillId="0" borderId="75" xfId="0" applyFont="1" applyBorder="1"/>
    <xf numFmtId="0" fontId="58" fillId="0" borderId="75" xfId="0" applyFont="1" applyBorder="1" applyAlignment="1">
      <alignment horizontal="right" wrapText="1"/>
    </xf>
    <xf numFmtId="0" fontId="0" fillId="0" borderId="72" xfId="0" applyBorder="1" applyAlignment="1">
      <alignment horizontal="right"/>
    </xf>
    <xf numFmtId="0" fontId="58" fillId="0" borderId="74" xfId="0" applyFont="1" applyBorder="1" applyAlignment="1">
      <alignment wrapText="1"/>
    </xf>
    <xf numFmtId="49" fontId="58" fillId="0" borderId="74" xfId="0" applyNumberFormat="1" applyFont="1" applyBorder="1" applyAlignment="1">
      <alignment horizontal="center" wrapText="1"/>
    </xf>
    <xf numFmtId="0" fontId="58" fillId="0" borderId="74" xfId="0" applyFont="1" applyBorder="1"/>
    <xf numFmtId="0" fontId="58" fillId="0" borderId="74" xfId="0" applyFont="1" applyBorder="1" applyAlignment="1">
      <alignment horizontal="right" wrapText="1"/>
    </xf>
    <xf numFmtId="0" fontId="0" fillId="0" borderId="0" xfId="0" applyAlignment="1">
      <alignment horizontal="right" wrapText="1"/>
    </xf>
    <xf numFmtId="49" fontId="67" fillId="0" borderId="70" xfId="0" applyNumberFormat="1" applyFont="1" applyBorder="1" applyAlignment="1">
      <alignment horizontal="center" wrapText="1"/>
    </xf>
    <xf numFmtId="49" fontId="67" fillId="0" borderId="70" xfId="0" applyNumberFormat="1" applyFont="1" applyBorder="1" applyAlignment="1">
      <alignment horizontal="center" vertical="top" wrapText="1"/>
    </xf>
    <xf numFmtId="0" fontId="67" fillId="0" borderId="71" xfId="0" applyFont="1" applyBorder="1" applyAlignment="1">
      <alignment horizontal="left" vertical="top" wrapText="1"/>
    </xf>
    <xf numFmtId="49" fontId="67" fillId="0" borderId="71" xfId="0" applyNumberFormat="1" applyFont="1" applyBorder="1" applyAlignment="1">
      <alignment horizontal="center" wrapText="1"/>
    </xf>
    <xf numFmtId="165" fontId="0" fillId="0" borderId="70" xfId="0" applyNumberFormat="1" applyBorder="1" applyAlignment="1">
      <alignment horizontal="center" vertical="top" wrapText="1"/>
    </xf>
    <xf numFmtId="14" fontId="0" fillId="0" borderId="0" xfId="0" applyNumberFormat="1" applyAlignment="1">
      <alignment horizontal="center" vertical="center" wrapText="1"/>
    </xf>
    <xf numFmtId="0" fontId="68" fillId="0" borderId="70" xfId="0" applyFont="1" applyBorder="1" applyAlignment="1">
      <alignment horizontal="right" vertical="top" wrapText="1"/>
    </xf>
    <xf numFmtId="0" fontId="69" fillId="0" borderId="70" xfId="0" applyFont="1" applyBorder="1" applyAlignment="1">
      <alignment horizontal="right" vertical="top" wrapText="1"/>
    </xf>
    <xf numFmtId="14" fontId="62" fillId="0" borderId="0" xfId="6" applyNumberFormat="1" applyFont="1" applyFill="1"/>
    <xf numFmtId="49" fontId="0" fillId="0" borderId="73" xfId="0" applyNumberFormat="1" applyBorder="1" applyAlignment="1">
      <alignment vertical="top" wrapText="1"/>
    </xf>
    <xf numFmtId="49" fontId="0" fillId="0" borderId="71" xfId="0" applyNumberFormat="1" applyBorder="1" applyAlignment="1">
      <alignment horizontal="center"/>
    </xf>
    <xf numFmtId="0" fontId="0" fillId="0" borderId="71" xfId="0" applyBorder="1" applyAlignment="1">
      <alignment horizontal="right" vertical="top" wrapText="1"/>
    </xf>
    <xf numFmtId="49" fontId="0" fillId="0" borderId="72" xfId="0" applyNumberFormat="1" applyBorder="1" applyAlignment="1">
      <alignment horizontal="center"/>
    </xf>
    <xf numFmtId="0" fontId="58" fillId="0" borderId="70" xfId="0" applyFont="1" applyBorder="1" applyAlignment="1">
      <alignment vertical="top" wrapText="1"/>
    </xf>
    <xf numFmtId="0" fontId="0" fillId="0" borderId="72" xfId="0" applyBorder="1" applyAlignment="1">
      <alignment horizontal="right" vertical="top" wrapText="1"/>
    </xf>
    <xf numFmtId="0" fontId="0" fillId="0" borderId="74" xfId="0" applyBorder="1" applyAlignment="1">
      <alignment horizontal="right" vertical="top" wrapText="1"/>
    </xf>
    <xf numFmtId="49" fontId="0" fillId="0" borderId="76" xfId="0" applyNumberFormat="1" applyBorder="1" applyAlignment="1">
      <alignment horizontal="center" vertical="top" wrapText="1"/>
    </xf>
    <xf numFmtId="0" fontId="0" fillId="0" borderId="0" xfId="0" applyAlignment="1">
      <alignment wrapText="1"/>
    </xf>
    <xf numFmtId="0" fontId="58" fillId="0" borderId="77" xfId="0" applyFont="1" applyBorder="1" applyAlignment="1">
      <alignment horizontal="left" vertical="top" wrapText="1"/>
    </xf>
    <xf numFmtId="49" fontId="0" fillId="0" borderId="77" xfId="0" applyNumberFormat="1" applyBorder="1" applyAlignment="1">
      <alignment horizontal="center" vertical="top" wrapText="1"/>
    </xf>
    <xf numFmtId="0" fontId="0" fillId="0" borderId="77" xfId="0" applyBorder="1" applyAlignment="1">
      <alignment horizontal="left" vertical="top" wrapText="1"/>
    </xf>
    <xf numFmtId="0" fontId="0" fillId="0" borderId="78" xfId="0" applyBorder="1" applyAlignment="1">
      <alignment horizontal="left" vertical="top" wrapText="1"/>
    </xf>
    <xf numFmtId="0" fontId="58" fillId="0" borderId="79" xfId="0" applyFont="1" applyBorder="1" applyAlignment="1">
      <alignment horizontal="left" vertical="top" wrapText="1"/>
    </xf>
    <xf numFmtId="0" fontId="0" fillId="0" borderId="79" xfId="0" applyBorder="1" applyAlignment="1">
      <alignment horizontal="left" vertical="top" wrapText="1"/>
    </xf>
    <xf numFmtId="0" fontId="47" fillId="0" borderId="0" xfId="0" applyFont="1" applyAlignment="1">
      <alignment horizontal="left" vertical="top" wrapText="1"/>
    </xf>
    <xf numFmtId="0" fontId="0" fillId="0" borderId="80" xfId="0" applyBorder="1" applyAlignment="1">
      <alignment horizontal="left" vertical="top" wrapText="1"/>
    </xf>
    <xf numFmtId="49" fontId="0" fillId="0" borderId="80" xfId="0" applyNumberFormat="1" applyBorder="1" applyAlignment="1">
      <alignment horizontal="left" vertical="top" wrapText="1"/>
    </xf>
    <xf numFmtId="49" fontId="0" fillId="0" borderId="80" xfId="0" applyNumberFormat="1" applyBorder="1" applyAlignment="1">
      <alignment horizontal="center" vertical="top" wrapText="1"/>
    </xf>
    <xf numFmtId="49" fontId="0" fillId="0" borderId="0" xfId="0" applyNumberFormat="1" applyAlignment="1">
      <alignment horizontal="center"/>
    </xf>
    <xf numFmtId="0" fontId="57" fillId="0" borderId="80" xfId="5" applyNumberFormat="1" applyFill="1" applyBorder="1" applyAlignment="1">
      <alignment horizontal="left" vertical="top" wrapText="1"/>
    </xf>
    <xf numFmtId="0" fontId="0" fillId="0" borderId="75" xfId="0" applyBorder="1" applyAlignment="1">
      <alignment wrapText="1"/>
    </xf>
    <xf numFmtId="0" fontId="0" fillId="0" borderId="75" xfId="0" applyBorder="1"/>
    <xf numFmtId="165" fontId="0" fillId="0" borderId="75" xfId="0" applyNumberFormat="1" applyBorder="1" applyAlignment="1">
      <alignment horizontal="center" vertical="top" wrapText="1"/>
    </xf>
    <xf numFmtId="0" fontId="0" fillId="0" borderId="75" xfId="0" applyBorder="1" applyAlignment="1">
      <alignment horizontal="right"/>
    </xf>
    <xf numFmtId="0" fontId="71" fillId="0" borderId="70" xfId="0" applyFont="1" applyBorder="1" applyAlignment="1">
      <alignment horizontal="left" vertical="center" wrapText="1"/>
    </xf>
    <xf numFmtId="0" fontId="72" fillId="0" borderId="70" xfId="0" applyFont="1" applyBorder="1" applyAlignment="1">
      <alignment horizontal="left" vertical="center" wrapText="1"/>
    </xf>
    <xf numFmtId="49" fontId="0" fillId="0" borderId="70" xfId="0" applyNumberFormat="1" applyBorder="1" applyAlignment="1">
      <alignment horizontal="right" vertical="top" wrapText="1"/>
    </xf>
    <xf numFmtId="0" fontId="0" fillId="0" borderId="0" xfId="0" applyAlignment="1">
      <alignment horizontal="center" vertical="center"/>
    </xf>
    <xf numFmtId="49" fontId="0" fillId="0" borderId="70" xfId="0" applyNumberFormat="1" applyBorder="1"/>
    <xf numFmtId="49" fontId="0" fillId="0" borderId="70" xfId="0" applyNumberFormat="1" applyBorder="1" applyAlignment="1">
      <alignment horizontal="right" wrapText="1"/>
    </xf>
    <xf numFmtId="0" fontId="73" fillId="0" borderId="70" xfId="0" applyFont="1" applyBorder="1" applyAlignment="1">
      <alignment wrapText="1"/>
    </xf>
    <xf numFmtId="14" fontId="0" fillId="0" borderId="70" xfId="0" applyNumberFormat="1" applyBorder="1" applyAlignment="1">
      <alignment horizontal="right" wrapText="1"/>
    </xf>
    <xf numFmtId="0" fontId="47" fillId="0" borderId="0" xfId="2" applyFont="1" applyAlignment="1">
      <alignment vertical="top" wrapText="1"/>
    </xf>
    <xf numFmtId="49" fontId="47" fillId="0" borderId="0" xfId="2" applyNumberFormat="1" applyFont="1" applyAlignment="1">
      <alignment horizontal="center" vertical="top" wrapText="1"/>
    </xf>
    <xf numFmtId="0" fontId="47" fillId="0" borderId="0" xfId="2" applyFont="1" applyAlignment="1">
      <alignment horizontal="right" vertical="top" wrapText="1"/>
    </xf>
    <xf numFmtId="14" fontId="58" fillId="0" borderId="0" xfId="0" applyNumberFormat="1" applyFont="1"/>
    <xf numFmtId="0" fontId="62" fillId="0" borderId="0" xfId="0" applyFont="1" applyAlignment="1">
      <alignment wrapText="1"/>
    </xf>
    <xf numFmtId="14" fontId="58" fillId="0" borderId="0" xfId="0" applyNumberFormat="1" applyFont="1" applyAlignment="1">
      <alignment horizontal="center"/>
    </xf>
    <xf numFmtId="49" fontId="15" fillId="0" borderId="0" xfId="0" applyNumberFormat="1" applyFont="1" applyAlignment="1">
      <alignment horizontal="right" wrapText="1"/>
    </xf>
    <xf numFmtId="49" fontId="47" fillId="0" borderId="0" xfId="2" applyNumberFormat="1" applyFont="1" applyAlignment="1">
      <alignment horizontal="right" vertical="top" wrapText="1"/>
    </xf>
    <xf numFmtId="49" fontId="47" fillId="0" borderId="0" xfId="2" applyNumberFormat="1" applyFont="1" applyAlignment="1">
      <alignment horizontal="left" vertical="top" wrapText="1"/>
    </xf>
    <xf numFmtId="49" fontId="54" fillId="0" borderId="0" xfId="0" applyNumberFormat="1" applyFont="1" applyAlignment="1">
      <alignment horizontal="right" vertical="center" wrapText="1"/>
    </xf>
    <xf numFmtId="49" fontId="45" fillId="14" borderId="0" xfId="0" applyNumberFormat="1" applyFont="1" applyFill="1" applyAlignment="1">
      <alignment vertical="center" wrapText="1"/>
    </xf>
    <xf numFmtId="1" fontId="45" fillId="0" borderId="0" xfId="0" applyNumberFormat="1" applyFont="1" applyAlignment="1">
      <alignment vertical="center" wrapText="1"/>
    </xf>
    <xf numFmtId="49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" fontId="24" fillId="0" borderId="0" xfId="0" applyNumberFormat="1" applyFont="1" applyAlignment="1">
      <alignment horizontal="center" vertical="center" wrapText="1"/>
    </xf>
    <xf numFmtId="49" fontId="17" fillId="0" borderId="0" xfId="0" applyNumberFormat="1" applyFont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 wrapText="1"/>
    </xf>
    <xf numFmtId="49" fontId="41" fillId="0" borderId="0" xfId="0" applyNumberFormat="1" applyFont="1" applyAlignment="1">
      <alignment vertical="center" wrapText="1"/>
    </xf>
    <xf numFmtId="49" fontId="26" fillId="0" borderId="0" xfId="0" applyNumberFormat="1" applyFont="1" applyAlignment="1">
      <alignment vertical="center" wrapText="1"/>
    </xf>
    <xf numFmtId="49" fontId="41" fillId="0" borderId="0" xfId="0" applyNumberFormat="1" applyFont="1" applyAlignment="1">
      <alignment horizontal="right" vertical="center" wrapText="1"/>
    </xf>
    <xf numFmtId="49" fontId="23" fillId="0" borderId="0" xfId="0" applyNumberFormat="1" applyFont="1" applyAlignment="1">
      <alignment horizontal="right" vertical="center" wrapText="1"/>
    </xf>
    <xf numFmtId="49" fontId="41" fillId="0" borderId="0" xfId="0" applyNumberFormat="1" applyFont="1" applyAlignment="1">
      <alignment horizontal="left" vertical="center" wrapText="1"/>
    </xf>
    <xf numFmtId="49" fontId="45" fillId="14" borderId="0" xfId="0" applyNumberFormat="1" applyFont="1" applyFill="1" applyAlignment="1">
      <alignment horizontal="right" vertical="center" wrapText="1"/>
    </xf>
    <xf numFmtId="49" fontId="22" fillId="0" borderId="0" xfId="0" applyNumberFormat="1" applyFont="1" applyAlignment="1">
      <alignment horizontal="right" vertical="center" wrapText="1"/>
    </xf>
    <xf numFmtId="49" fontId="29" fillId="0" borderId="0" xfId="0" applyNumberFormat="1" applyFont="1" applyAlignment="1">
      <alignment vertical="center" wrapText="1"/>
    </xf>
    <xf numFmtId="49" fontId="29" fillId="0" borderId="0" xfId="0" applyNumberFormat="1" applyFont="1" applyAlignment="1">
      <alignment horizontal="right" vertical="center" wrapText="1"/>
    </xf>
    <xf numFmtId="49" fontId="29" fillId="0" borderId="0" xfId="0" applyNumberFormat="1" applyFont="1" applyAlignment="1">
      <alignment horizontal="left" vertical="center" wrapText="1"/>
    </xf>
    <xf numFmtId="49" fontId="40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right" vertical="center" wrapText="1"/>
    </xf>
    <xf numFmtId="49" fontId="20" fillId="0" borderId="0" xfId="0" applyNumberFormat="1" applyFont="1" applyAlignment="1">
      <alignment horizontal="right" vertical="center" wrapText="1"/>
    </xf>
    <xf numFmtId="49" fontId="14" fillId="0" borderId="0" xfId="0" applyNumberFormat="1" applyFont="1" applyAlignment="1">
      <alignment horizontal="right" wrapText="1"/>
    </xf>
    <xf numFmtId="49" fontId="44" fillId="0" borderId="0" xfId="0" applyNumberFormat="1" applyFont="1" applyAlignment="1">
      <alignment vertical="center" wrapText="1"/>
    </xf>
    <xf numFmtId="49" fontId="31" fillId="0" borderId="0" xfId="0" applyNumberFormat="1" applyFont="1" applyAlignment="1">
      <alignment vertical="center" wrapText="1"/>
    </xf>
    <xf numFmtId="49" fontId="31" fillId="0" borderId="0" xfId="0" applyNumberFormat="1" applyFont="1" applyAlignment="1">
      <alignment horizontal="right" vertical="center" wrapText="1"/>
    </xf>
    <xf numFmtId="49" fontId="32" fillId="0" borderId="0" xfId="0" applyNumberFormat="1" applyFont="1" applyAlignment="1">
      <alignment vertical="center" wrapText="1"/>
    </xf>
    <xf numFmtId="49" fontId="31" fillId="0" borderId="0" xfId="0" applyNumberFormat="1" applyFont="1" applyAlignment="1">
      <alignment horizontal="left" vertical="center" wrapText="1"/>
    </xf>
    <xf numFmtId="49" fontId="32" fillId="0" borderId="0" xfId="0" applyNumberFormat="1" applyFont="1" applyAlignment="1">
      <alignment horizontal="left" vertical="center" wrapText="1"/>
    </xf>
    <xf numFmtId="49" fontId="42" fillId="0" borderId="0" xfId="0" applyNumberFormat="1" applyFont="1" applyAlignment="1">
      <alignment horizontal="right" vertical="center" wrapText="1"/>
    </xf>
    <xf numFmtId="49" fontId="42" fillId="0" borderId="0" xfId="0" applyNumberFormat="1" applyFont="1" applyAlignment="1">
      <alignment horizontal="left" vertical="center" wrapText="1"/>
    </xf>
    <xf numFmtId="49" fontId="42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center" vertical="center" wrapText="1"/>
    </xf>
    <xf numFmtId="49" fontId="1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horizontal="center" vertical="center" wrapText="1"/>
    </xf>
    <xf numFmtId="49" fontId="20" fillId="0" borderId="0" xfId="0" applyNumberFormat="1" applyFont="1" applyAlignment="1">
      <alignment vertical="center" wrapText="1"/>
    </xf>
    <xf numFmtId="49" fontId="21" fillId="0" borderId="0" xfId="0" applyNumberFormat="1" applyFont="1" applyAlignment="1">
      <alignment vertical="center" wrapText="1"/>
    </xf>
    <xf numFmtId="0" fontId="47" fillId="0" borderId="0" xfId="0" applyFont="1" applyAlignment="1">
      <alignment wrapText="1"/>
    </xf>
    <xf numFmtId="49" fontId="21" fillId="0" borderId="0" xfId="0" applyNumberFormat="1" applyFont="1" applyAlignment="1">
      <alignment horizontal="right" wrapText="1"/>
    </xf>
    <xf numFmtId="0" fontId="0" fillId="0" borderId="0" xfId="0" applyAlignment="1">
      <alignment horizontal="right" vertical="top" wrapText="1"/>
    </xf>
    <xf numFmtId="49" fontId="21" fillId="0" borderId="0" xfId="0" applyNumberFormat="1" applyFont="1" applyAlignment="1">
      <alignment horizontal="center" vertical="center" wrapText="1"/>
    </xf>
    <xf numFmtId="0" fontId="56" fillId="0" borderId="0" xfId="0" applyFont="1"/>
    <xf numFmtId="0" fontId="55" fillId="7" borderId="0" xfId="0" applyFont="1" applyFill="1"/>
    <xf numFmtId="49" fontId="21" fillId="0" borderId="0" xfId="0" applyNumberFormat="1" applyFont="1" applyAlignment="1">
      <alignment horizontal="right" vertical="center" wrapText="1"/>
    </xf>
    <xf numFmtId="49" fontId="24" fillId="0" borderId="0" xfId="3" applyNumberFormat="1" applyFont="1" applyAlignment="1">
      <alignment vertical="center" wrapText="1"/>
    </xf>
    <xf numFmtId="1" fontId="54" fillId="0" borderId="0" xfId="0" applyNumberFormat="1" applyFont="1" applyAlignment="1">
      <alignment horizontal="center" vertical="center" wrapText="1"/>
    </xf>
    <xf numFmtId="164" fontId="54" fillId="0" borderId="0" xfId="0" applyNumberFormat="1" applyFont="1" applyAlignment="1">
      <alignment horizontal="right" vertical="center" wrapText="1"/>
    </xf>
    <xf numFmtId="49" fontId="16" fillId="0" borderId="0" xfId="0" applyNumberFormat="1" applyFont="1" applyAlignment="1">
      <alignment horizontal="right" vertical="center" wrapText="1"/>
    </xf>
    <xf numFmtId="49" fontId="21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right" wrapText="1"/>
    </xf>
    <xf numFmtId="49" fontId="0" fillId="0" borderId="0" xfId="0" applyNumberFormat="1" applyAlignment="1">
      <alignment horizontal="right"/>
    </xf>
    <xf numFmtId="49" fontId="40" fillId="0" borderId="0" xfId="0" applyNumberFormat="1" applyFont="1" applyAlignment="1">
      <alignment horizontal="right" vertical="center" wrapText="1"/>
    </xf>
    <xf numFmtId="49" fontId="17" fillId="9" borderId="0" xfId="0" applyNumberFormat="1" applyFont="1" applyFill="1" applyAlignment="1">
      <alignment horizontal="right" vertical="center" wrapText="1"/>
    </xf>
    <xf numFmtId="1" fontId="22" fillId="9" borderId="0" xfId="0" applyNumberFormat="1" applyFont="1" applyFill="1" applyAlignment="1">
      <alignment horizontal="center" vertical="center" wrapText="1"/>
    </xf>
    <xf numFmtId="49" fontId="39" fillId="0" borderId="0" xfId="0" applyNumberFormat="1" applyFont="1" applyAlignment="1">
      <alignment horizontal="right" vertical="center" wrapText="1"/>
    </xf>
    <xf numFmtId="49" fontId="15" fillId="0" borderId="0" xfId="0" applyNumberFormat="1" applyFont="1" applyAlignment="1">
      <alignment horizontal="right" vertical="center" wrapText="1"/>
    </xf>
    <xf numFmtId="49" fontId="15" fillId="0" borderId="0" xfId="0" applyNumberFormat="1" applyFont="1" applyAlignment="1">
      <alignment vertical="center" wrapText="1"/>
    </xf>
    <xf numFmtId="49" fontId="23" fillId="0" borderId="0" xfId="4" applyNumberFormat="1" applyFont="1" applyAlignment="1">
      <alignment horizontal="right" vertical="center" wrapText="1"/>
    </xf>
    <xf numFmtId="49" fontId="34" fillId="0" borderId="0" xfId="0" applyNumberFormat="1" applyFont="1" applyAlignment="1">
      <alignment vertical="center" wrapText="1"/>
    </xf>
    <xf numFmtId="49" fontId="33" fillId="0" borderId="0" xfId="0" applyNumberFormat="1" applyFont="1" applyAlignment="1">
      <alignment vertical="center" wrapText="1"/>
    </xf>
    <xf numFmtId="49" fontId="38" fillId="0" borderId="0" xfId="0" applyNumberFormat="1" applyFont="1" applyAlignment="1">
      <alignment vertical="center" wrapText="1"/>
    </xf>
    <xf numFmtId="49" fontId="35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vertical="center" wrapText="1"/>
    </xf>
    <xf numFmtId="49" fontId="35" fillId="0" borderId="0" xfId="0" applyNumberFormat="1" applyFont="1" applyAlignment="1">
      <alignment horizontal="right" vertical="center" wrapText="1"/>
    </xf>
    <xf numFmtId="49" fontId="28" fillId="0" borderId="0" xfId="0" applyNumberFormat="1" applyFont="1" applyAlignment="1">
      <alignment horizontal="right" vertical="center" wrapText="1"/>
    </xf>
    <xf numFmtId="49" fontId="37" fillId="0" borderId="0" xfId="0" applyNumberFormat="1" applyFont="1" applyAlignment="1">
      <alignment vertical="center" wrapText="1"/>
    </xf>
    <xf numFmtId="49" fontId="33" fillId="0" borderId="0" xfId="0" applyNumberFormat="1" applyFont="1" applyAlignment="1">
      <alignment horizontal="right" vertical="center" wrapText="1"/>
    </xf>
    <xf numFmtId="49" fontId="34" fillId="0" borderId="0" xfId="0" applyNumberFormat="1" applyFont="1" applyAlignment="1">
      <alignment horizontal="right" vertical="center" wrapText="1"/>
    </xf>
    <xf numFmtId="49" fontId="33" fillId="0" borderId="0" xfId="0" applyNumberFormat="1" applyFont="1" applyAlignment="1">
      <alignment horizontal="left" vertical="center" wrapText="1"/>
    </xf>
    <xf numFmtId="49" fontId="36" fillId="0" borderId="0" xfId="0" applyNumberFormat="1" applyFont="1" applyAlignment="1">
      <alignment vertical="center" wrapText="1"/>
    </xf>
    <xf numFmtId="49" fontId="38" fillId="0" borderId="0" xfId="0" applyNumberFormat="1" applyFont="1" applyAlignment="1">
      <alignment horizontal="left" vertical="center" wrapText="1"/>
    </xf>
    <xf numFmtId="49" fontId="38" fillId="0" borderId="0" xfId="0" applyNumberFormat="1" applyFont="1" applyAlignment="1">
      <alignment horizontal="right" vertical="center" wrapText="1"/>
    </xf>
    <xf numFmtId="49" fontId="36" fillId="0" borderId="0" xfId="0" applyNumberFormat="1" applyFont="1" applyAlignment="1">
      <alignment horizontal="right" vertical="center" wrapText="1"/>
    </xf>
    <xf numFmtId="49" fontId="37" fillId="0" borderId="0" xfId="0" applyNumberFormat="1" applyFont="1" applyAlignment="1">
      <alignment horizontal="right" vertical="center" wrapText="1"/>
    </xf>
    <xf numFmtId="49" fontId="36" fillId="0" borderId="0" xfId="0" applyNumberFormat="1" applyFont="1" applyAlignment="1">
      <alignment horizontal="left" vertical="center" wrapText="1"/>
    </xf>
    <xf numFmtId="49" fontId="45" fillId="4" borderId="0" xfId="0" applyNumberFormat="1" applyFont="1" applyFill="1" applyAlignment="1">
      <alignment horizontal="right" vertical="center" wrapText="1"/>
    </xf>
    <xf numFmtId="49" fontId="15" fillId="0" borderId="0" xfId="0" applyNumberFormat="1" applyFont="1" applyAlignment="1">
      <alignment horizontal="left" vertical="center" wrapText="1"/>
    </xf>
    <xf numFmtId="0" fontId="45" fillId="0" borderId="0" xfId="0" applyFont="1" applyAlignment="1">
      <alignment wrapText="1"/>
    </xf>
    <xf numFmtId="49" fontId="0" fillId="11" borderId="0" xfId="0" applyNumberFormat="1" applyFill="1" applyAlignment="1">
      <alignment horizontal="right" vertical="top" wrapText="1"/>
    </xf>
    <xf numFmtId="49" fontId="43" fillId="0" borderId="0" xfId="0" applyNumberFormat="1" applyFont="1" applyAlignment="1">
      <alignment vertical="center" wrapText="1"/>
    </xf>
    <xf numFmtId="49" fontId="43" fillId="0" borderId="0" xfId="0" applyNumberFormat="1" applyFont="1" applyAlignment="1">
      <alignment horizontal="left" vertical="center" wrapText="1"/>
    </xf>
    <xf numFmtId="49" fontId="18" fillId="0" borderId="0" xfId="0" applyNumberFormat="1" applyFont="1" applyAlignment="1">
      <alignment horizontal="right" vertical="center" wrapText="1"/>
    </xf>
    <xf numFmtId="49" fontId="16" fillId="0" borderId="0" xfId="0" applyNumberFormat="1" applyFont="1" applyAlignment="1">
      <alignment vertical="center" wrapText="1"/>
    </xf>
    <xf numFmtId="49" fontId="0" fillId="0" borderId="0" xfId="0" applyNumberFormat="1" applyAlignment="1">
      <alignment horizontal="right" vertical="top" wrapText="1"/>
    </xf>
    <xf numFmtId="49" fontId="45" fillId="3" borderId="0" xfId="0" applyNumberFormat="1" applyFont="1" applyFill="1" applyAlignment="1">
      <alignment vertical="center" wrapText="1"/>
    </xf>
    <xf numFmtId="49" fontId="19" fillId="0" borderId="0" xfId="0" applyNumberFormat="1" applyFont="1" applyAlignment="1">
      <alignment horizontal="right" vertical="center" wrapText="1"/>
    </xf>
    <xf numFmtId="1" fontId="45" fillId="0" borderId="0" xfId="0" applyNumberFormat="1" applyFont="1" applyAlignment="1">
      <alignment horizontal="right" vertical="center" wrapText="1"/>
    </xf>
    <xf numFmtId="49" fontId="58" fillId="7" borderId="0" xfId="0" applyNumberFormat="1" applyFont="1" applyFill="1" applyAlignment="1">
      <alignment horizontal="right" wrapText="1"/>
    </xf>
    <xf numFmtId="49" fontId="0" fillId="11" borderId="0" xfId="0" applyNumberFormat="1" applyFill="1" applyAlignment="1">
      <alignment horizontal="right" wrapText="1"/>
    </xf>
    <xf numFmtId="49" fontId="58" fillId="0" borderId="0" xfId="0" applyNumberFormat="1" applyFont="1" applyAlignment="1">
      <alignment horizontal="right" wrapText="1"/>
    </xf>
    <xf numFmtId="49" fontId="14" fillId="3" borderId="0" xfId="0" applyNumberFormat="1" applyFont="1" applyFill="1" applyAlignment="1">
      <alignment horizontal="right" vertical="center" wrapText="1"/>
    </xf>
    <xf numFmtId="1" fontId="14" fillId="0" borderId="0" xfId="0" applyNumberFormat="1" applyFont="1" applyAlignment="1">
      <alignment horizontal="left" vertical="center" wrapText="1"/>
    </xf>
    <xf numFmtId="1" fontId="22" fillId="0" borderId="0" xfId="0" applyNumberFormat="1" applyFont="1" applyAlignment="1">
      <alignment horizontal="left" vertical="center" wrapText="1"/>
    </xf>
    <xf numFmtId="49" fontId="16" fillId="0" borderId="0" xfId="0" applyNumberFormat="1" applyFont="1" applyAlignment="1">
      <alignment horizontal="left" vertical="center" wrapText="1"/>
    </xf>
    <xf numFmtId="49" fontId="40" fillId="14" borderId="0" xfId="0" applyNumberFormat="1" applyFont="1" applyFill="1" applyAlignment="1">
      <alignment horizontal="right" vertical="center" wrapText="1"/>
    </xf>
    <xf numFmtId="49" fontId="14" fillId="14" borderId="0" xfId="0" applyNumberFormat="1" applyFont="1" applyFill="1" applyAlignment="1">
      <alignment horizontal="right" vertical="center" wrapText="1"/>
    </xf>
    <xf numFmtId="49" fontId="17" fillId="14" borderId="0" xfId="0" applyNumberFormat="1" applyFont="1" applyFill="1" applyAlignment="1">
      <alignment horizontal="right" vertical="center" wrapText="1"/>
    </xf>
    <xf numFmtId="49" fontId="49" fillId="0" borderId="0" xfId="0" applyNumberFormat="1" applyFont="1" applyAlignment="1">
      <alignment horizontal="right" wrapText="1"/>
    </xf>
    <xf numFmtId="49" fontId="49" fillId="0" borderId="0" xfId="0" applyNumberFormat="1" applyFont="1" applyAlignment="1">
      <alignment vertical="center" wrapText="1"/>
    </xf>
    <xf numFmtId="49" fontId="54" fillId="8" borderId="0" xfId="0" applyNumberFormat="1" applyFont="1" applyFill="1" applyAlignment="1">
      <alignment vertical="center" wrapText="1"/>
    </xf>
    <xf numFmtId="0" fontId="13" fillId="0" borderId="0" xfId="0" applyFont="1"/>
    <xf numFmtId="0" fontId="74" fillId="0" borderId="0" xfId="0" applyFont="1" applyAlignment="1">
      <alignment horizontal="center"/>
    </xf>
    <xf numFmtId="0" fontId="49" fillId="0" borderId="0" xfId="0" applyFont="1"/>
    <xf numFmtId="49" fontId="13" fillId="0" borderId="0" xfId="0" applyNumberFormat="1" applyFont="1" applyAlignment="1">
      <alignment horizontal="right"/>
    </xf>
    <xf numFmtId="49" fontId="13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right" vertical="center" wrapText="1"/>
    </xf>
    <xf numFmtId="49" fontId="13" fillId="0" borderId="0" xfId="0" applyNumberFormat="1" applyFont="1" applyAlignment="1">
      <alignment horizontal="right" wrapText="1"/>
    </xf>
    <xf numFmtId="0" fontId="49" fillId="0" borderId="0" xfId="0" applyFont="1" applyAlignment="1">
      <alignment horizontal="right"/>
    </xf>
    <xf numFmtId="49" fontId="13" fillId="0" borderId="0" xfId="0" applyNumberFormat="1" applyFont="1" applyAlignment="1">
      <alignment vertical="center" wrapText="1"/>
    </xf>
    <xf numFmtId="0" fontId="12" fillId="0" borderId="0" xfId="0" applyFont="1"/>
    <xf numFmtId="49" fontId="12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horizontal="left" vertical="center" wrapText="1"/>
    </xf>
    <xf numFmtId="49" fontId="11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horizontal="right" vertical="center" wrapText="1"/>
    </xf>
    <xf numFmtId="49" fontId="10" fillId="0" borderId="0" xfId="0" applyNumberFormat="1" applyFont="1" applyAlignment="1">
      <alignment horizontal="right" vertical="center" wrapText="1"/>
    </xf>
    <xf numFmtId="49" fontId="10" fillId="0" borderId="0" xfId="0" applyNumberFormat="1" applyFont="1" applyAlignment="1">
      <alignment vertical="center" wrapText="1"/>
    </xf>
    <xf numFmtId="1" fontId="47" fillId="0" borderId="0" xfId="0" applyNumberFormat="1" applyFont="1" applyAlignment="1">
      <alignment horizontal="center" vertical="center" wrapText="1"/>
    </xf>
    <xf numFmtId="1" fontId="47" fillId="0" borderId="0" xfId="0" applyNumberFormat="1" applyFont="1" applyAlignment="1">
      <alignment horizontal="left" vertical="center" wrapText="1"/>
    </xf>
    <xf numFmtId="49" fontId="47" fillId="0" borderId="0" xfId="0" applyNumberFormat="1" applyFont="1" applyAlignment="1">
      <alignment horizontal="left" vertical="center" wrapText="1"/>
    </xf>
    <xf numFmtId="164" fontId="47" fillId="0" borderId="0" xfId="0" applyNumberFormat="1" applyFont="1" applyAlignment="1">
      <alignment horizontal="left" vertical="center" wrapText="1"/>
    </xf>
    <xf numFmtId="49" fontId="9" fillId="0" borderId="0" xfId="0" applyNumberFormat="1" applyFont="1" applyAlignment="1">
      <alignment vertical="center" wrapText="1"/>
    </xf>
    <xf numFmtId="49" fontId="47" fillId="0" borderId="0" xfId="0" applyNumberFormat="1" applyFont="1" applyAlignment="1">
      <alignment horizontal="right" vertical="center" wrapText="1"/>
    </xf>
    <xf numFmtId="49" fontId="8" fillId="0" borderId="0" xfId="0" applyNumberFormat="1" applyFont="1" applyAlignment="1">
      <alignment horizontal="right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 wrapText="1"/>
    </xf>
    <xf numFmtId="14" fontId="0" fillId="0" borderId="0" xfId="0" applyNumberFormat="1" applyAlignment="1">
      <alignment horizontal="left" vertical="top" wrapText="1"/>
    </xf>
    <xf numFmtId="49" fontId="7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right" vertical="center" wrapText="1"/>
    </xf>
    <xf numFmtId="49" fontId="5" fillId="0" borderId="0" xfId="0" applyNumberFormat="1" applyFont="1" applyAlignment="1">
      <alignment horizontal="right" wrapText="1"/>
    </xf>
    <xf numFmtId="49" fontId="4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horizontal="right" vertical="center" wrapText="1"/>
    </xf>
    <xf numFmtId="49" fontId="4" fillId="0" borderId="0" xfId="0" applyNumberFormat="1" applyFont="1" applyAlignment="1">
      <alignment horizontal="right" wrapText="1"/>
    </xf>
    <xf numFmtId="0" fontId="24" fillId="0" borderId="0" xfId="0" applyFont="1" applyAlignment="1">
      <alignment horizontal="center" vertical="center" wrapText="1"/>
    </xf>
    <xf numFmtId="0" fontId="45" fillId="0" borderId="0" xfId="0" applyFont="1" applyAlignment="1">
      <alignment horizontal="right" vertical="center" wrapText="1"/>
    </xf>
    <xf numFmtId="0" fontId="47" fillId="0" borderId="0" xfId="0" applyFont="1" applyAlignment="1">
      <alignment horizontal="right" wrapText="1"/>
    </xf>
    <xf numFmtId="0" fontId="18" fillId="0" borderId="0" xfId="0" applyFont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49" fontId="4" fillId="0" borderId="0" xfId="0" applyNumberFormat="1" applyFont="1" applyAlignment="1">
      <alignment horizontal="right" vertical="center" wrapText="1"/>
    </xf>
    <xf numFmtId="49" fontId="44" fillId="0" borderId="0" xfId="0" applyNumberFormat="1" applyFont="1" applyAlignment="1">
      <alignment horizontal="right" vertical="center" wrapText="1"/>
    </xf>
    <xf numFmtId="49" fontId="13" fillId="0" borderId="0" xfId="0" applyNumberFormat="1" applyFont="1"/>
    <xf numFmtId="49" fontId="48" fillId="0" borderId="0" xfId="0" applyNumberFormat="1" applyFont="1" applyAlignment="1">
      <alignment horizontal="right" vertical="center" wrapText="1"/>
    </xf>
    <xf numFmtId="49" fontId="51" fillId="0" borderId="0" xfId="0" applyNumberFormat="1" applyFont="1" applyAlignment="1">
      <alignment horizontal="right" vertical="center" wrapText="1"/>
    </xf>
    <xf numFmtId="49" fontId="17" fillId="0" borderId="70" xfId="0" applyNumberFormat="1" applyFont="1" applyBorder="1" applyAlignment="1">
      <alignment vertical="center" wrapText="1"/>
    </xf>
    <xf numFmtId="49" fontId="17" fillId="0" borderId="70" xfId="0" applyNumberFormat="1" applyFont="1" applyBorder="1" applyAlignment="1">
      <alignment horizontal="center" vertical="center" wrapText="1"/>
    </xf>
    <xf numFmtId="49" fontId="45" fillId="15" borderId="0" xfId="0" applyNumberFormat="1" applyFont="1" applyFill="1" applyAlignment="1">
      <alignment vertical="center" wrapText="1"/>
    </xf>
    <xf numFmtId="49" fontId="45" fillId="15" borderId="0" xfId="0" applyNumberFormat="1" applyFont="1" applyFill="1" applyAlignment="1">
      <alignment horizontal="right" vertical="center" wrapText="1"/>
    </xf>
    <xf numFmtId="49" fontId="14" fillId="15" borderId="0" xfId="0" applyNumberFormat="1" applyFont="1" applyFill="1" applyAlignment="1">
      <alignment horizontal="right" vertical="center" wrapText="1"/>
    </xf>
    <xf numFmtId="1" fontId="22" fillId="15" borderId="0" xfId="0" applyNumberFormat="1" applyFont="1" applyFill="1" applyAlignment="1">
      <alignment horizontal="center" vertical="center" wrapText="1"/>
    </xf>
    <xf numFmtId="49" fontId="28" fillId="15" borderId="0" xfId="0" applyNumberFormat="1" applyFont="1" applyFill="1" applyAlignment="1">
      <alignment vertical="center" wrapText="1"/>
    </xf>
    <xf numFmtId="0" fontId="0" fillId="0" borderId="81" xfId="0" applyBorder="1" applyAlignment="1">
      <alignment horizontal="left" vertical="top" wrapText="1"/>
    </xf>
    <xf numFmtId="49" fontId="45" fillId="0" borderId="81" xfId="0" applyNumberFormat="1" applyFont="1" applyBorder="1" applyAlignment="1">
      <alignment horizontal="right" vertical="center" wrapText="1"/>
    </xf>
    <xf numFmtId="49" fontId="4" fillId="0" borderId="81" xfId="0" applyNumberFormat="1" applyFont="1" applyBorder="1" applyAlignment="1">
      <alignment horizontal="right" vertical="center" wrapText="1"/>
    </xf>
    <xf numFmtId="49" fontId="23" fillId="0" borderId="81" xfId="0" applyNumberFormat="1" applyFont="1" applyBorder="1" applyAlignment="1">
      <alignment horizontal="right" vertical="center" wrapText="1"/>
    </xf>
    <xf numFmtId="49" fontId="46" fillId="2" borderId="82" xfId="0" applyNumberFormat="1" applyFont="1" applyFill="1" applyBorder="1" applyAlignment="1">
      <alignment horizontal="center" vertical="center" wrapText="1"/>
    </xf>
    <xf numFmtId="49" fontId="46" fillId="2" borderId="83" xfId="0" applyNumberFormat="1" applyFont="1" applyFill="1" applyBorder="1" applyAlignment="1">
      <alignment horizontal="center" vertical="center" wrapText="1"/>
    </xf>
    <xf numFmtId="1" fontId="17" fillId="0" borderId="83" xfId="0" applyNumberFormat="1" applyFont="1" applyBorder="1" applyAlignment="1">
      <alignment horizontal="center" vertical="center" wrapText="1"/>
    </xf>
    <xf numFmtId="49" fontId="46" fillId="2" borderId="83" xfId="0" applyNumberFormat="1" applyFont="1" applyFill="1" applyBorder="1" applyAlignment="1">
      <alignment horizontal="right" vertical="center" wrapText="1"/>
    </xf>
    <xf numFmtId="49" fontId="46" fillId="2" borderId="83" xfId="0" applyNumberFormat="1" applyFont="1" applyFill="1" applyBorder="1" applyAlignment="1">
      <alignment horizontal="right" wrapText="1"/>
    </xf>
    <xf numFmtId="1" fontId="46" fillId="2" borderId="83" xfId="0" applyNumberFormat="1" applyFont="1" applyFill="1" applyBorder="1" applyAlignment="1">
      <alignment horizontal="center" vertical="center" wrapText="1"/>
    </xf>
    <xf numFmtId="164" fontId="46" fillId="2" borderId="83" xfId="0" applyNumberFormat="1" applyFont="1" applyFill="1" applyBorder="1" applyAlignment="1">
      <alignment horizontal="right" vertical="center" wrapText="1"/>
    </xf>
    <xf numFmtId="49" fontId="46" fillId="2" borderId="83" xfId="0" applyNumberFormat="1" applyFont="1" applyFill="1" applyBorder="1" applyAlignment="1">
      <alignment horizontal="left" vertical="center" wrapText="1"/>
    </xf>
    <xf numFmtId="49" fontId="46" fillId="2" borderId="84" xfId="0" applyNumberFormat="1" applyFont="1" applyFill="1" applyBorder="1" applyAlignment="1">
      <alignment horizontal="center" vertical="center" wrapText="1"/>
    </xf>
    <xf numFmtId="49" fontId="24" fillId="0" borderId="82" xfId="0" applyNumberFormat="1" applyFont="1" applyBorder="1" applyAlignment="1">
      <alignment horizontal="center" vertical="center" wrapText="1"/>
    </xf>
    <xf numFmtId="49" fontId="20" fillId="0" borderId="83" xfId="0" applyNumberFormat="1" applyFont="1" applyBorder="1" applyAlignment="1">
      <alignment horizontal="center" vertical="center" wrapText="1"/>
    </xf>
    <xf numFmtId="1" fontId="47" fillId="0" borderId="83" xfId="0" applyNumberFormat="1" applyFont="1" applyBorder="1" applyAlignment="1">
      <alignment horizontal="center" vertical="center" wrapText="1"/>
    </xf>
    <xf numFmtId="49" fontId="45" fillId="0" borderId="83" xfId="0" applyNumberFormat="1" applyFont="1" applyBorder="1" applyAlignment="1">
      <alignment horizontal="right" vertical="center" wrapText="1"/>
    </xf>
    <xf numFmtId="1" fontId="22" fillId="0" borderId="83" xfId="0" applyNumberFormat="1" applyFont="1" applyBorder="1" applyAlignment="1">
      <alignment horizontal="center" vertical="center" wrapText="1"/>
    </xf>
    <xf numFmtId="164" fontId="45" fillId="0" borderId="83" xfId="0" applyNumberFormat="1" applyFont="1" applyBorder="1" applyAlignment="1">
      <alignment horizontal="right" vertical="center" wrapText="1"/>
    </xf>
    <xf numFmtId="49" fontId="22" fillId="0" borderId="83" xfId="0" applyNumberFormat="1" applyFont="1" applyBorder="1" applyAlignment="1">
      <alignment vertical="center" wrapText="1"/>
    </xf>
    <xf numFmtId="49" fontId="45" fillId="0" borderId="83" xfId="0" applyNumberFormat="1" applyFont="1" applyBorder="1" applyAlignment="1">
      <alignment horizontal="left" vertical="center" wrapText="1"/>
    </xf>
    <xf numFmtId="49" fontId="45" fillId="0" borderId="84" xfId="0" applyNumberFormat="1" applyFont="1" applyBorder="1" applyAlignment="1">
      <alignment horizontal="center" vertical="center" wrapText="1"/>
    </xf>
    <xf numFmtId="1" fontId="47" fillId="0" borderId="86" xfId="0" applyNumberFormat="1" applyFont="1" applyBorder="1" applyAlignment="1">
      <alignment horizontal="center" vertical="center" wrapText="1"/>
    </xf>
    <xf numFmtId="49" fontId="45" fillId="0" borderId="86" xfId="0" applyNumberFormat="1" applyFont="1" applyBorder="1" applyAlignment="1">
      <alignment vertical="center" wrapText="1"/>
    </xf>
    <xf numFmtId="49" fontId="45" fillId="0" borderId="86" xfId="0" applyNumberFormat="1" applyFont="1" applyBorder="1" applyAlignment="1">
      <alignment horizontal="right" vertical="center" wrapText="1"/>
    </xf>
    <xf numFmtId="49" fontId="22" fillId="0" borderId="86" xfId="0" applyNumberFormat="1" applyFont="1" applyBorder="1" applyAlignment="1">
      <alignment horizontal="right" vertical="center" wrapText="1"/>
    </xf>
    <xf numFmtId="1" fontId="22" fillId="0" borderId="86" xfId="0" applyNumberFormat="1" applyFont="1" applyBorder="1" applyAlignment="1">
      <alignment horizontal="center" vertical="center" wrapText="1"/>
    </xf>
    <xf numFmtId="164" fontId="45" fillId="0" borderId="86" xfId="0" applyNumberFormat="1" applyFont="1" applyBorder="1" applyAlignment="1">
      <alignment horizontal="right" vertical="center" wrapText="1"/>
    </xf>
    <xf numFmtId="49" fontId="22" fillId="0" borderId="86" xfId="0" applyNumberFormat="1" applyFont="1" applyBorder="1" applyAlignment="1">
      <alignment vertical="center" wrapText="1"/>
    </xf>
    <xf numFmtId="49" fontId="45" fillId="0" borderId="86" xfId="0" applyNumberFormat="1" applyFont="1" applyBorder="1" applyAlignment="1">
      <alignment horizontal="left" vertical="center" wrapText="1"/>
    </xf>
    <xf numFmtId="49" fontId="45" fillId="0" borderId="87" xfId="0" applyNumberFormat="1" applyFont="1" applyBorder="1" applyAlignment="1">
      <alignment horizontal="center" vertical="center" wrapText="1"/>
    </xf>
    <xf numFmtId="1" fontId="47" fillId="0" borderId="89" xfId="0" applyNumberFormat="1" applyFont="1" applyBorder="1" applyAlignment="1">
      <alignment horizontal="center" vertical="center" wrapText="1"/>
    </xf>
    <xf numFmtId="49" fontId="45" fillId="0" borderId="89" xfId="0" applyNumberFormat="1" applyFont="1" applyBorder="1" applyAlignment="1">
      <alignment vertical="center" wrapText="1"/>
    </xf>
    <xf numFmtId="49" fontId="45" fillId="0" borderId="89" xfId="0" applyNumberFormat="1" applyFont="1" applyBorder="1" applyAlignment="1">
      <alignment horizontal="right" vertical="center" wrapText="1"/>
    </xf>
    <xf numFmtId="1" fontId="22" fillId="0" borderId="89" xfId="0" applyNumberFormat="1" applyFont="1" applyBorder="1" applyAlignment="1">
      <alignment horizontal="center" vertical="center" wrapText="1"/>
    </xf>
    <xf numFmtId="164" fontId="45" fillId="0" borderId="89" xfId="0" applyNumberFormat="1" applyFont="1" applyBorder="1" applyAlignment="1">
      <alignment horizontal="right" vertical="center" wrapText="1"/>
    </xf>
    <xf numFmtId="49" fontId="22" fillId="0" borderId="89" xfId="0" applyNumberFormat="1" applyFont="1" applyBorder="1" applyAlignment="1">
      <alignment vertical="center" wrapText="1"/>
    </xf>
    <xf numFmtId="49" fontId="45" fillId="0" borderId="89" xfId="0" applyNumberFormat="1" applyFont="1" applyBorder="1" applyAlignment="1">
      <alignment horizontal="left" vertical="center" wrapText="1"/>
    </xf>
    <xf numFmtId="49" fontId="45" fillId="0" borderId="90" xfId="0" applyNumberFormat="1" applyFont="1" applyBorder="1" applyAlignment="1">
      <alignment horizontal="center" vertical="center" wrapText="1"/>
    </xf>
    <xf numFmtId="49" fontId="45" fillId="0" borderId="82" xfId="0" applyNumberFormat="1" applyFont="1" applyBorder="1" applyAlignment="1">
      <alignment horizontal="center" vertical="center" wrapText="1"/>
    </xf>
    <xf numFmtId="49" fontId="24" fillId="0" borderId="91" xfId="0" applyNumberFormat="1" applyFont="1" applyBorder="1" applyAlignment="1">
      <alignment horizontal="center" vertical="center" wrapText="1"/>
    </xf>
    <xf numFmtId="49" fontId="24" fillId="0" borderId="92" xfId="0" applyNumberFormat="1" applyFont="1" applyBorder="1" applyAlignment="1">
      <alignment horizontal="center" vertical="center" wrapText="1"/>
    </xf>
    <xf numFmtId="1" fontId="47" fillId="0" borderId="92" xfId="0" applyNumberFormat="1" applyFont="1" applyBorder="1" applyAlignment="1">
      <alignment horizontal="center" vertical="center" wrapText="1"/>
    </xf>
    <xf numFmtId="49" fontId="40" fillId="0" borderId="92" xfId="0" applyNumberFormat="1" applyFont="1" applyBorder="1" applyAlignment="1">
      <alignment vertical="center" wrapText="1"/>
    </xf>
    <xf numFmtId="49" fontId="45" fillId="0" borderId="92" xfId="0" applyNumberFormat="1" applyFont="1" applyBorder="1" applyAlignment="1">
      <alignment vertical="center" wrapText="1"/>
    </xf>
    <xf numFmtId="49" fontId="45" fillId="0" borderId="92" xfId="0" applyNumberFormat="1" applyFont="1" applyBorder="1" applyAlignment="1">
      <alignment horizontal="right" vertical="center" wrapText="1"/>
    </xf>
    <xf numFmtId="1" fontId="22" fillId="0" borderId="92" xfId="0" applyNumberFormat="1" applyFont="1" applyBorder="1" applyAlignment="1">
      <alignment horizontal="center" vertical="center" wrapText="1"/>
    </xf>
    <xf numFmtId="164" fontId="45" fillId="0" borderId="92" xfId="0" applyNumberFormat="1" applyFont="1" applyBorder="1" applyAlignment="1">
      <alignment horizontal="right" vertical="center" wrapText="1"/>
    </xf>
    <xf numFmtId="49" fontId="22" fillId="0" borderId="92" xfId="0" applyNumberFormat="1" applyFont="1" applyBorder="1" applyAlignment="1">
      <alignment vertical="center" wrapText="1"/>
    </xf>
    <xf numFmtId="49" fontId="45" fillId="0" borderId="92" xfId="0" applyNumberFormat="1" applyFont="1" applyBorder="1" applyAlignment="1">
      <alignment horizontal="left" vertical="center" wrapText="1"/>
    </xf>
    <xf numFmtId="49" fontId="45" fillId="0" borderId="93" xfId="0" applyNumberFormat="1" applyFont="1" applyBorder="1" applyAlignment="1">
      <alignment horizontal="center" vertical="center" wrapText="1"/>
    </xf>
    <xf numFmtId="49" fontId="24" fillId="0" borderId="92" xfId="0" applyNumberFormat="1" applyFont="1" applyBorder="1" applyAlignment="1">
      <alignment horizontal="right" vertical="center" wrapText="1"/>
    </xf>
    <xf numFmtId="49" fontId="54" fillId="6" borderId="91" xfId="0" applyNumberFormat="1" applyFont="1" applyFill="1" applyBorder="1" applyAlignment="1">
      <alignment horizontal="center" vertical="center" wrapText="1"/>
    </xf>
    <xf numFmtId="49" fontId="54" fillId="6" borderId="92" xfId="0" applyNumberFormat="1" applyFont="1" applyFill="1" applyBorder="1" applyAlignment="1">
      <alignment horizontal="center" vertical="center" wrapText="1"/>
    </xf>
    <xf numFmtId="49" fontId="54" fillId="6" borderId="92" xfId="0" applyNumberFormat="1" applyFont="1" applyFill="1" applyBorder="1" applyAlignment="1">
      <alignment vertical="center" wrapText="1"/>
    </xf>
    <xf numFmtId="49" fontId="54" fillId="6" borderId="92" xfId="0" applyNumberFormat="1" applyFont="1" applyFill="1" applyBorder="1" applyAlignment="1">
      <alignment horizontal="right" vertical="center" wrapText="1"/>
    </xf>
    <xf numFmtId="49" fontId="54" fillId="6" borderId="92" xfId="0" applyNumberFormat="1" applyFont="1" applyFill="1" applyBorder="1" applyAlignment="1">
      <alignment horizontal="left" vertical="center" wrapText="1"/>
    </xf>
    <xf numFmtId="49" fontId="54" fillId="6" borderId="93" xfId="0" applyNumberFormat="1" applyFont="1" applyFill="1" applyBorder="1" applyAlignment="1">
      <alignment horizontal="center" vertical="center" wrapText="1"/>
    </xf>
    <xf numFmtId="49" fontId="54" fillId="0" borderId="91" xfId="0" applyNumberFormat="1" applyFont="1" applyBorder="1" applyAlignment="1">
      <alignment horizontal="center" vertical="center" wrapText="1"/>
    </xf>
    <xf numFmtId="49" fontId="54" fillId="0" borderId="92" xfId="0" applyNumberFormat="1" applyFont="1" applyBorder="1" applyAlignment="1">
      <alignment horizontal="center" vertical="center" wrapText="1"/>
    </xf>
    <xf numFmtId="1" fontId="65" fillId="0" borderId="92" xfId="0" applyNumberFormat="1" applyFont="1" applyBorder="1" applyAlignment="1">
      <alignment horizontal="center" vertical="center" wrapText="1"/>
    </xf>
    <xf numFmtId="49" fontId="54" fillId="0" borderId="92" xfId="0" applyNumberFormat="1" applyFont="1" applyBorder="1" applyAlignment="1">
      <alignment vertical="center" wrapText="1"/>
    </xf>
    <xf numFmtId="49" fontId="54" fillId="0" borderId="92" xfId="0" applyNumberFormat="1" applyFont="1" applyBorder="1" applyAlignment="1">
      <alignment horizontal="right" vertical="center" wrapText="1"/>
    </xf>
    <xf numFmtId="1" fontId="54" fillId="0" borderId="92" xfId="0" applyNumberFormat="1" applyFont="1" applyBorder="1" applyAlignment="1">
      <alignment horizontal="center" vertical="center" wrapText="1"/>
    </xf>
    <xf numFmtId="164" fontId="54" fillId="0" borderId="92" xfId="0" applyNumberFormat="1" applyFont="1" applyBorder="1" applyAlignment="1">
      <alignment horizontal="right" vertical="center" wrapText="1"/>
    </xf>
    <xf numFmtId="49" fontId="54" fillId="0" borderId="92" xfId="0" applyNumberFormat="1" applyFont="1" applyBorder="1" applyAlignment="1">
      <alignment horizontal="left" vertical="center" wrapText="1"/>
    </xf>
    <xf numFmtId="49" fontId="54" fillId="0" borderId="93" xfId="0" applyNumberFormat="1" applyFont="1" applyBorder="1" applyAlignment="1">
      <alignment horizontal="center" vertical="center" wrapText="1"/>
    </xf>
    <xf numFmtId="49" fontId="24" fillId="0" borderId="92" xfId="0" applyNumberFormat="1" applyFont="1" applyBorder="1" applyAlignment="1">
      <alignment vertical="center" wrapText="1"/>
    </xf>
    <xf numFmtId="49" fontId="26" fillId="0" borderId="92" xfId="0" applyNumberFormat="1" applyFont="1" applyBorder="1" applyAlignment="1">
      <alignment vertical="center" wrapText="1"/>
    </xf>
    <xf numFmtId="49" fontId="54" fillId="0" borderId="88" xfId="0" applyNumberFormat="1" applyFont="1" applyBorder="1" applyAlignment="1">
      <alignment horizontal="center" vertical="center" wrapText="1"/>
    </xf>
    <xf numFmtId="49" fontId="54" fillId="0" borderId="89" xfId="0" applyNumberFormat="1" applyFont="1" applyBorder="1" applyAlignment="1">
      <alignment horizontal="center" vertical="center" wrapText="1"/>
    </xf>
    <xf numFmtId="49" fontId="54" fillId="0" borderId="89" xfId="0" applyNumberFormat="1" applyFont="1" applyBorder="1" applyAlignment="1">
      <alignment vertical="center" wrapText="1"/>
    </xf>
    <xf numFmtId="49" fontId="54" fillId="0" borderId="89" xfId="0" applyNumberFormat="1" applyFont="1" applyBorder="1" applyAlignment="1">
      <alignment horizontal="right" vertical="center" wrapText="1"/>
    </xf>
    <xf numFmtId="49" fontId="54" fillId="0" borderId="89" xfId="0" applyNumberFormat="1" applyFont="1" applyBorder="1" applyAlignment="1">
      <alignment horizontal="left" vertical="center" wrapText="1"/>
    </xf>
    <xf numFmtId="49" fontId="54" fillId="0" borderId="90" xfId="0" applyNumberFormat="1" applyFont="1" applyBorder="1" applyAlignment="1">
      <alignment horizontal="center" vertical="center" wrapText="1"/>
    </xf>
    <xf numFmtId="49" fontId="45" fillId="0" borderId="85" xfId="0" applyNumberFormat="1" applyFont="1" applyBorder="1" applyAlignment="1">
      <alignment horizontal="center" vertical="center" wrapText="1"/>
    </xf>
    <xf numFmtId="49" fontId="45" fillId="0" borderId="86" xfId="0" applyNumberFormat="1" applyFont="1" applyBorder="1" applyAlignment="1">
      <alignment horizontal="center" vertical="center" wrapText="1"/>
    </xf>
    <xf numFmtId="1" fontId="45" fillId="0" borderId="86" xfId="0" applyNumberFormat="1" applyFont="1" applyBorder="1" applyAlignment="1">
      <alignment horizontal="right" vertical="center" wrapText="1"/>
    </xf>
    <xf numFmtId="49" fontId="45" fillId="0" borderId="86" xfId="0" applyNumberFormat="1" applyFont="1" applyBorder="1" applyAlignment="1">
      <alignment horizontal="right" wrapText="1"/>
    </xf>
    <xf numFmtId="1" fontId="45" fillId="0" borderId="86" xfId="0" applyNumberFormat="1" applyFont="1" applyBorder="1" applyAlignment="1">
      <alignment horizontal="center" vertical="center" wrapText="1"/>
    </xf>
    <xf numFmtId="49" fontId="45" fillId="0" borderId="91" xfId="0" applyNumberFormat="1" applyFont="1" applyBorder="1" applyAlignment="1">
      <alignment horizontal="center" vertical="center" wrapText="1"/>
    </xf>
    <xf numFmtId="49" fontId="45" fillId="0" borderId="92" xfId="0" applyNumberFormat="1" applyFont="1" applyBorder="1" applyAlignment="1">
      <alignment horizontal="center" vertical="center" wrapText="1"/>
    </xf>
    <xf numFmtId="1" fontId="45" fillId="0" borderId="92" xfId="0" applyNumberFormat="1" applyFont="1" applyBorder="1" applyAlignment="1">
      <alignment horizontal="right" vertical="center" wrapText="1"/>
    </xf>
    <xf numFmtId="49" fontId="45" fillId="0" borderId="92" xfId="0" applyNumberFormat="1" applyFont="1" applyBorder="1" applyAlignment="1">
      <alignment horizontal="right" wrapText="1"/>
    </xf>
    <xf numFmtId="0" fontId="22" fillId="0" borderId="92" xfId="0" applyFont="1" applyBorder="1" applyAlignment="1">
      <alignment horizontal="center" vertical="center" wrapText="1"/>
    </xf>
    <xf numFmtId="1" fontId="45" fillId="0" borderId="92" xfId="0" applyNumberFormat="1" applyFont="1" applyBorder="1" applyAlignment="1">
      <alignment horizontal="center" vertical="center" wrapText="1"/>
    </xf>
    <xf numFmtId="0" fontId="54" fillId="0" borderId="92" xfId="0" applyFont="1" applyBorder="1" applyAlignment="1">
      <alignment horizontal="center" vertical="center" wrapText="1"/>
    </xf>
    <xf numFmtId="49" fontId="45" fillId="0" borderId="88" xfId="0" applyNumberFormat="1" applyFont="1" applyBorder="1" applyAlignment="1">
      <alignment horizontal="center" vertical="center" wrapText="1"/>
    </xf>
    <xf numFmtId="49" fontId="54" fillId="0" borderId="85" xfId="0" applyNumberFormat="1" applyFont="1" applyBorder="1" applyAlignment="1">
      <alignment horizontal="center" vertical="center" wrapText="1"/>
    </xf>
    <xf numFmtId="49" fontId="45" fillId="0" borderId="83" xfId="0" applyNumberFormat="1" applyFont="1" applyBorder="1" applyAlignment="1">
      <alignment horizontal="center" vertical="center" wrapText="1"/>
    </xf>
    <xf numFmtId="49" fontId="45" fillId="0" borderId="89" xfId="0" applyNumberFormat="1" applyFont="1" applyBorder="1" applyAlignment="1">
      <alignment horizontal="center" vertical="center" wrapText="1"/>
    </xf>
    <xf numFmtId="49" fontId="54" fillId="0" borderId="86" xfId="0" applyNumberFormat="1" applyFont="1" applyBorder="1" applyAlignment="1">
      <alignment horizontal="center" vertical="center" wrapText="1"/>
    </xf>
    <xf numFmtId="1" fontId="65" fillId="0" borderId="89" xfId="0" applyNumberFormat="1" applyFont="1" applyBorder="1" applyAlignment="1">
      <alignment horizontal="center" vertical="center" wrapText="1"/>
    </xf>
    <xf numFmtId="1" fontId="65" fillId="0" borderId="86" xfId="0" applyNumberFormat="1" applyFont="1" applyBorder="1" applyAlignment="1">
      <alignment horizontal="center" vertical="center" wrapText="1"/>
    </xf>
    <xf numFmtId="49" fontId="29" fillId="0" borderId="92" xfId="0" applyNumberFormat="1" applyFont="1" applyBorder="1" applyAlignment="1">
      <alignment vertical="center" wrapText="1"/>
    </xf>
    <xf numFmtId="49" fontId="54" fillId="0" borderId="86" xfId="0" applyNumberFormat="1" applyFont="1" applyBorder="1" applyAlignment="1">
      <alignment vertical="center" wrapText="1"/>
    </xf>
    <xf numFmtId="49" fontId="29" fillId="0" borderId="92" xfId="0" applyNumberFormat="1" applyFont="1" applyBorder="1" applyAlignment="1">
      <alignment horizontal="right" vertical="center" wrapText="1"/>
    </xf>
    <xf numFmtId="49" fontId="54" fillId="0" borderId="86" xfId="0" applyNumberFormat="1" applyFont="1" applyBorder="1" applyAlignment="1">
      <alignment horizontal="right" vertical="center" wrapText="1"/>
    </xf>
    <xf numFmtId="1" fontId="54" fillId="0" borderId="89" xfId="0" applyNumberFormat="1" applyFont="1" applyBorder="1" applyAlignment="1">
      <alignment horizontal="center" vertical="center" wrapText="1"/>
    </xf>
    <xf numFmtId="1" fontId="54" fillId="0" borderId="86" xfId="0" applyNumberFormat="1" applyFont="1" applyBorder="1" applyAlignment="1">
      <alignment horizontal="center" vertical="center" wrapText="1"/>
    </xf>
    <xf numFmtId="164" fontId="54" fillId="0" borderId="89" xfId="0" applyNumberFormat="1" applyFont="1" applyBorder="1" applyAlignment="1">
      <alignment horizontal="right" vertical="center" wrapText="1"/>
    </xf>
    <xf numFmtId="164" fontId="54" fillId="0" borderId="86" xfId="0" applyNumberFormat="1" applyFont="1" applyBorder="1" applyAlignment="1">
      <alignment horizontal="right" vertical="center" wrapText="1"/>
    </xf>
    <xf numFmtId="49" fontId="54" fillId="0" borderId="86" xfId="0" applyNumberFormat="1" applyFont="1" applyBorder="1" applyAlignment="1">
      <alignment horizontal="left" vertical="center" wrapText="1"/>
    </xf>
    <xf numFmtId="49" fontId="54" fillId="0" borderId="87" xfId="0" applyNumberFormat="1" applyFont="1" applyBorder="1" applyAlignment="1">
      <alignment horizontal="center" vertical="center" wrapText="1"/>
    </xf>
    <xf numFmtId="49" fontId="40" fillId="0" borderId="89" xfId="0" applyNumberFormat="1" applyFont="1" applyBorder="1" applyAlignment="1">
      <alignment vertical="center" wrapText="1"/>
    </xf>
    <xf numFmtId="49" fontId="23" fillId="0" borderId="92" xfId="0" applyNumberFormat="1" applyFont="1" applyBorder="1" applyAlignment="1">
      <alignment vertical="center" wrapText="1"/>
    </xf>
    <xf numFmtId="49" fontId="22" fillId="0" borderId="92" xfId="0" applyNumberFormat="1" applyFont="1" applyBorder="1" applyAlignment="1">
      <alignment horizontal="right" vertical="center" wrapText="1"/>
    </xf>
    <xf numFmtId="49" fontId="24" fillId="0" borderId="89" xfId="0" applyNumberFormat="1" applyFont="1" applyBorder="1" applyAlignment="1">
      <alignment horizontal="right" vertical="center" wrapText="1"/>
    </xf>
    <xf numFmtId="49" fontId="50" fillId="15" borderId="0" xfId="0" applyNumberFormat="1" applyFont="1" applyFill="1" applyAlignment="1">
      <alignment vertical="center" wrapText="1"/>
    </xf>
    <xf numFmtId="49" fontId="50" fillId="15" borderId="0" xfId="0" applyNumberFormat="1" applyFont="1" applyFill="1" applyAlignment="1">
      <alignment horizontal="right" vertical="center" wrapText="1"/>
    </xf>
    <xf numFmtId="49" fontId="50" fillId="0" borderId="0" xfId="0" applyNumberFormat="1" applyFont="1" applyAlignment="1">
      <alignment vertical="center" wrapText="1"/>
    </xf>
    <xf numFmtId="49" fontId="50" fillId="0" borderId="0" xfId="0" applyNumberFormat="1" applyFont="1" applyAlignment="1">
      <alignment horizontal="right" vertical="center" wrapText="1"/>
    </xf>
    <xf numFmtId="1" fontId="50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vertical="center" wrapText="1"/>
    </xf>
    <xf numFmtId="49" fontId="14" fillId="0" borderId="89" xfId="0" applyNumberFormat="1" applyFont="1" applyBorder="1" applyAlignment="1">
      <alignment horizontal="center" vertical="center" wrapText="1"/>
    </xf>
    <xf numFmtId="49" fontId="14" fillId="0" borderId="92" xfId="0" applyNumberFormat="1" applyFont="1" applyBorder="1" applyAlignment="1">
      <alignment horizontal="center" vertical="center" wrapText="1"/>
    </xf>
    <xf numFmtId="49" fontId="14" fillId="0" borderId="89" xfId="0" applyNumberFormat="1" applyFont="1" applyBorder="1" applyAlignment="1">
      <alignment vertical="center" wrapText="1"/>
    </xf>
    <xf numFmtId="49" fontId="14" fillId="0" borderId="92" xfId="0" applyNumberFormat="1" applyFont="1" applyBorder="1" applyAlignment="1">
      <alignment vertical="center" wrapText="1"/>
    </xf>
    <xf numFmtId="49" fontId="29" fillId="0" borderId="83" xfId="0" applyNumberFormat="1" applyFont="1" applyBorder="1" applyAlignment="1">
      <alignment horizontal="left" vertical="center" wrapText="1"/>
    </xf>
    <xf numFmtId="49" fontId="14" fillId="0" borderId="89" xfId="0" applyNumberFormat="1" applyFont="1" applyBorder="1" applyAlignment="1">
      <alignment horizontal="left" vertical="center" wrapText="1"/>
    </xf>
    <xf numFmtId="49" fontId="14" fillId="0" borderId="92" xfId="0" applyNumberFormat="1" applyFont="1" applyBorder="1" applyAlignment="1">
      <alignment horizontal="left" vertical="center" wrapText="1"/>
    </xf>
    <xf numFmtId="49" fontId="23" fillId="0" borderId="85" xfId="0" applyNumberFormat="1" applyFont="1" applyBorder="1" applyAlignment="1">
      <alignment vertical="center" wrapText="1"/>
    </xf>
    <xf numFmtId="1" fontId="22" fillId="0" borderId="87" xfId="0" applyNumberFormat="1" applyFont="1" applyBorder="1" applyAlignment="1">
      <alignment horizontal="center" vertical="center" wrapText="1"/>
    </xf>
    <xf numFmtId="49" fontId="45" fillId="0" borderId="91" xfId="0" applyNumberFormat="1" applyFont="1" applyBorder="1" applyAlignment="1">
      <alignment vertical="center" wrapText="1"/>
    </xf>
    <xf numFmtId="1" fontId="22" fillId="0" borderId="93" xfId="0" applyNumberFormat="1" applyFont="1" applyBorder="1" applyAlignment="1">
      <alignment horizontal="center" vertical="center" wrapText="1"/>
    </xf>
    <xf numFmtId="49" fontId="23" fillId="0" borderId="91" xfId="0" applyNumberFormat="1" applyFont="1" applyBorder="1" applyAlignment="1">
      <alignment vertical="center" wrapText="1"/>
    </xf>
    <xf numFmtId="49" fontId="4" fillId="0" borderId="92" xfId="0" applyNumberFormat="1" applyFont="1" applyBorder="1" applyAlignment="1">
      <alignment horizontal="right" vertical="center" wrapText="1"/>
    </xf>
    <xf numFmtId="49" fontId="39" fillId="0" borderId="91" xfId="0" applyNumberFormat="1" applyFont="1" applyBorder="1" applyAlignment="1">
      <alignment vertical="center" wrapText="1"/>
    </xf>
    <xf numFmtId="49" fontId="30" fillId="0" borderId="92" xfId="0" applyNumberFormat="1" applyFont="1" applyBorder="1" applyAlignment="1">
      <alignment vertical="center" wrapText="1"/>
    </xf>
    <xf numFmtId="49" fontId="24" fillId="0" borderId="91" xfId="0" applyNumberFormat="1" applyFont="1" applyBorder="1" applyAlignment="1">
      <alignment vertical="center" wrapText="1"/>
    </xf>
    <xf numFmtId="49" fontId="29" fillId="0" borderId="91" xfId="0" applyNumberFormat="1" applyFont="1" applyBorder="1" applyAlignment="1">
      <alignment vertical="center" wrapText="1"/>
    </xf>
    <xf numFmtId="49" fontId="40" fillId="0" borderId="91" xfId="0" applyNumberFormat="1" applyFont="1" applyBorder="1" applyAlignment="1">
      <alignment vertical="center" wrapText="1"/>
    </xf>
    <xf numFmtId="49" fontId="17" fillId="0" borderId="91" xfId="0" applyNumberFormat="1" applyFont="1" applyBorder="1" applyAlignment="1">
      <alignment vertical="center" wrapText="1"/>
    </xf>
    <xf numFmtId="49" fontId="4" fillId="0" borderId="88" xfId="0" applyNumberFormat="1" applyFont="1" applyBorder="1" applyAlignment="1">
      <alignment vertical="center" wrapText="1"/>
    </xf>
    <xf numFmtId="49" fontId="4" fillId="0" borderId="89" xfId="0" applyNumberFormat="1" applyFont="1" applyBorder="1" applyAlignment="1">
      <alignment horizontal="right" vertical="center" wrapText="1"/>
    </xf>
    <xf numFmtId="1" fontId="22" fillId="0" borderId="90" xfId="0" applyNumberFormat="1" applyFont="1" applyBorder="1" applyAlignment="1">
      <alignment horizontal="center" vertical="center" wrapText="1"/>
    </xf>
    <xf numFmtId="49" fontId="4" fillId="0" borderId="89" xfId="0" applyNumberFormat="1" applyFont="1" applyBorder="1" applyAlignment="1">
      <alignment vertical="center" wrapText="1"/>
    </xf>
    <xf numFmtId="49" fontId="50" fillId="14" borderId="0" xfId="0" applyNumberFormat="1" applyFont="1" applyFill="1" applyAlignment="1">
      <alignment horizontal="right" vertical="center" wrapText="1"/>
    </xf>
    <xf numFmtId="49" fontId="75" fillId="15" borderId="0" xfId="0" applyNumberFormat="1" applyFont="1" applyFill="1" applyAlignment="1">
      <alignment horizontal="right" wrapText="1"/>
    </xf>
    <xf numFmtId="0" fontId="76" fillId="0" borderId="0" xfId="2" applyFont="1" applyAlignment="1">
      <alignment vertical="top" wrapText="1"/>
    </xf>
    <xf numFmtId="49" fontId="3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7">
    <cellStyle name="Гиперссылка" xfId="6" builtinId="8"/>
    <cellStyle name="Нейтральный" xfId="5" builtinId="28"/>
    <cellStyle name="Обычный" xfId="0" builtinId="0"/>
    <cellStyle name="Обычный 2" xfId="2" xr:uid="{00000000-0005-0000-0000-000003000000}"/>
    <cellStyle name="Обычный 2 2" xfId="4" xr:uid="{00000000-0005-0000-0000-000004000000}"/>
    <cellStyle name="Обычный 3" xfId="3" xr:uid="{00000000-0005-0000-0000-000005000000}"/>
    <cellStyle name="Обычный 4" xfId="1" xr:uid="{00000000-0005-0000-0000-000006000000}"/>
  </cellStyles>
  <dxfs count="5"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/>
      </border>
    </dxf>
    <dxf>
      <font>
        <b/>
        <color theme="0"/>
      </font>
      <fill>
        <patternFill patternType="solid">
          <bgColor theme="8"/>
        </patternFill>
      </fill>
    </dxf>
    <dxf>
      <font>
        <color theme="1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2" tint="-9.9887081514938816E-2"/>
        </vertical>
        <horizontal style="thin">
          <color theme="2" tint="-9.9887081514938816E-2"/>
        </horizontal>
      </border>
    </dxf>
  </dxfs>
  <tableStyles count="1" defaultTableStyle="TableStyleMedium9" defaultPivotStyle="PivotStyleMedium4">
    <tableStyle name="TableStyleLight13 2" count="5" xr9:uid="{00000000-0011-0000-FFFF-FFFF00000000}">
      <tableStyleElement type="wholeTable" dxfId="4"/>
      <tableStyleElement type="headerRow" dxfId="3"/>
      <tableStyleElement type="totalRow" dxfId="2"/>
      <tableStyleElement type="firstColumn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628"/>
  <sheetViews>
    <sheetView tabSelected="1" topLeftCell="B1" zoomScale="85" zoomScaleNormal="85" workbookViewId="0">
      <pane ySplit="1" topLeftCell="A2" activePane="bottomLeft" state="frozen"/>
      <selection activeCell="B1" sqref="B1"/>
      <selection pane="bottomLeft" activeCell="E1600" sqref="E1600"/>
    </sheetView>
  </sheetViews>
  <sheetFormatPr defaultColWidth="9.140625" defaultRowHeight="15" x14ac:dyDescent="0.25"/>
  <cols>
    <col min="1" max="1" width="9.140625" style="451"/>
    <col min="2" max="2" width="5.7109375" style="681" customWidth="1"/>
    <col min="3" max="3" width="6.28515625" style="682" customWidth="1"/>
    <col min="4" max="4" width="5.42578125" style="683" customWidth="1"/>
    <col min="5" max="5" width="89.28515625" style="645" customWidth="1"/>
    <col min="6" max="6" width="43.42578125" style="645" customWidth="1"/>
    <col min="7" max="7" width="25.42578125" style="646" customWidth="1"/>
    <col min="8" max="8" width="10.42578125" style="684" customWidth="1"/>
    <col min="9" max="10" width="8.7109375" style="686" customWidth="1"/>
    <col min="11" max="11" width="10.140625" style="686" customWidth="1"/>
    <col min="12" max="12" width="15.140625" style="646" customWidth="1"/>
    <col min="13" max="13" width="18.42578125" style="648" customWidth="1"/>
    <col min="14" max="14" width="24" style="645" customWidth="1"/>
    <col min="15" max="15" width="18.28515625" style="650" customWidth="1"/>
    <col min="16" max="16" width="5.42578125" style="651" customWidth="1"/>
    <col min="17" max="17" width="5.42578125" style="1" customWidth="1"/>
    <col min="18" max="18" width="16.42578125" style="3" customWidth="1"/>
    <col min="19" max="19" width="11.42578125" style="1" customWidth="1"/>
    <col min="20" max="20" width="13" style="3" customWidth="1"/>
    <col min="21" max="21" width="9.140625" customWidth="1"/>
    <col min="22" max="22" width="20" style="1" customWidth="1"/>
    <col min="23" max="23" width="6.7109375" style="4" bestFit="1" customWidth="1"/>
    <col min="24" max="24" width="9.7109375" style="3" bestFit="1" customWidth="1"/>
    <col min="25" max="16384" width="9.140625" style="3"/>
  </cols>
  <sheetData>
    <row r="1" spans="1:24" s="1" customFormat="1" ht="45" x14ac:dyDescent="0.25">
      <c r="A1" s="451">
        <v>0</v>
      </c>
      <c r="B1" s="605" t="s">
        <v>0</v>
      </c>
      <c r="C1" s="606" t="s">
        <v>3688</v>
      </c>
      <c r="D1" s="607">
        <v>0</v>
      </c>
      <c r="E1" s="606" t="s">
        <v>2</v>
      </c>
      <c r="F1" s="606" t="s">
        <v>3</v>
      </c>
      <c r="G1" s="608" t="s">
        <v>4</v>
      </c>
      <c r="H1" s="609" t="s">
        <v>5</v>
      </c>
      <c r="I1" s="610" t="s">
        <v>3648</v>
      </c>
      <c r="J1" s="610"/>
      <c r="K1" s="610" t="s">
        <v>3668</v>
      </c>
      <c r="L1" s="608" t="s">
        <v>6</v>
      </c>
      <c r="M1" s="611"/>
      <c r="N1" s="606" t="s">
        <v>7</v>
      </c>
      <c r="O1" s="612" t="s">
        <v>8</v>
      </c>
      <c r="P1" s="613" t="s">
        <v>9</v>
      </c>
      <c r="Q1" s="149" t="s">
        <v>11</v>
      </c>
      <c r="R1" s="149" t="s">
        <v>3651</v>
      </c>
      <c r="S1" s="149" t="s">
        <v>3671</v>
      </c>
      <c r="T1" s="571" t="s">
        <v>14</v>
      </c>
      <c r="U1" s="153" t="s">
        <v>3640</v>
      </c>
      <c r="W1" s="3"/>
      <c r="X1" s="3"/>
    </row>
    <row r="2" spans="1:24" s="569" customFormat="1" x14ac:dyDescent="0.25">
      <c r="A2" s="568"/>
      <c r="B2" s="569" t="s">
        <v>3552</v>
      </c>
      <c r="D2" s="567">
        <v>1</v>
      </c>
      <c r="E2" s="569" t="s">
        <v>5596</v>
      </c>
      <c r="F2" s="569" t="s">
        <v>5600</v>
      </c>
      <c r="G2" s="572" t="s">
        <v>5598</v>
      </c>
      <c r="H2" s="586">
        <v>2018</v>
      </c>
      <c r="I2" s="156" t="str">
        <f>RIGHT(H2,4)</f>
        <v>2018</v>
      </c>
      <c r="J2" s="156">
        <v>2018</v>
      </c>
      <c r="K2" s="568"/>
      <c r="M2" s="570"/>
      <c r="N2" s="138" t="s">
        <v>3557</v>
      </c>
      <c r="O2" s="569" t="s">
        <v>5599</v>
      </c>
      <c r="T2" s="569" t="s">
        <v>5597</v>
      </c>
    </row>
    <row r="3" spans="1:24" s="569" customFormat="1" x14ac:dyDescent="0.25">
      <c r="A3" s="568"/>
      <c r="D3" s="567">
        <v>2</v>
      </c>
      <c r="E3" s="569" t="s">
        <v>5604</v>
      </c>
      <c r="F3" s="569" t="s">
        <v>5601</v>
      </c>
      <c r="G3" s="569" t="s">
        <v>5602</v>
      </c>
      <c r="H3" s="586">
        <v>2019</v>
      </c>
      <c r="I3" s="156" t="str">
        <f>RIGHT(H3,4)</f>
        <v>2019</v>
      </c>
      <c r="J3" s="156">
        <v>2019</v>
      </c>
      <c r="K3" s="568"/>
      <c r="M3" s="570"/>
      <c r="N3" s="138" t="s">
        <v>3557</v>
      </c>
      <c r="O3" s="569" t="s">
        <v>3557</v>
      </c>
      <c r="T3" s="569" t="s">
        <v>5603</v>
      </c>
    </row>
    <row r="4" spans="1:24" s="1" customFormat="1" x14ac:dyDescent="0.25">
      <c r="A4" s="154">
        <v>1</v>
      </c>
      <c r="B4" s="136" t="s">
        <v>3552</v>
      </c>
      <c r="C4" s="136"/>
      <c r="D4" s="567">
        <v>3</v>
      </c>
      <c r="E4" s="138" t="s">
        <v>3555</v>
      </c>
      <c r="F4" s="138" t="s">
        <v>3559</v>
      </c>
      <c r="G4" s="155" t="s">
        <v>3556</v>
      </c>
      <c r="H4" s="155" t="s">
        <v>2898</v>
      </c>
      <c r="I4" s="156" t="str">
        <f>RIGHT(H4,4)</f>
        <v>2009</v>
      </c>
      <c r="J4" s="156"/>
      <c r="K4" s="156"/>
      <c r="L4" s="2"/>
      <c r="M4" s="157" t="str">
        <f>CONCATENATE("К",L4)</f>
        <v>К</v>
      </c>
      <c r="N4" s="138" t="s">
        <v>3557</v>
      </c>
      <c r="O4" s="180" t="s">
        <v>3558</v>
      </c>
      <c r="R4" s="3"/>
      <c r="T4" s="3"/>
      <c r="U4"/>
      <c r="W4" s="3"/>
      <c r="X4" s="3"/>
    </row>
    <row r="5" spans="1:24" s="1" customFormat="1" x14ac:dyDescent="0.25">
      <c r="A5" s="158">
        <v>2</v>
      </c>
      <c r="C5" s="452" t="s">
        <v>3640</v>
      </c>
      <c r="D5" s="567">
        <v>4</v>
      </c>
      <c r="E5" s="159" t="s">
        <v>3721</v>
      </c>
      <c r="F5" s="160" t="s">
        <v>3720</v>
      </c>
      <c r="G5" s="155" t="s">
        <v>3705</v>
      </c>
      <c r="H5" s="587">
        <v>2010</v>
      </c>
      <c r="I5" s="453">
        <v>2010</v>
      </c>
      <c r="J5" s="453"/>
      <c r="K5" s="156"/>
      <c r="L5" s="2"/>
      <c r="M5" s="157"/>
      <c r="N5" s="138" t="s">
        <v>3557</v>
      </c>
      <c r="O5" s="180" t="s">
        <v>3558</v>
      </c>
      <c r="R5" s="3"/>
      <c r="T5" s="3"/>
      <c r="U5" s="153" t="s">
        <v>3640</v>
      </c>
      <c r="W5" s="3"/>
      <c r="X5" s="3"/>
    </row>
    <row r="6" spans="1:24" x14ac:dyDescent="0.25">
      <c r="A6" s="154">
        <v>3</v>
      </c>
      <c r="B6" s="1"/>
      <c r="C6" s="452" t="s">
        <v>3640</v>
      </c>
      <c r="D6" s="567">
        <v>5</v>
      </c>
      <c r="E6" s="159" t="s">
        <v>3719</v>
      </c>
      <c r="F6" s="160" t="s">
        <v>3706</v>
      </c>
      <c r="G6" s="155" t="s">
        <v>3707</v>
      </c>
      <c r="H6" s="588">
        <v>2010</v>
      </c>
      <c r="I6" s="584">
        <v>2010</v>
      </c>
      <c r="J6" s="584"/>
      <c r="K6" s="156"/>
      <c r="L6" s="2"/>
      <c r="M6" s="157"/>
      <c r="N6" s="138" t="s">
        <v>3557</v>
      </c>
      <c r="O6" s="180" t="s">
        <v>116</v>
      </c>
      <c r="P6" s="1"/>
      <c r="U6" s="153" t="s">
        <v>3640</v>
      </c>
      <c r="W6" s="3"/>
    </row>
    <row r="7" spans="1:24" s="1" customFormat="1" x14ac:dyDescent="0.25">
      <c r="A7" s="158">
        <v>4</v>
      </c>
      <c r="C7" s="452" t="s">
        <v>3640</v>
      </c>
      <c r="D7" s="567">
        <v>6</v>
      </c>
      <c r="E7" s="159" t="s">
        <v>3719</v>
      </c>
      <c r="F7" s="160" t="s">
        <v>3722</v>
      </c>
      <c r="G7" s="155" t="s">
        <v>3708</v>
      </c>
      <c r="H7" s="588">
        <v>2016</v>
      </c>
      <c r="I7" s="584">
        <v>2016</v>
      </c>
      <c r="J7" s="584"/>
      <c r="K7" s="156"/>
      <c r="L7" s="2"/>
      <c r="M7" s="157"/>
      <c r="N7" s="138" t="s">
        <v>3557</v>
      </c>
      <c r="O7" s="180" t="s">
        <v>116</v>
      </c>
      <c r="R7" s="3"/>
      <c r="T7" s="3"/>
      <c r="U7" s="153" t="s">
        <v>3640</v>
      </c>
      <c r="W7" s="3"/>
      <c r="X7" s="3"/>
    </row>
    <row r="8" spans="1:24" s="1" customFormat="1" x14ac:dyDescent="0.25">
      <c r="A8" s="154">
        <v>5</v>
      </c>
      <c r="C8" s="452" t="s">
        <v>3640</v>
      </c>
      <c r="D8" s="567">
        <v>7</v>
      </c>
      <c r="E8" s="159" t="s">
        <v>3719</v>
      </c>
      <c r="F8" s="160" t="s">
        <v>3723</v>
      </c>
      <c r="G8" s="155" t="s">
        <v>3709</v>
      </c>
      <c r="H8" s="588">
        <v>2016</v>
      </c>
      <c r="I8" s="584">
        <v>2016</v>
      </c>
      <c r="J8" s="584"/>
      <c r="K8" s="156"/>
      <c r="L8" s="2"/>
      <c r="M8" s="157"/>
      <c r="N8" s="138" t="s">
        <v>3557</v>
      </c>
      <c r="O8" s="180" t="s">
        <v>116</v>
      </c>
      <c r="R8" s="3"/>
      <c r="T8" s="3"/>
      <c r="U8" s="153" t="s">
        <v>3640</v>
      </c>
      <c r="W8" s="3"/>
      <c r="X8" s="3"/>
    </row>
    <row r="9" spans="1:24" s="1" customFormat="1" x14ac:dyDescent="0.25">
      <c r="A9" s="158">
        <v>6</v>
      </c>
      <c r="C9" s="452" t="s">
        <v>3640</v>
      </c>
      <c r="D9" s="567">
        <v>8</v>
      </c>
      <c r="E9" s="159" t="s">
        <v>3719</v>
      </c>
      <c r="F9" s="160" t="s">
        <v>3723</v>
      </c>
      <c r="G9" s="155" t="s">
        <v>3710</v>
      </c>
      <c r="H9" s="588">
        <v>2008</v>
      </c>
      <c r="I9" s="584">
        <v>2008</v>
      </c>
      <c r="J9" s="584"/>
      <c r="K9" s="156"/>
      <c r="L9" s="2"/>
      <c r="M9" s="157"/>
      <c r="N9" s="138" t="s">
        <v>3557</v>
      </c>
      <c r="O9" s="180" t="s">
        <v>116</v>
      </c>
      <c r="R9" s="3"/>
      <c r="T9" s="3"/>
      <c r="U9" s="153" t="s">
        <v>3640</v>
      </c>
      <c r="W9" s="3"/>
      <c r="X9" s="3"/>
    </row>
    <row r="10" spans="1:24" s="1" customFormat="1" x14ac:dyDescent="0.25">
      <c r="A10" s="154">
        <v>7</v>
      </c>
      <c r="C10" s="452" t="s">
        <v>3640</v>
      </c>
      <c r="D10" s="567">
        <v>9</v>
      </c>
      <c r="E10" s="159" t="s">
        <v>3719</v>
      </c>
      <c r="F10" s="138" t="s">
        <v>3711</v>
      </c>
      <c r="G10" s="155" t="s">
        <v>3712</v>
      </c>
      <c r="H10" s="588">
        <v>2019</v>
      </c>
      <c r="I10" s="584">
        <v>2019</v>
      </c>
      <c r="J10" s="584"/>
      <c r="K10" s="156"/>
      <c r="L10" s="2"/>
      <c r="M10" s="157"/>
      <c r="N10" s="138" t="s">
        <v>3557</v>
      </c>
      <c r="O10" s="180" t="s">
        <v>116</v>
      </c>
      <c r="R10" s="3"/>
      <c r="T10" s="3"/>
      <c r="U10" s="153" t="s">
        <v>3640</v>
      </c>
      <c r="W10" s="3"/>
      <c r="X10" s="3"/>
    </row>
    <row r="11" spans="1:24" s="1" customFormat="1" x14ac:dyDescent="0.25">
      <c r="A11" s="158">
        <v>8</v>
      </c>
      <c r="C11" s="452" t="s">
        <v>3640</v>
      </c>
      <c r="D11" s="567">
        <v>10</v>
      </c>
      <c r="E11" s="159" t="s">
        <v>3719</v>
      </c>
      <c r="F11" s="138" t="s">
        <v>3711</v>
      </c>
      <c r="G11" s="155" t="s">
        <v>3713</v>
      </c>
      <c r="H11" s="588">
        <v>2019</v>
      </c>
      <c r="I11" s="584">
        <v>2019</v>
      </c>
      <c r="J11" s="584"/>
      <c r="K11" s="156"/>
      <c r="L11" s="2"/>
      <c r="M11" s="157"/>
      <c r="N11" s="138" t="s">
        <v>3557</v>
      </c>
      <c r="O11" s="180" t="s">
        <v>116</v>
      </c>
      <c r="R11" s="3"/>
      <c r="T11" s="3"/>
      <c r="U11" s="153" t="s">
        <v>3640</v>
      </c>
      <c r="W11" s="3"/>
      <c r="X11" s="3"/>
    </row>
    <row r="12" spans="1:24" s="1" customFormat="1" x14ac:dyDescent="0.25">
      <c r="A12" s="154">
        <v>9</v>
      </c>
      <c r="C12" s="452" t="s">
        <v>3640</v>
      </c>
      <c r="D12" s="567">
        <v>11</v>
      </c>
      <c r="E12" s="159" t="s">
        <v>3719</v>
      </c>
      <c r="F12" s="138" t="s">
        <v>3711</v>
      </c>
      <c r="G12" s="155" t="s">
        <v>3714</v>
      </c>
      <c r="H12" s="588">
        <v>2019</v>
      </c>
      <c r="I12" s="584">
        <v>2019</v>
      </c>
      <c r="J12" s="584"/>
      <c r="K12" s="156"/>
      <c r="L12" s="2"/>
      <c r="M12" s="157"/>
      <c r="N12" s="138" t="s">
        <v>3557</v>
      </c>
      <c r="O12" s="180" t="s">
        <v>116</v>
      </c>
      <c r="R12" s="3"/>
      <c r="T12" s="3"/>
      <c r="U12" s="153" t="s">
        <v>3640</v>
      </c>
      <c r="W12" s="3"/>
      <c r="X12" s="3"/>
    </row>
    <row r="13" spans="1:24" s="1" customFormat="1" x14ac:dyDescent="0.25">
      <c r="A13" s="158">
        <v>10</v>
      </c>
      <c r="C13" s="452" t="s">
        <v>3640</v>
      </c>
      <c r="D13" s="567">
        <v>12</v>
      </c>
      <c r="E13" s="159" t="s">
        <v>3719</v>
      </c>
      <c r="F13" s="170" t="s">
        <v>3715</v>
      </c>
      <c r="G13" s="155" t="s">
        <v>3716</v>
      </c>
      <c r="H13" s="588">
        <v>2010</v>
      </c>
      <c r="I13" s="584">
        <v>2010</v>
      </c>
      <c r="J13" s="584"/>
      <c r="K13" s="156"/>
      <c r="L13" s="2"/>
      <c r="M13" s="157"/>
      <c r="N13" s="138" t="s">
        <v>3557</v>
      </c>
      <c r="O13" s="180" t="s">
        <v>116</v>
      </c>
      <c r="R13" s="3"/>
      <c r="T13" s="3"/>
      <c r="U13" s="153" t="s">
        <v>3640</v>
      </c>
      <c r="W13" s="3"/>
      <c r="X13" s="3"/>
    </row>
    <row r="14" spans="1:24" s="1" customFormat="1" x14ac:dyDescent="0.25">
      <c r="A14" s="154">
        <v>11</v>
      </c>
      <c r="C14" s="452" t="s">
        <v>3640</v>
      </c>
      <c r="D14" s="567">
        <v>13</v>
      </c>
      <c r="E14" s="159" t="s">
        <v>3719</v>
      </c>
      <c r="F14" s="170" t="s">
        <v>3724</v>
      </c>
      <c r="G14" s="155" t="s">
        <v>3717</v>
      </c>
      <c r="H14" s="588">
        <v>2020</v>
      </c>
      <c r="I14" s="584">
        <v>2020</v>
      </c>
      <c r="J14" s="584"/>
      <c r="K14" s="156"/>
      <c r="L14" s="2"/>
      <c r="M14" s="157"/>
      <c r="N14" s="138" t="s">
        <v>3557</v>
      </c>
      <c r="O14" s="180" t="s">
        <v>116</v>
      </c>
      <c r="R14" s="170" t="s">
        <v>3756</v>
      </c>
      <c r="S14" s="455" t="s">
        <v>3757</v>
      </c>
      <c r="T14" s="3"/>
      <c r="U14" s="153" t="s">
        <v>3640</v>
      </c>
      <c r="W14" s="3"/>
      <c r="X14" s="3"/>
    </row>
    <row r="15" spans="1:24" s="1" customFormat="1" x14ac:dyDescent="0.25">
      <c r="A15" s="158">
        <v>12</v>
      </c>
      <c r="C15" s="452" t="s">
        <v>3640</v>
      </c>
      <c r="D15" s="567">
        <v>14</v>
      </c>
      <c r="E15" s="159" t="s">
        <v>3719</v>
      </c>
      <c r="F15" s="160" t="s">
        <v>3724</v>
      </c>
      <c r="G15" s="155" t="s">
        <v>3718</v>
      </c>
      <c r="H15" s="588">
        <v>2020</v>
      </c>
      <c r="I15" s="584">
        <v>2020</v>
      </c>
      <c r="J15" s="584"/>
      <c r="K15" s="156"/>
      <c r="L15" s="2"/>
      <c r="M15" s="157"/>
      <c r="N15" s="138" t="s">
        <v>3557</v>
      </c>
      <c r="O15" s="180" t="s">
        <v>116</v>
      </c>
      <c r="R15" s="170" t="s">
        <v>3756</v>
      </c>
      <c r="S15" s="455" t="s">
        <v>3757</v>
      </c>
      <c r="T15" s="3"/>
      <c r="U15" s="153" t="s">
        <v>3640</v>
      </c>
      <c r="W15" s="3"/>
      <c r="X15" s="3"/>
    </row>
    <row r="16" spans="1:24" s="1" customFormat="1" x14ac:dyDescent="0.25">
      <c r="A16" s="154">
        <v>13</v>
      </c>
      <c r="C16" s="452" t="s">
        <v>3640</v>
      </c>
      <c r="D16" s="567">
        <v>15</v>
      </c>
      <c r="E16" s="159" t="s">
        <v>3719</v>
      </c>
      <c r="F16" s="160" t="s">
        <v>3724</v>
      </c>
      <c r="G16" s="178" t="s">
        <v>3753</v>
      </c>
      <c r="H16" s="588">
        <v>2020</v>
      </c>
      <c r="I16" s="584">
        <v>2020</v>
      </c>
      <c r="J16" s="584"/>
      <c r="K16" s="156"/>
      <c r="L16" s="2"/>
      <c r="M16" s="157"/>
      <c r="N16" s="138" t="s">
        <v>3557</v>
      </c>
      <c r="O16" s="180" t="s">
        <v>116</v>
      </c>
      <c r="R16" s="170" t="s">
        <v>3756</v>
      </c>
      <c r="S16" s="455" t="s">
        <v>3757</v>
      </c>
      <c r="T16" s="3"/>
      <c r="V16" s="4"/>
      <c r="W16" s="3"/>
      <c r="X16" s="3"/>
    </row>
    <row r="17" spans="1:24" x14ac:dyDescent="0.25">
      <c r="A17" s="158">
        <v>60</v>
      </c>
      <c r="B17" s="456" t="s">
        <v>3552</v>
      </c>
      <c r="C17" s="457" t="s">
        <v>3034</v>
      </c>
      <c r="D17" s="567">
        <v>16</v>
      </c>
      <c r="E17" s="3" t="s">
        <v>3259</v>
      </c>
      <c r="F17" s="3" t="s">
        <v>3260</v>
      </c>
      <c r="G17" s="2" t="s">
        <v>3261</v>
      </c>
      <c r="H17" s="585">
        <v>1993</v>
      </c>
      <c r="I17" s="156" t="str">
        <f t="shared" ref="I17:I48" si="0">RIGHT(H17,4)</f>
        <v>1993</v>
      </c>
      <c r="J17" s="156">
        <v>1993</v>
      </c>
      <c r="K17" s="156"/>
      <c r="L17" s="2" t="s">
        <v>3263</v>
      </c>
      <c r="M17" s="157" t="str">
        <f t="shared" ref="M17:M48" si="1">CONCATENATE("К",L17)</f>
        <v>К04700036</v>
      </c>
      <c r="N17" s="161" t="s">
        <v>3636</v>
      </c>
      <c r="O17" s="4" t="s">
        <v>1263</v>
      </c>
      <c r="P17" s="1"/>
      <c r="U17" s="1"/>
      <c r="V17" s="4"/>
      <c r="W17" s="162"/>
      <c r="X17" s="162"/>
    </row>
    <row r="18" spans="1:24" x14ac:dyDescent="0.25">
      <c r="A18" s="154">
        <v>61</v>
      </c>
      <c r="B18" s="456" t="s">
        <v>3552</v>
      </c>
      <c r="C18" s="457" t="s">
        <v>3034</v>
      </c>
      <c r="D18" s="567">
        <v>17</v>
      </c>
      <c r="E18" s="3" t="s">
        <v>3264</v>
      </c>
      <c r="F18" s="3" t="s">
        <v>3265</v>
      </c>
      <c r="G18" s="2" t="s">
        <v>3266</v>
      </c>
      <c r="H18" s="585">
        <v>2000</v>
      </c>
      <c r="I18" s="156" t="str">
        <f t="shared" si="0"/>
        <v>2000</v>
      </c>
      <c r="J18" s="156">
        <v>2000</v>
      </c>
      <c r="K18" s="156"/>
      <c r="L18" s="2" t="s">
        <v>3267</v>
      </c>
      <c r="M18" s="157" t="str">
        <f t="shared" si="1"/>
        <v>К01370182_1</v>
      </c>
      <c r="N18" s="161" t="s">
        <v>3636</v>
      </c>
      <c r="O18" s="4" t="s">
        <v>1263</v>
      </c>
      <c r="P18" s="1"/>
      <c r="U18" s="1"/>
      <c r="V18" s="4"/>
      <c r="W18" s="3"/>
    </row>
    <row r="19" spans="1:24" x14ac:dyDescent="0.25">
      <c r="A19" s="158">
        <v>62</v>
      </c>
      <c r="B19" s="456" t="s">
        <v>3552</v>
      </c>
      <c r="C19" s="457" t="s">
        <v>3034</v>
      </c>
      <c r="D19" s="567">
        <v>18</v>
      </c>
      <c r="E19" s="3" t="s">
        <v>2975</v>
      </c>
      <c r="F19" s="3" t="s">
        <v>3268</v>
      </c>
      <c r="G19" s="2" t="s">
        <v>3269</v>
      </c>
      <c r="H19" s="585">
        <v>2000</v>
      </c>
      <c r="I19" s="156" t="str">
        <f t="shared" si="0"/>
        <v>2000</v>
      </c>
      <c r="J19" s="156">
        <v>2000</v>
      </c>
      <c r="K19" s="156"/>
      <c r="L19" s="2" t="s">
        <v>3270</v>
      </c>
      <c r="M19" s="157" t="str">
        <f t="shared" si="1"/>
        <v>К01370178_1</v>
      </c>
      <c r="N19" s="161" t="s">
        <v>3636</v>
      </c>
      <c r="O19" s="4" t="s">
        <v>1263</v>
      </c>
      <c r="P19" s="1"/>
      <c r="U19" s="1"/>
      <c r="V19" s="4"/>
      <c r="W19" s="3"/>
    </row>
    <row r="20" spans="1:24" s="162" customFormat="1" x14ac:dyDescent="0.25">
      <c r="A20" s="154">
        <v>63</v>
      </c>
      <c r="B20" s="456" t="s">
        <v>3552</v>
      </c>
      <c r="C20" s="457"/>
      <c r="D20" s="567">
        <v>22</v>
      </c>
      <c r="E20" s="3" t="s">
        <v>3278</v>
      </c>
      <c r="F20" s="43" t="s">
        <v>3395</v>
      </c>
      <c r="G20" s="2" t="s">
        <v>3289</v>
      </c>
      <c r="H20" s="589" t="s">
        <v>735</v>
      </c>
      <c r="I20" s="156" t="str">
        <f t="shared" si="0"/>
        <v>2000</v>
      </c>
      <c r="J20" s="156" t="str">
        <f>I20</f>
        <v>2000</v>
      </c>
      <c r="K20" s="156"/>
      <c r="L20" s="2" t="s">
        <v>3290</v>
      </c>
      <c r="M20" s="157" t="str">
        <f t="shared" si="1"/>
        <v>К01370186_1</v>
      </c>
      <c r="N20" s="161" t="s">
        <v>3636</v>
      </c>
      <c r="O20" s="4" t="s">
        <v>1263</v>
      </c>
      <c r="P20" s="1"/>
      <c r="Q20" s="1"/>
      <c r="R20" s="3"/>
      <c r="S20" s="1"/>
      <c r="T20" s="3"/>
      <c r="U20" s="1"/>
      <c r="V20" s="4"/>
      <c r="W20" s="3"/>
      <c r="X20" s="3"/>
    </row>
    <row r="21" spans="1:24" x14ac:dyDescent="0.25">
      <c r="A21" s="158">
        <v>64</v>
      </c>
      <c r="B21" s="456" t="s">
        <v>3552</v>
      </c>
      <c r="C21" s="457" t="s">
        <v>3034</v>
      </c>
      <c r="D21" s="567">
        <v>84</v>
      </c>
      <c r="E21" s="3" t="s">
        <v>325</v>
      </c>
      <c r="F21" s="43" t="s">
        <v>1936</v>
      </c>
      <c r="G21" s="2" t="s">
        <v>3299</v>
      </c>
      <c r="H21" s="2" t="s">
        <v>550</v>
      </c>
      <c r="I21" s="156" t="str">
        <f t="shared" si="0"/>
        <v>2005</v>
      </c>
      <c r="J21" s="156">
        <v>2005</v>
      </c>
      <c r="K21" s="156"/>
      <c r="L21" s="2" t="s">
        <v>3300</v>
      </c>
      <c r="M21" s="157" t="str">
        <f t="shared" si="1"/>
        <v>К04700153</v>
      </c>
      <c r="N21" s="161" t="s">
        <v>3636</v>
      </c>
      <c r="O21" s="4" t="s">
        <v>1263</v>
      </c>
      <c r="P21" s="1"/>
      <c r="U21" s="1"/>
      <c r="V21" s="4"/>
      <c r="W21" s="3"/>
    </row>
    <row r="22" spans="1:24" x14ac:dyDescent="0.25">
      <c r="A22" s="154">
        <v>65</v>
      </c>
      <c r="B22" s="456" t="s">
        <v>3552</v>
      </c>
      <c r="C22" s="457" t="s">
        <v>3034</v>
      </c>
      <c r="D22" s="567">
        <v>19</v>
      </c>
      <c r="E22" s="3" t="s">
        <v>1264</v>
      </c>
      <c r="F22" s="43" t="s">
        <v>3391</v>
      </c>
      <c r="G22" s="2" t="s">
        <v>3276</v>
      </c>
      <c r="H22" s="2" t="s">
        <v>236</v>
      </c>
      <c r="I22" s="156" t="str">
        <f t="shared" si="0"/>
        <v>2009</v>
      </c>
      <c r="J22" s="156">
        <v>2009</v>
      </c>
      <c r="K22" s="156"/>
      <c r="L22" s="2" t="s">
        <v>3277</v>
      </c>
      <c r="M22" s="157" t="str">
        <f t="shared" si="1"/>
        <v>К01370180</v>
      </c>
      <c r="N22" s="161" t="s">
        <v>3636</v>
      </c>
      <c r="O22" s="4" t="s">
        <v>1263</v>
      </c>
      <c r="P22" s="1"/>
      <c r="U22" s="1"/>
      <c r="V22" s="4"/>
      <c r="W22" s="3"/>
    </row>
    <row r="23" spans="1:24" x14ac:dyDescent="0.25">
      <c r="A23" s="158">
        <v>66</v>
      </c>
      <c r="B23" s="1"/>
      <c r="C23" s="457" t="s">
        <v>3034</v>
      </c>
      <c r="D23" s="567">
        <v>47</v>
      </c>
      <c r="E23" s="3" t="s">
        <v>24</v>
      </c>
      <c r="F23" s="3" t="s">
        <v>104</v>
      </c>
      <c r="G23" s="2" t="s">
        <v>3207</v>
      </c>
      <c r="H23" s="2" t="s">
        <v>283</v>
      </c>
      <c r="I23" s="156" t="str">
        <f t="shared" si="0"/>
        <v>2011</v>
      </c>
      <c r="J23" s="156"/>
      <c r="K23" s="156"/>
      <c r="L23" s="2" t="s">
        <v>3208</v>
      </c>
      <c r="M23" s="157" t="str">
        <f t="shared" si="1"/>
        <v>К08102970</v>
      </c>
      <c r="N23" s="161" t="s">
        <v>3636</v>
      </c>
      <c r="O23" s="4" t="s">
        <v>3206</v>
      </c>
      <c r="P23" s="1"/>
      <c r="U23" s="1"/>
      <c r="V23" s="4"/>
      <c r="W23" s="3"/>
    </row>
    <row r="24" spans="1:24" x14ac:dyDescent="0.25">
      <c r="A24" s="154">
        <v>67</v>
      </c>
      <c r="B24" s="1"/>
      <c r="C24" s="457" t="s">
        <v>3034</v>
      </c>
      <c r="D24" s="567">
        <v>48</v>
      </c>
      <c r="E24" s="3" t="s">
        <v>24</v>
      </c>
      <c r="F24" s="3" t="s">
        <v>104</v>
      </c>
      <c r="G24" s="2" t="s">
        <v>3204</v>
      </c>
      <c r="H24" s="2" t="s">
        <v>283</v>
      </c>
      <c r="I24" s="156" t="str">
        <f t="shared" si="0"/>
        <v>2011</v>
      </c>
      <c r="J24" s="156"/>
      <c r="K24" s="156"/>
      <c r="L24" s="2" t="s">
        <v>3205</v>
      </c>
      <c r="M24" s="157" t="str">
        <f t="shared" si="1"/>
        <v>К08102972</v>
      </c>
      <c r="N24" s="161" t="s">
        <v>3636</v>
      </c>
      <c r="O24" s="4" t="s">
        <v>3206</v>
      </c>
      <c r="P24" s="1"/>
      <c r="U24" s="1"/>
      <c r="V24" s="4"/>
      <c r="W24" s="3"/>
    </row>
    <row r="25" spans="1:24" x14ac:dyDescent="0.25">
      <c r="A25" s="158">
        <v>68</v>
      </c>
      <c r="B25" s="1"/>
      <c r="C25" s="457" t="s">
        <v>3034</v>
      </c>
      <c r="D25" s="567">
        <v>49</v>
      </c>
      <c r="E25" s="3" t="s">
        <v>24</v>
      </c>
      <c r="F25" s="3" t="s">
        <v>104</v>
      </c>
      <c r="G25" s="2" t="s">
        <v>3209</v>
      </c>
      <c r="H25" s="2" t="s">
        <v>283</v>
      </c>
      <c r="I25" s="156" t="str">
        <f t="shared" si="0"/>
        <v>2011</v>
      </c>
      <c r="J25" s="156"/>
      <c r="K25" s="156"/>
      <c r="L25" s="2" t="s">
        <v>3210</v>
      </c>
      <c r="M25" s="157" t="str">
        <f t="shared" si="1"/>
        <v>К08102968</v>
      </c>
      <c r="N25" s="161" t="s">
        <v>3636</v>
      </c>
      <c r="O25" s="4" t="s">
        <v>3211</v>
      </c>
      <c r="P25" s="1"/>
      <c r="U25" s="1"/>
      <c r="V25" s="4"/>
      <c r="W25" s="3"/>
    </row>
    <row r="26" spans="1:24" x14ac:dyDescent="0.25">
      <c r="A26" s="154">
        <v>69</v>
      </c>
      <c r="B26" s="1"/>
      <c r="C26" s="457" t="s">
        <v>3034</v>
      </c>
      <c r="D26" s="567">
        <v>50</v>
      </c>
      <c r="E26" s="3" t="s">
        <v>24</v>
      </c>
      <c r="F26" s="3" t="s">
        <v>104</v>
      </c>
      <c r="G26" s="2" t="s">
        <v>3212</v>
      </c>
      <c r="H26" s="2" t="s">
        <v>283</v>
      </c>
      <c r="I26" s="156" t="str">
        <f t="shared" si="0"/>
        <v>2011</v>
      </c>
      <c r="J26" s="156"/>
      <c r="K26" s="156"/>
      <c r="L26" s="2" t="s">
        <v>3213</v>
      </c>
      <c r="M26" s="157" t="str">
        <f t="shared" si="1"/>
        <v>К08102969</v>
      </c>
      <c r="N26" s="161" t="s">
        <v>3636</v>
      </c>
      <c r="O26" s="4" t="s">
        <v>3211</v>
      </c>
      <c r="P26" s="1"/>
      <c r="U26" s="1"/>
      <c r="V26" s="4"/>
      <c r="W26" s="3"/>
    </row>
    <row r="27" spans="1:24" x14ac:dyDescent="0.25">
      <c r="A27" s="158">
        <v>70</v>
      </c>
      <c r="B27" s="1"/>
      <c r="C27" s="457" t="s">
        <v>3034</v>
      </c>
      <c r="D27" s="567">
        <v>60</v>
      </c>
      <c r="E27" s="3" t="s">
        <v>24</v>
      </c>
      <c r="F27" s="3" t="s">
        <v>104</v>
      </c>
      <c r="G27" s="2" t="s">
        <v>3237</v>
      </c>
      <c r="H27" s="2" t="s">
        <v>283</v>
      </c>
      <c r="I27" s="156" t="str">
        <f t="shared" si="0"/>
        <v>2011</v>
      </c>
      <c r="J27" s="156"/>
      <c r="K27" s="156"/>
      <c r="L27" s="2" t="s">
        <v>3238</v>
      </c>
      <c r="M27" s="157" t="str">
        <f t="shared" si="1"/>
        <v>К08102983</v>
      </c>
      <c r="N27" s="161" t="s">
        <v>3636</v>
      </c>
      <c r="O27" s="4" t="s">
        <v>3236</v>
      </c>
      <c r="P27" s="1"/>
      <c r="U27" s="1"/>
      <c r="V27" s="4"/>
      <c r="W27" s="3"/>
    </row>
    <row r="28" spans="1:24" x14ac:dyDescent="0.25">
      <c r="A28" s="154">
        <v>71</v>
      </c>
      <c r="B28" s="1"/>
      <c r="C28" s="457" t="s">
        <v>3034</v>
      </c>
      <c r="D28" s="567">
        <v>61</v>
      </c>
      <c r="E28" s="3" t="s">
        <v>24</v>
      </c>
      <c r="F28" s="3" t="s">
        <v>104</v>
      </c>
      <c r="G28" s="2" t="s">
        <v>3239</v>
      </c>
      <c r="H28" s="2" t="s">
        <v>283</v>
      </c>
      <c r="I28" s="156" t="str">
        <f t="shared" si="0"/>
        <v>2011</v>
      </c>
      <c r="J28" s="156"/>
      <c r="K28" s="156"/>
      <c r="L28" s="2" t="s">
        <v>3240</v>
      </c>
      <c r="M28" s="157" t="str">
        <f t="shared" si="1"/>
        <v>К08102966_2</v>
      </c>
      <c r="N28" s="161" t="s">
        <v>3636</v>
      </c>
      <c r="O28" s="4" t="s">
        <v>3241</v>
      </c>
      <c r="P28" s="1"/>
      <c r="U28" s="1"/>
      <c r="V28" s="4"/>
      <c r="W28" s="3"/>
    </row>
    <row r="29" spans="1:24" x14ac:dyDescent="0.25">
      <c r="A29" s="158">
        <v>72</v>
      </c>
      <c r="B29" s="1"/>
      <c r="C29" s="457" t="s">
        <v>3034</v>
      </c>
      <c r="D29" s="567">
        <v>66</v>
      </c>
      <c r="E29" s="3" t="s">
        <v>24</v>
      </c>
      <c r="F29" s="3" t="s">
        <v>104</v>
      </c>
      <c r="G29" s="2" t="s">
        <v>3253</v>
      </c>
      <c r="H29" s="2" t="s">
        <v>283</v>
      </c>
      <c r="I29" s="156" t="str">
        <f t="shared" si="0"/>
        <v>2011</v>
      </c>
      <c r="J29" s="156"/>
      <c r="K29" s="156"/>
      <c r="L29" s="2" t="s">
        <v>3254</v>
      </c>
      <c r="M29" s="157" t="str">
        <f t="shared" si="1"/>
        <v>К08102957_2</v>
      </c>
      <c r="N29" s="161" t="s">
        <v>3636</v>
      </c>
      <c r="O29" s="4" t="s">
        <v>2635</v>
      </c>
      <c r="P29" s="1"/>
      <c r="U29" s="1"/>
      <c r="V29" s="4"/>
      <c r="W29" s="3"/>
    </row>
    <row r="30" spans="1:24" x14ac:dyDescent="0.25">
      <c r="A30" s="154">
        <v>73</v>
      </c>
      <c r="B30" s="1"/>
      <c r="C30" s="457" t="s">
        <v>3034</v>
      </c>
      <c r="D30" s="567">
        <v>67</v>
      </c>
      <c r="E30" s="3" t="s">
        <v>24</v>
      </c>
      <c r="F30" s="3" t="s">
        <v>104</v>
      </c>
      <c r="G30" s="2" t="s">
        <v>3255</v>
      </c>
      <c r="H30" s="2" t="s">
        <v>283</v>
      </c>
      <c r="I30" s="156" t="str">
        <f t="shared" si="0"/>
        <v>2011</v>
      </c>
      <c r="J30" s="156"/>
      <c r="K30" s="156"/>
      <c r="L30" s="2" t="s">
        <v>3256</v>
      </c>
      <c r="M30" s="157" t="str">
        <f t="shared" si="1"/>
        <v>К08102986_2</v>
      </c>
      <c r="N30" s="161" t="s">
        <v>3636</v>
      </c>
      <c r="O30" s="4" t="s">
        <v>2635</v>
      </c>
      <c r="P30" s="1"/>
      <c r="U30" s="1"/>
      <c r="V30" s="4"/>
      <c r="W30" s="3"/>
    </row>
    <row r="31" spans="1:24" x14ac:dyDescent="0.25">
      <c r="A31" s="158">
        <v>74</v>
      </c>
      <c r="B31" s="1"/>
      <c r="C31" s="457" t="s">
        <v>3034</v>
      </c>
      <c r="D31" s="567">
        <v>68</v>
      </c>
      <c r="E31" s="3" t="s">
        <v>24</v>
      </c>
      <c r="F31" s="3" t="s">
        <v>104</v>
      </c>
      <c r="G31" s="2" t="s">
        <v>3257</v>
      </c>
      <c r="H31" s="2" t="s">
        <v>283</v>
      </c>
      <c r="I31" s="156" t="str">
        <f t="shared" si="0"/>
        <v>2011</v>
      </c>
      <c r="J31" s="156"/>
      <c r="K31" s="156"/>
      <c r="L31" s="2" t="s">
        <v>3258</v>
      </c>
      <c r="M31" s="157" t="str">
        <f t="shared" si="1"/>
        <v>К08102967</v>
      </c>
      <c r="N31" s="161" t="s">
        <v>3636</v>
      </c>
      <c r="O31" s="4" t="s">
        <v>1236</v>
      </c>
      <c r="P31" s="1"/>
      <c r="U31" s="1"/>
      <c r="V31" s="4"/>
      <c r="W31" s="3"/>
    </row>
    <row r="32" spans="1:24" x14ac:dyDescent="0.25">
      <c r="A32" s="154">
        <v>75</v>
      </c>
      <c r="B32" s="1"/>
      <c r="C32" s="457" t="s">
        <v>3034</v>
      </c>
      <c r="D32" s="567">
        <v>70</v>
      </c>
      <c r="E32" s="3" t="s">
        <v>24</v>
      </c>
      <c r="F32" s="3" t="s">
        <v>157</v>
      </c>
      <c r="G32" s="2" t="s">
        <v>2886</v>
      </c>
      <c r="H32" s="2" t="s">
        <v>283</v>
      </c>
      <c r="I32" s="156" t="str">
        <f t="shared" si="0"/>
        <v>2011</v>
      </c>
      <c r="J32" s="156"/>
      <c r="K32" s="156"/>
      <c r="L32" s="2" t="s">
        <v>3306</v>
      </c>
      <c r="M32" s="157" t="str">
        <f t="shared" si="1"/>
        <v>К08103005</v>
      </c>
      <c r="N32" s="161" t="s">
        <v>3636</v>
      </c>
      <c r="O32" s="4" t="s">
        <v>3307</v>
      </c>
      <c r="P32" s="1"/>
      <c r="U32" s="1"/>
      <c r="V32" s="4"/>
      <c r="W32" s="3"/>
    </row>
    <row r="33" spans="1:23" x14ac:dyDescent="0.25">
      <c r="A33" s="158">
        <v>76</v>
      </c>
      <c r="B33" s="456" t="s">
        <v>3552</v>
      </c>
      <c r="C33" s="456"/>
      <c r="D33" s="567">
        <v>23</v>
      </c>
      <c r="E33" s="3" t="s">
        <v>3278</v>
      </c>
      <c r="F33" s="43" t="s">
        <v>3393</v>
      </c>
      <c r="G33" s="2" t="s">
        <v>3281</v>
      </c>
      <c r="H33" s="589" t="s">
        <v>5647</v>
      </c>
      <c r="I33" s="156" t="str">
        <f t="shared" si="0"/>
        <v>2011</v>
      </c>
      <c r="J33" s="156" t="str">
        <f>I33</f>
        <v>2011</v>
      </c>
      <c r="K33" s="156"/>
      <c r="L33" s="2" t="s">
        <v>3282</v>
      </c>
      <c r="M33" s="157" t="str">
        <f t="shared" si="1"/>
        <v>К08103035_2</v>
      </c>
      <c r="N33" s="161" t="s">
        <v>3636</v>
      </c>
      <c r="O33" s="4" t="s">
        <v>1263</v>
      </c>
      <c r="P33" s="1"/>
      <c r="U33" s="1"/>
      <c r="V33" s="4"/>
      <c r="W33" s="3"/>
    </row>
    <row r="34" spans="1:23" x14ac:dyDescent="0.25">
      <c r="A34" s="154">
        <v>51</v>
      </c>
      <c r="B34" s="456" t="s">
        <v>3552</v>
      </c>
      <c r="C34" s="456"/>
      <c r="D34" s="567">
        <v>25</v>
      </c>
      <c r="E34" s="3" t="s">
        <v>3278</v>
      </c>
      <c r="F34" s="43" t="s">
        <v>3394</v>
      </c>
      <c r="G34" s="2" t="s">
        <v>3283</v>
      </c>
      <c r="H34" s="589" t="s">
        <v>5647</v>
      </c>
      <c r="I34" s="156" t="str">
        <f t="shared" si="0"/>
        <v>2011</v>
      </c>
      <c r="J34" s="156" t="str">
        <f>I34</f>
        <v>2011</v>
      </c>
      <c r="K34" s="156"/>
      <c r="L34" s="2" t="s">
        <v>3284</v>
      </c>
      <c r="M34" s="157" t="str">
        <f t="shared" si="1"/>
        <v>К08103036_2</v>
      </c>
      <c r="N34" s="161" t="s">
        <v>3636</v>
      </c>
      <c r="O34" s="4" t="s">
        <v>1263</v>
      </c>
      <c r="P34" s="1"/>
      <c r="U34" s="1"/>
      <c r="V34" s="4"/>
      <c r="W34" s="3"/>
    </row>
    <row r="35" spans="1:23" x14ac:dyDescent="0.25">
      <c r="A35" s="158">
        <v>30</v>
      </c>
      <c r="B35" s="1"/>
      <c r="C35" s="457" t="s">
        <v>3034</v>
      </c>
      <c r="D35" s="567">
        <v>53</v>
      </c>
      <c r="E35" s="3" t="s">
        <v>24</v>
      </c>
      <c r="F35" s="3" t="s">
        <v>37</v>
      </c>
      <c r="G35" s="2" t="s">
        <v>3219</v>
      </c>
      <c r="H35" s="2" t="s">
        <v>59</v>
      </c>
      <c r="I35" s="156" t="str">
        <f t="shared" si="0"/>
        <v>2013</v>
      </c>
      <c r="J35" s="156"/>
      <c r="K35" s="156"/>
      <c r="L35" s="2" t="s">
        <v>3220</v>
      </c>
      <c r="M35" s="157" t="str">
        <f t="shared" si="1"/>
        <v>К08105170</v>
      </c>
      <c r="N35" s="161" t="s">
        <v>3636</v>
      </c>
      <c r="O35" s="4" t="s">
        <v>3221</v>
      </c>
      <c r="P35" s="1"/>
      <c r="U35" s="1"/>
      <c r="V35" s="4"/>
      <c r="W35" s="3"/>
    </row>
    <row r="36" spans="1:23" x14ac:dyDescent="0.25">
      <c r="A36" s="154">
        <v>31</v>
      </c>
      <c r="B36" s="1"/>
      <c r="C36" s="457" t="s">
        <v>3034</v>
      </c>
      <c r="D36" s="567">
        <v>54</v>
      </c>
      <c r="E36" s="3" t="s">
        <v>24</v>
      </c>
      <c r="F36" s="3" t="s">
        <v>37</v>
      </c>
      <c r="G36" s="2" t="s">
        <v>3222</v>
      </c>
      <c r="H36" s="2" t="s">
        <v>59</v>
      </c>
      <c r="I36" s="156" t="str">
        <f t="shared" si="0"/>
        <v>2013</v>
      </c>
      <c r="J36" s="156"/>
      <c r="K36" s="156"/>
      <c r="L36" s="2" t="s">
        <v>3223</v>
      </c>
      <c r="M36" s="157" t="str">
        <f t="shared" si="1"/>
        <v>К08105177</v>
      </c>
      <c r="N36" s="161" t="s">
        <v>3636</v>
      </c>
      <c r="O36" s="4" t="s">
        <v>3221</v>
      </c>
      <c r="P36" s="1"/>
      <c r="U36" s="1"/>
      <c r="V36" s="4"/>
      <c r="W36" s="3"/>
    </row>
    <row r="37" spans="1:23" x14ac:dyDescent="0.25">
      <c r="A37" s="158">
        <v>32</v>
      </c>
      <c r="B37" s="1"/>
      <c r="C37" s="457" t="s">
        <v>3034</v>
      </c>
      <c r="D37" s="567">
        <v>55</v>
      </c>
      <c r="E37" s="3" t="s">
        <v>24</v>
      </c>
      <c r="F37" s="3" t="s">
        <v>37</v>
      </c>
      <c r="G37" s="2" t="s">
        <v>3227</v>
      </c>
      <c r="H37" s="2" t="s">
        <v>59</v>
      </c>
      <c r="I37" s="156" t="str">
        <f t="shared" si="0"/>
        <v>2013</v>
      </c>
      <c r="J37" s="156"/>
      <c r="K37" s="156"/>
      <c r="L37" s="2" t="s">
        <v>3228</v>
      </c>
      <c r="M37" s="157" t="str">
        <f t="shared" si="1"/>
        <v>К08105141</v>
      </c>
      <c r="N37" s="161" t="s">
        <v>3636</v>
      </c>
      <c r="O37" s="4" t="s">
        <v>3226</v>
      </c>
      <c r="P37" s="1"/>
      <c r="U37" s="1"/>
      <c r="V37" s="4"/>
      <c r="W37" s="3"/>
    </row>
    <row r="38" spans="1:23" x14ac:dyDescent="0.25">
      <c r="A38" s="154">
        <v>33</v>
      </c>
      <c r="B38" s="1"/>
      <c r="C38" s="457" t="s">
        <v>3034</v>
      </c>
      <c r="D38" s="567">
        <v>56</v>
      </c>
      <c r="E38" s="3" t="s">
        <v>24</v>
      </c>
      <c r="F38" s="3" t="s">
        <v>37</v>
      </c>
      <c r="G38" s="2" t="s">
        <v>3224</v>
      </c>
      <c r="H38" s="2" t="s">
        <v>59</v>
      </c>
      <c r="I38" s="156" t="str">
        <f t="shared" si="0"/>
        <v>2013</v>
      </c>
      <c r="J38" s="156"/>
      <c r="K38" s="156"/>
      <c r="L38" s="2" t="s">
        <v>3225</v>
      </c>
      <c r="M38" s="157" t="str">
        <f t="shared" si="1"/>
        <v>К08105142</v>
      </c>
      <c r="N38" s="161" t="s">
        <v>3636</v>
      </c>
      <c r="O38" s="4" t="s">
        <v>3226</v>
      </c>
      <c r="P38" s="1"/>
      <c r="U38" s="1"/>
      <c r="V38" s="4"/>
      <c r="W38" s="3"/>
    </row>
    <row r="39" spans="1:23" x14ac:dyDescent="0.25">
      <c r="A39" s="158">
        <v>34</v>
      </c>
      <c r="B39" s="1"/>
      <c r="C39" s="457" t="s">
        <v>3034</v>
      </c>
      <c r="D39" s="567">
        <v>57</v>
      </c>
      <c r="E39" s="3" t="s">
        <v>24</v>
      </c>
      <c r="F39" s="3" t="s">
        <v>37</v>
      </c>
      <c r="G39" s="2" t="s">
        <v>3229</v>
      </c>
      <c r="H39" s="2" t="s">
        <v>59</v>
      </c>
      <c r="I39" s="156" t="str">
        <f t="shared" si="0"/>
        <v>2013</v>
      </c>
      <c r="J39" s="156"/>
      <c r="K39" s="156"/>
      <c r="L39" s="2" t="s">
        <v>3230</v>
      </c>
      <c r="M39" s="157" t="str">
        <f t="shared" si="1"/>
        <v>К08105159</v>
      </c>
      <c r="N39" s="161" t="s">
        <v>3636</v>
      </c>
      <c r="O39" s="4" t="s">
        <v>3231</v>
      </c>
      <c r="P39" s="1"/>
      <c r="U39" s="1"/>
      <c r="V39" s="4"/>
      <c r="W39" s="3"/>
    </row>
    <row r="40" spans="1:23" x14ac:dyDescent="0.25">
      <c r="A40" s="154">
        <v>35</v>
      </c>
      <c r="B40" s="1"/>
      <c r="C40" s="457" t="s">
        <v>3034</v>
      </c>
      <c r="D40" s="567">
        <v>58</v>
      </c>
      <c r="E40" s="3" t="s">
        <v>24</v>
      </c>
      <c r="F40" s="3" t="s">
        <v>37</v>
      </c>
      <c r="G40" s="2" t="s">
        <v>3232</v>
      </c>
      <c r="H40" s="2" t="s">
        <v>59</v>
      </c>
      <c r="I40" s="156" t="str">
        <f t="shared" si="0"/>
        <v>2013</v>
      </c>
      <c r="J40" s="156"/>
      <c r="K40" s="156"/>
      <c r="L40" s="2" t="s">
        <v>3233</v>
      </c>
      <c r="M40" s="157" t="str">
        <f t="shared" si="1"/>
        <v>К08105161</v>
      </c>
      <c r="N40" s="161" t="s">
        <v>3636</v>
      </c>
      <c r="O40" s="4" t="s">
        <v>3231</v>
      </c>
      <c r="P40" s="1"/>
      <c r="U40" s="1"/>
      <c r="V40" s="4"/>
      <c r="W40" s="3"/>
    </row>
    <row r="41" spans="1:23" x14ac:dyDescent="0.25">
      <c r="A41" s="158">
        <v>36</v>
      </c>
      <c r="B41" s="1"/>
      <c r="C41" s="457" t="s">
        <v>3034</v>
      </c>
      <c r="D41" s="567">
        <v>59</v>
      </c>
      <c r="E41" s="3" t="s">
        <v>24</v>
      </c>
      <c r="F41" s="3" t="s">
        <v>37</v>
      </c>
      <c r="G41" s="2" t="s">
        <v>3234</v>
      </c>
      <c r="H41" s="2" t="s">
        <v>59</v>
      </c>
      <c r="I41" s="156" t="str">
        <f t="shared" si="0"/>
        <v>2013</v>
      </c>
      <c r="J41" s="156"/>
      <c r="K41" s="156"/>
      <c r="L41" s="2" t="s">
        <v>3235</v>
      </c>
      <c r="M41" s="157" t="str">
        <f t="shared" si="1"/>
        <v>К0808105143</v>
      </c>
      <c r="N41" s="161" t="s">
        <v>3636</v>
      </c>
      <c r="O41" s="4" t="s">
        <v>3236</v>
      </c>
      <c r="P41" s="1"/>
      <c r="U41" s="1"/>
      <c r="V41" s="4"/>
      <c r="W41" s="3"/>
    </row>
    <row r="42" spans="1:23" x14ac:dyDescent="0.25">
      <c r="A42" s="158">
        <v>42</v>
      </c>
      <c r="B42" s="1"/>
      <c r="C42" s="457" t="s">
        <v>3034</v>
      </c>
      <c r="D42" s="567">
        <v>62</v>
      </c>
      <c r="E42" s="3" t="s">
        <v>24</v>
      </c>
      <c r="F42" s="3" t="s">
        <v>37</v>
      </c>
      <c r="G42" s="2" t="s">
        <v>3244</v>
      </c>
      <c r="H42" s="2" t="s">
        <v>59</v>
      </c>
      <c r="I42" s="156" t="str">
        <f t="shared" si="0"/>
        <v>2013</v>
      </c>
      <c r="J42" s="156"/>
      <c r="K42" s="156"/>
      <c r="L42" s="2" t="s">
        <v>3245</v>
      </c>
      <c r="M42" s="157" t="str">
        <f t="shared" si="1"/>
        <v>К08105137</v>
      </c>
      <c r="N42" s="161" t="s">
        <v>3636</v>
      </c>
      <c r="O42" s="4" t="s">
        <v>1888</v>
      </c>
      <c r="P42" s="1"/>
      <c r="U42" s="1"/>
      <c r="V42" s="4"/>
      <c r="W42" s="3"/>
    </row>
    <row r="43" spans="1:23" x14ac:dyDescent="0.25">
      <c r="A43" s="154">
        <v>43</v>
      </c>
      <c r="B43" s="1"/>
      <c r="C43" s="457" t="s">
        <v>3034</v>
      </c>
      <c r="D43" s="567">
        <v>63</v>
      </c>
      <c r="E43" s="3" t="s">
        <v>24</v>
      </c>
      <c r="F43" s="3" t="s">
        <v>37</v>
      </c>
      <c r="G43" s="2" t="s">
        <v>3242</v>
      </c>
      <c r="H43" s="2" t="s">
        <v>59</v>
      </c>
      <c r="I43" s="156" t="str">
        <f t="shared" si="0"/>
        <v>2013</v>
      </c>
      <c r="J43" s="156"/>
      <c r="K43" s="156"/>
      <c r="L43" s="2" t="s">
        <v>3243</v>
      </c>
      <c r="M43" s="157" t="str">
        <f t="shared" si="1"/>
        <v>К08105140</v>
      </c>
      <c r="N43" s="161" t="s">
        <v>3636</v>
      </c>
      <c r="O43" s="4" t="s">
        <v>1888</v>
      </c>
      <c r="P43" s="1"/>
      <c r="U43" s="1"/>
      <c r="V43" s="4"/>
      <c r="W43" s="3"/>
    </row>
    <row r="44" spans="1:23" x14ac:dyDescent="0.25">
      <c r="A44" s="154">
        <v>53</v>
      </c>
      <c r="B44" s="456" t="s">
        <v>3552</v>
      </c>
      <c r="C44" s="456"/>
      <c r="D44" s="567">
        <v>26</v>
      </c>
      <c r="E44" s="3" t="s">
        <v>3278</v>
      </c>
      <c r="F44" s="43" t="s">
        <v>3395</v>
      </c>
      <c r="G44" s="2" t="s">
        <v>3287</v>
      </c>
      <c r="H44" s="169" t="s">
        <v>5650</v>
      </c>
      <c r="I44" s="156" t="str">
        <f t="shared" si="0"/>
        <v>2014</v>
      </c>
      <c r="J44" s="156" t="str">
        <f>I44</f>
        <v>2014</v>
      </c>
      <c r="K44" s="156"/>
      <c r="L44" s="2" t="s">
        <v>3288</v>
      </c>
      <c r="M44" s="157" t="str">
        <f t="shared" si="1"/>
        <v>К2360000007</v>
      </c>
      <c r="N44" s="161" t="s">
        <v>3636</v>
      </c>
      <c r="O44" s="4" t="s">
        <v>1263</v>
      </c>
      <c r="P44" s="1"/>
      <c r="U44" s="1"/>
      <c r="V44" s="4"/>
      <c r="W44" s="3"/>
    </row>
    <row r="45" spans="1:23" x14ac:dyDescent="0.25">
      <c r="A45" s="158">
        <v>58</v>
      </c>
      <c r="B45" s="456" t="s">
        <v>3552</v>
      </c>
      <c r="C45" s="456"/>
      <c r="D45" s="567">
        <v>27</v>
      </c>
      <c r="E45" s="3" t="s">
        <v>3278</v>
      </c>
      <c r="F45" s="43" t="s">
        <v>3395</v>
      </c>
      <c r="G45" s="2" t="s">
        <v>3291</v>
      </c>
      <c r="H45" s="169" t="s">
        <v>5650</v>
      </c>
      <c r="I45" s="156" t="str">
        <f t="shared" si="0"/>
        <v>2014</v>
      </c>
      <c r="J45" s="156" t="str">
        <f>I45</f>
        <v>2014</v>
      </c>
      <c r="K45" s="156"/>
      <c r="L45" s="2" t="s">
        <v>3288</v>
      </c>
      <c r="M45" s="157" t="str">
        <f t="shared" si="1"/>
        <v>К2360000007</v>
      </c>
      <c r="N45" s="161" t="s">
        <v>3636</v>
      </c>
      <c r="O45" s="4" t="s">
        <v>1263</v>
      </c>
      <c r="P45" s="1"/>
      <c r="U45" s="1"/>
      <c r="V45" s="4"/>
      <c r="W45" s="3"/>
    </row>
    <row r="46" spans="1:23" x14ac:dyDescent="0.25">
      <c r="A46" s="158">
        <v>44</v>
      </c>
      <c r="B46" s="456" t="s">
        <v>3552</v>
      </c>
      <c r="C46" s="456"/>
      <c r="D46" s="567">
        <v>28</v>
      </c>
      <c r="E46" s="3" t="s">
        <v>3278</v>
      </c>
      <c r="F46" s="43" t="s">
        <v>3392</v>
      </c>
      <c r="G46" s="2" t="s">
        <v>3279</v>
      </c>
      <c r="H46" s="169" t="s">
        <v>5651</v>
      </c>
      <c r="I46" s="156" t="str">
        <f t="shared" si="0"/>
        <v>2014</v>
      </c>
      <c r="J46" s="156" t="str">
        <f>I46</f>
        <v>2014</v>
      </c>
      <c r="K46" s="156"/>
      <c r="L46" s="2" t="s">
        <v>3280</v>
      </c>
      <c r="M46" s="157" t="str">
        <f t="shared" si="1"/>
        <v>К2360000117</v>
      </c>
      <c r="N46" s="161" t="s">
        <v>3636</v>
      </c>
      <c r="O46" s="4" t="s">
        <v>1263</v>
      </c>
      <c r="P46" s="1"/>
      <c r="U46" s="153" t="s">
        <v>3646</v>
      </c>
      <c r="V46" s="4"/>
      <c r="W46" s="3"/>
    </row>
    <row r="47" spans="1:23" x14ac:dyDescent="0.25">
      <c r="A47" s="158">
        <v>14</v>
      </c>
      <c r="B47" s="1"/>
      <c r="C47" s="457" t="s">
        <v>3034</v>
      </c>
      <c r="D47" s="567">
        <v>72</v>
      </c>
      <c r="E47" s="3" t="s">
        <v>499</v>
      </c>
      <c r="F47" s="3" t="s">
        <v>3460</v>
      </c>
      <c r="G47" s="2" t="s">
        <v>2029</v>
      </c>
      <c r="H47" s="2" t="s">
        <v>41</v>
      </c>
      <c r="I47" s="156" t="str">
        <f t="shared" si="0"/>
        <v>2015</v>
      </c>
      <c r="J47" s="156">
        <v>2015</v>
      </c>
      <c r="K47" s="156"/>
      <c r="L47" s="2" t="s">
        <v>2030</v>
      </c>
      <c r="M47" s="157" t="str">
        <f t="shared" si="1"/>
        <v>К7240000053</v>
      </c>
      <c r="N47" s="161" t="s">
        <v>3636</v>
      </c>
      <c r="O47" s="4" t="s">
        <v>1935</v>
      </c>
      <c r="P47" s="1"/>
      <c r="U47" s="153" t="s">
        <v>3646</v>
      </c>
      <c r="V47" s="4"/>
      <c r="W47" s="3"/>
    </row>
    <row r="48" spans="1:23" x14ac:dyDescent="0.25">
      <c r="A48" s="154">
        <v>15</v>
      </c>
      <c r="B48" s="456" t="s">
        <v>3552</v>
      </c>
      <c r="C48" s="457" t="s">
        <v>3034</v>
      </c>
      <c r="D48" s="567">
        <v>20</v>
      </c>
      <c r="E48" s="3" t="s">
        <v>1266</v>
      </c>
      <c r="F48" s="3" t="s">
        <v>3271</v>
      </c>
      <c r="G48" s="2" t="s">
        <v>3272</v>
      </c>
      <c r="H48" s="585">
        <v>2016</v>
      </c>
      <c r="I48" s="156" t="str">
        <f t="shared" si="0"/>
        <v>2016</v>
      </c>
      <c r="J48" s="156"/>
      <c r="K48" s="156"/>
      <c r="L48" s="2" t="s">
        <v>3273</v>
      </c>
      <c r="M48" s="157" t="str">
        <f t="shared" si="1"/>
        <v>К7360000229</v>
      </c>
      <c r="N48" s="161" t="s">
        <v>3636</v>
      </c>
      <c r="O48" s="4" t="s">
        <v>1263</v>
      </c>
      <c r="P48" s="1"/>
      <c r="U48" s="153" t="s">
        <v>3646</v>
      </c>
      <c r="V48" s="4"/>
      <c r="W48" s="3"/>
    </row>
    <row r="49" spans="1:23" x14ac:dyDescent="0.25">
      <c r="A49" s="158">
        <v>16</v>
      </c>
      <c r="B49" s="136" t="s">
        <v>3552</v>
      </c>
      <c r="C49" s="136"/>
      <c r="D49" s="567">
        <v>41</v>
      </c>
      <c r="E49" s="3" t="s">
        <v>2303</v>
      </c>
      <c r="F49" s="3" t="s">
        <v>69</v>
      </c>
      <c r="G49" s="2" t="s">
        <v>2615</v>
      </c>
      <c r="H49" s="2">
        <v>2016</v>
      </c>
      <c r="I49" s="156" t="str">
        <f t="shared" ref="I49:I80" si="2">RIGHT(H49,4)</f>
        <v>2016</v>
      </c>
      <c r="J49" s="156"/>
      <c r="K49" s="156"/>
      <c r="L49" s="2" t="s">
        <v>2616</v>
      </c>
      <c r="M49" s="157" t="str">
        <f t="shared" ref="M49:M80" si="3">CONCATENATE("К",L49)</f>
        <v>К08108758</v>
      </c>
      <c r="N49" s="161" t="s">
        <v>3636</v>
      </c>
      <c r="O49" s="4" t="s">
        <v>1935</v>
      </c>
      <c r="P49" s="1"/>
      <c r="U49" s="153" t="s">
        <v>3646</v>
      </c>
      <c r="V49" s="4"/>
      <c r="W49" s="3"/>
    </row>
    <row r="50" spans="1:23" x14ac:dyDescent="0.25">
      <c r="A50" s="154">
        <v>17</v>
      </c>
      <c r="B50" s="136" t="s">
        <v>3552</v>
      </c>
      <c r="C50" s="136"/>
      <c r="D50" s="567">
        <v>43</v>
      </c>
      <c r="E50" s="581" t="s">
        <v>2303</v>
      </c>
      <c r="F50" s="581" t="s">
        <v>2302</v>
      </c>
      <c r="G50" s="2" t="s">
        <v>2636</v>
      </c>
      <c r="H50" s="2">
        <v>2016</v>
      </c>
      <c r="I50" s="156" t="str">
        <f t="shared" si="2"/>
        <v>2016</v>
      </c>
      <c r="J50" s="156"/>
      <c r="K50" s="156"/>
      <c r="L50" s="2" t="s">
        <v>36</v>
      </c>
      <c r="M50" s="157" t="str">
        <f t="shared" si="3"/>
        <v>КBA0000002715</v>
      </c>
      <c r="N50" s="161" t="s">
        <v>3636</v>
      </c>
      <c r="O50" s="4" t="s">
        <v>2635</v>
      </c>
      <c r="P50" s="1"/>
      <c r="U50" s="153" t="s">
        <v>3646</v>
      </c>
      <c r="V50" s="4"/>
      <c r="W50" s="3"/>
    </row>
    <row r="51" spans="1:23" x14ac:dyDescent="0.25">
      <c r="A51" s="158">
        <v>18</v>
      </c>
      <c r="B51" s="136" t="s">
        <v>3552</v>
      </c>
      <c r="C51" s="136"/>
      <c r="D51" s="567">
        <v>44</v>
      </c>
      <c r="E51" s="3" t="s">
        <v>2303</v>
      </c>
      <c r="F51" s="3" t="s">
        <v>69</v>
      </c>
      <c r="G51" s="2" t="s">
        <v>2639</v>
      </c>
      <c r="H51" s="2">
        <v>2016</v>
      </c>
      <c r="I51" s="156" t="str">
        <f t="shared" si="2"/>
        <v>2016</v>
      </c>
      <c r="J51" s="156"/>
      <c r="K51" s="156"/>
      <c r="L51" s="2" t="s">
        <v>36</v>
      </c>
      <c r="M51" s="157" t="str">
        <f t="shared" si="3"/>
        <v>КBA0000002715</v>
      </c>
      <c r="N51" s="161" t="s">
        <v>3636</v>
      </c>
      <c r="O51" s="4" t="s">
        <v>1236</v>
      </c>
      <c r="P51" s="1"/>
      <c r="U51" s="153" t="s">
        <v>3646</v>
      </c>
      <c r="V51" s="4"/>
      <c r="W51" s="3"/>
    </row>
    <row r="52" spans="1:23" s="162" customFormat="1" x14ac:dyDescent="0.25">
      <c r="A52" s="495">
        <v>19</v>
      </c>
      <c r="B52" s="1"/>
      <c r="C52" s="457" t="s">
        <v>3034</v>
      </c>
      <c r="D52" s="567">
        <v>46</v>
      </c>
      <c r="E52" s="3" t="s">
        <v>24</v>
      </c>
      <c r="F52" s="3" t="s">
        <v>1084</v>
      </c>
      <c r="G52" s="2" t="s">
        <v>3201</v>
      </c>
      <c r="H52" s="2" t="s">
        <v>969</v>
      </c>
      <c r="I52" s="156" t="str">
        <f t="shared" si="2"/>
        <v>2017</v>
      </c>
      <c r="J52" s="156"/>
      <c r="K52" s="156"/>
      <c r="L52" s="2" t="s">
        <v>3202</v>
      </c>
      <c r="M52" s="157" t="str">
        <f t="shared" si="3"/>
        <v>К7240000927</v>
      </c>
      <c r="N52" s="161" t="s">
        <v>3636</v>
      </c>
      <c r="O52" s="4" t="s">
        <v>3203</v>
      </c>
      <c r="P52" s="1"/>
      <c r="Q52" s="1"/>
      <c r="R52" s="3"/>
      <c r="S52" s="1"/>
      <c r="U52" s="167" t="s">
        <v>3646</v>
      </c>
      <c r="V52" s="168"/>
    </row>
    <row r="53" spans="1:23" x14ac:dyDescent="0.25">
      <c r="A53" s="158">
        <v>20</v>
      </c>
      <c r="B53" s="1"/>
      <c r="C53" s="457" t="s">
        <v>3034</v>
      </c>
      <c r="D53" s="567">
        <v>51</v>
      </c>
      <c r="E53" s="3" t="s">
        <v>24</v>
      </c>
      <c r="F53" s="3" t="s">
        <v>1084</v>
      </c>
      <c r="G53" s="2" t="s">
        <v>3217</v>
      </c>
      <c r="H53" s="2" t="s">
        <v>969</v>
      </c>
      <c r="I53" s="156" t="str">
        <f t="shared" si="2"/>
        <v>2017</v>
      </c>
      <c r="J53" s="156"/>
      <c r="K53" s="156"/>
      <c r="L53" s="2" t="s">
        <v>3218</v>
      </c>
      <c r="M53" s="157" t="str">
        <f t="shared" si="3"/>
        <v>К7240000925</v>
      </c>
      <c r="N53" s="161" t="s">
        <v>3636</v>
      </c>
      <c r="O53" s="4" t="s">
        <v>3216</v>
      </c>
      <c r="P53" s="1"/>
      <c r="U53" s="153" t="s">
        <v>3646</v>
      </c>
      <c r="V53" s="4"/>
      <c r="W53" s="3"/>
    </row>
    <row r="54" spans="1:23" x14ac:dyDescent="0.25">
      <c r="A54" s="154">
        <v>21</v>
      </c>
      <c r="B54" s="1"/>
      <c r="C54" s="457" t="s">
        <v>3034</v>
      </c>
      <c r="D54" s="567">
        <v>52</v>
      </c>
      <c r="E54" s="3" t="s">
        <v>24</v>
      </c>
      <c r="F54" s="3" t="s">
        <v>1084</v>
      </c>
      <c r="G54" s="2" t="s">
        <v>3214</v>
      </c>
      <c r="H54" s="2" t="s">
        <v>969</v>
      </c>
      <c r="I54" s="156" t="str">
        <f t="shared" si="2"/>
        <v>2017</v>
      </c>
      <c r="J54" s="156"/>
      <c r="K54" s="156"/>
      <c r="L54" s="2" t="s">
        <v>3215</v>
      </c>
      <c r="M54" s="157" t="str">
        <f t="shared" si="3"/>
        <v>К7240000926</v>
      </c>
      <c r="N54" s="161" t="s">
        <v>3636</v>
      </c>
      <c r="O54" s="4" t="s">
        <v>3216</v>
      </c>
      <c r="P54" s="1"/>
      <c r="U54" s="153" t="s">
        <v>3646</v>
      </c>
      <c r="V54" s="4"/>
      <c r="W54" s="3"/>
    </row>
    <row r="55" spans="1:23" x14ac:dyDescent="0.25">
      <c r="A55" s="158">
        <v>22</v>
      </c>
      <c r="B55" s="1"/>
      <c r="C55" s="457" t="s">
        <v>3034</v>
      </c>
      <c r="D55" s="567">
        <v>64</v>
      </c>
      <c r="E55" s="3" t="s">
        <v>24</v>
      </c>
      <c r="F55" s="3" t="s">
        <v>37</v>
      </c>
      <c r="G55" s="2" t="s">
        <v>3248</v>
      </c>
      <c r="H55" s="2" t="s">
        <v>969</v>
      </c>
      <c r="I55" s="156" t="str">
        <f t="shared" si="2"/>
        <v>2017</v>
      </c>
      <c r="J55" s="156"/>
      <c r="K55" s="156"/>
      <c r="L55" s="2" t="s">
        <v>3249</v>
      </c>
      <c r="M55" s="157" t="str">
        <f t="shared" si="3"/>
        <v>К7240000933</v>
      </c>
      <c r="N55" s="161" t="s">
        <v>3636</v>
      </c>
      <c r="O55" s="4" t="s">
        <v>1935</v>
      </c>
      <c r="P55" s="1"/>
      <c r="U55" s="153" t="s">
        <v>3646</v>
      </c>
      <c r="V55" s="4"/>
      <c r="W55" s="3"/>
    </row>
    <row r="56" spans="1:23" x14ac:dyDescent="0.25">
      <c r="A56" s="154">
        <v>23</v>
      </c>
      <c r="B56" s="1"/>
      <c r="C56" s="457" t="s">
        <v>3034</v>
      </c>
      <c r="D56" s="567">
        <v>65</v>
      </c>
      <c r="E56" s="3" t="s">
        <v>24</v>
      </c>
      <c r="F56" s="3" t="s">
        <v>37</v>
      </c>
      <c r="G56" s="2" t="s">
        <v>3250</v>
      </c>
      <c r="H56" s="2" t="s">
        <v>969</v>
      </c>
      <c r="I56" s="156" t="str">
        <f t="shared" si="2"/>
        <v>2017</v>
      </c>
      <c r="J56" s="156"/>
      <c r="K56" s="156"/>
      <c r="L56" s="2" t="s">
        <v>3251</v>
      </c>
      <c r="M56" s="157" t="str">
        <f t="shared" si="3"/>
        <v>К7240000942</v>
      </c>
      <c r="N56" s="161" t="s">
        <v>3636</v>
      </c>
      <c r="O56" s="4" t="s">
        <v>1935</v>
      </c>
      <c r="P56" s="1"/>
      <c r="U56" s="153" t="s">
        <v>3646</v>
      </c>
      <c r="V56" s="4"/>
      <c r="W56" s="3"/>
    </row>
    <row r="57" spans="1:23" x14ac:dyDescent="0.25">
      <c r="A57" s="158">
        <v>24</v>
      </c>
      <c r="B57" s="1"/>
      <c r="C57" s="457" t="s">
        <v>3034</v>
      </c>
      <c r="D57" s="567">
        <v>69</v>
      </c>
      <c r="E57" s="3" t="s">
        <v>24</v>
      </c>
      <c r="F57" s="3" t="s">
        <v>37</v>
      </c>
      <c r="G57" s="2" t="s">
        <v>3303</v>
      </c>
      <c r="H57" s="2" t="s">
        <v>969</v>
      </c>
      <c r="I57" s="156" t="str">
        <f t="shared" si="2"/>
        <v>2017</v>
      </c>
      <c r="J57" s="156"/>
      <c r="K57" s="156"/>
      <c r="L57" s="2" t="s">
        <v>3304</v>
      </c>
      <c r="M57" s="157" t="str">
        <f t="shared" si="3"/>
        <v>К7240000946</v>
      </c>
      <c r="N57" s="161" t="s">
        <v>3636</v>
      </c>
      <c r="O57" s="4" t="s">
        <v>3305</v>
      </c>
      <c r="P57" s="1"/>
      <c r="U57" s="153" t="s">
        <v>3646</v>
      </c>
      <c r="V57" s="4"/>
      <c r="W57" s="3"/>
    </row>
    <row r="58" spans="1:23" x14ac:dyDescent="0.25">
      <c r="A58" s="154">
        <v>25</v>
      </c>
      <c r="B58" s="136" t="s">
        <v>3552</v>
      </c>
      <c r="C58" s="136"/>
      <c r="D58" s="567">
        <v>77</v>
      </c>
      <c r="E58" s="137" t="s">
        <v>3580</v>
      </c>
      <c r="F58" s="43" t="s">
        <v>32</v>
      </c>
      <c r="G58" s="2" t="s">
        <v>2630</v>
      </c>
      <c r="H58" s="461" t="s">
        <v>969</v>
      </c>
      <c r="I58" s="156" t="str">
        <f t="shared" si="2"/>
        <v>2017</v>
      </c>
      <c r="J58" s="156"/>
      <c r="K58" s="156"/>
      <c r="L58" s="2" t="s">
        <v>2619</v>
      </c>
      <c r="M58" s="157" t="str">
        <f t="shared" si="3"/>
        <v>КBA0000002713</v>
      </c>
      <c r="N58" s="161" t="s">
        <v>3636</v>
      </c>
      <c r="O58" s="4" t="s">
        <v>1935</v>
      </c>
      <c r="P58" s="1"/>
      <c r="U58" s="153" t="s">
        <v>3646</v>
      </c>
      <c r="V58" s="4"/>
      <c r="W58" s="3"/>
    </row>
    <row r="59" spans="1:23" x14ac:dyDescent="0.25">
      <c r="A59" s="158">
        <v>26</v>
      </c>
      <c r="B59" s="136" t="s">
        <v>3552</v>
      </c>
      <c r="C59" s="136"/>
      <c r="D59" s="567">
        <v>78</v>
      </c>
      <c r="E59" s="137" t="s">
        <v>3576</v>
      </c>
      <c r="F59" s="43" t="s">
        <v>32</v>
      </c>
      <c r="G59" s="2" t="s">
        <v>2622</v>
      </c>
      <c r="H59" s="461" t="s">
        <v>969</v>
      </c>
      <c r="I59" s="156" t="str">
        <f t="shared" si="2"/>
        <v>2017</v>
      </c>
      <c r="J59" s="156"/>
      <c r="K59" s="156"/>
      <c r="L59" s="2" t="s">
        <v>2619</v>
      </c>
      <c r="M59" s="157" t="str">
        <f t="shared" si="3"/>
        <v>КBA0000002713</v>
      </c>
      <c r="N59" s="161" t="s">
        <v>3636</v>
      </c>
      <c r="O59" s="4" t="s">
        <v>1888</v>
      </c>
      <c r="P59" s="1"/>
      <c r="U59" s="153" t="s">
        <v>3646</v>
      </c>
      <c r="V59" s="4"/>
      <c r="W59" s="3"/>
    </row>
    <row r="60" spans="1:23" x14ac:dyDescent="0.25">
      <c r="A60" s="154">
        <v>27</v>
      </c>
      <c r="B60" s="136" t="s">
        <v>3552</v>
      </c>
      <c r="C60" s="136"/>
      <c r="D60" s="567">
        <v>79</v>
      </c>
      <c r="E60" s="137" t="s">
        <v>3576</v>
      </c>
      <c r="F60" s="43" t="s">
        <v>32</v>
      </c>
      <c r="G60" s="2" t="s">
        <v>2623</v>
      </c>
      <c r="H60" s="461" t="s">
        <v>969</v>
      </c>
      <c r="I60" s="156" t="str">
        <f t="shared" si="2"/>
        <v>2017</v>
      </c>
      <c r="J60" s="156"/>
      <c r="K60" s="156"/>
      <c r="L60" s="2" t="s">
        <v>2619</v>
      </c>
      <c r="M60" s="157" t="str">
        <f t="shared" si="3"/>
        <v>КBA0000002713</v>
      </c>
      <c r="N60" s="161" t="s">
        <v>3636</v>
      </c>
      <c r="O60" s="4" t="s">
        <v>1888</v>
      </c>
      <c r="P60" s="1"/>
      <c r="U60" s="153" t="s">
        <v>3646</v>
      </c>
      <c r="V60" s="4"/>
      <c r="W60" s="3"/>
    </row>
    <row r="61" spans="1:23" x14ac:dyDescent="0.25">
      <c r="A61" s="158">
        <v>28</v>
      </c>
      <c r="B61" s="136" t="s">
        <v>3552</v>
      </c>
      <c r="C61" s="136"/>
      <c r="D61" s="567">
        <v>80</v>
      </c>
      <c r="E61" s="137" t="s">
        <v>3576</v>
      </c>
      <c r="F61" s="43" t="s">
        <v>32</v>
      </c>
      <c r="G61" s="2" t="s">
        <v>2624</v>
      </c>
      <c r="H61" s="461" t="s">
        <v>969</v>
      </c>
      <c r="I61" s="156" t="str">
        <f t="shared" si="2"/>
        <v>2017</v>
      </c>
      <c r="J61" s="156"/>
      <c r="K61" s="156"/>
      <c r="L61" s="2" t="s">
        <v>2619</v>
      </c>
      <c r="M61" s="157" t="str">
        <f t="shared" si="3"/>
        <v>КBA0000002713</v>
      </c>
      <c r="N61" s="161" t="s">
        <v>3636</v>
      </c>
      <c r="O61" s="4" t="s">
        <v>1888</v>
      </c>
      <c r="P61" s="1"/>
      <c r="U61" s="153" t="s">
        <v>3646</v>
      </c>
      <c r="V61" s="4"/>
      <c r="W61" s="3"/>
    </row>
    <row r="62" spans="1:23" x14ac:dyDescent="0.25">
      <c r="A62" s="154">
        <v>29</v>
      </c>
      <c r="B62" s="136" t="s">
        <v>3552</v>
      </c>
      <c r="C62" s="136"/>
      <c r="D62" s="567">
        <v>81</v>
      </c>
      <c r="E62" s="137" t="s">
        <v>3576</v>
      </c>
      <c r="F62" s="43" t="s">
        <v>32</v>
      </c>
      <c r="G62" s="2" t="s">
        <v>2640</v>
      </c>
      <c r="H62" s="461" t="s">
        <v>969</v>
      </c>
      <c r="I62" s="156" t="str">
        <f t="shared" si="2"/>
        <v>2017</v>
      </c>
      <c r="J62" s="156"/>
      <c r="K62" s="156"/>
      <c r="L62" s="2" t="s">
        <v>2619</v>
      </c>
      <c r="M62" s="157" t="str">
        <f t="shared" si="3"/>
        <v>КBA0000002713</v>
      </c>
      <c r="N62" s="161" t="s">
        <v>3636</v>
      </c>
      <c r="O62" s="4" t="s">
        <v>1263</v>
      </c>
      <c r="P62" s="1"/>
      <c r="U62" s="153" t="s">
        <v>3646</v>
      </c>
      <c r="V62" s="4"/>
      <c r="W62" s="3"/>
    </row>
    <row r="63" spans="1:23" x14ac:dyDescent="0.25">
      <c r="A63" s="154">
        <v>37</v>
      </c>
      <c r="B63" s="456" t="s">
        <v>3552</v>
      </c>
      <c r="C63" s="456"/>
      <c r="D63" s="567">
        <v>30</v>
      </c>
      <c r="E63" s="3" t="s">
        <v>3278</v>
      </c>
      <c r="F63" s="43" t="s">
        <v>3395</v>
      </c>
      <c r="G63" s="2" t="s">
        <v>3292</v>
      </c>
      <c r="H63" s="589" t="s">
        <v>5648</v>
      </c>
      <c r="I63" s="156" t="str">
        <f t="shared" si="2"/>
        <v>2017</v>
      </c>
      <c r="J63" s="156" t="str">
        <f>I63</f>
        <v>2017</v>
      </c>
      <c r="K63" s="156"/>
      <c r="L63" s="2" t="s">
        <v>3293</v>
      </c>
      <c r="M63" s="157" t="str">
        <f t="shared" si="3"/>
        <v>К7240000723</v>
      </c>
      <c r="N63" s="161" t="s">
        <v>3636</v>
      </c>
      <c r="O63" s="4" t="s">
        <v>1263</v>
      </c>
      <c r="P63" s="1"/>
      <c r="U63" s="153" t="s">
        <v>3646</v>
      </c>
      <c r="V63" s="4"/>
      <c r="W63" s="3"/>
    </row>
    <row r="64" spans="1:23" x14ac:dyDescent="0.25">
      <c r="A64" s="158">
        <v>38</v>
      </c>
      <c r="B64" s="456" t="s">
        <v>3552</v>
      </c>
      <c r="C64" s="456"/>
      <c r="D64" s="567">
        <v>32</v>
      </c>
      <c r="E64" s="3" t="s">
        <v>3278</v>
      </c>
      <c r="F64" s="43" t="s">
        <v>3395</v>
      </c>
      <c r="G64" s="2" t="s">
        <v>3294</v>
      </c>
      <c r="H64" s="589" t="s">
        <v>5648</v>
      </c>
      <c r="I64" s="156" t="str">
        <f t="shared" si="2"/>
        <v>2017</v>
      </c>
      <c r="J64" s="156" t="str">
        <f>I64</f>
        <v>2017</v>
      </c>
      <c r="K64" s="156"/>
      <c r="L64" s="2" t="s">
        <v>3295</v>
      </c>
      <c r="M64" s="157" t="str">
        <f t="shared" si="3"/>
        <v>К7240000724</v>
      </c>
      <c r="N64" s="161" t="s">
        <v>3636</v>
      </c>
      <c r="O64" s="4" t="s">
        <v>1263</v>
      </c>
      <c r="P64" s="1"/>
      <c r="U64" s="153" t="s">
        <v>3646</v>
      </c>
      <c r="V64" s="4"/>
      <c r="W64" s="3"/>
    </row>
    <row r="65" spans="1:23" x14ac:dyDescent="0.25">
      <c r="A65" s="154">
        <v>45</v>
      </c>
      <c r="B65" s="136" t="s">
        <v>3552</v>
      </c>
      <c r="C65" s="136"/>
      <c r="D65" s="567">
        <v>34</v>
      </c>
      <c r="E65" s="458" t="s">
        <v>2303</v>
      </c>
      <c r="F65" s="459" t="s">
        <v>2302</v>
      </c>
      <c r="G65" s="2" t="s">
        <v>2620</v>
      </c>
      <c r="H65" s="2">
        <v>2018</v>
      </c>
      <c r="I65" s="156" t="str">
        <f t="shared" si="2"/>
        <v>2018</v>
      </c>
      <c r="J65" s="156"/>
      <c r="K65" s="156"/>
      <c r="L65" s="2" t="s">
        <v>36</v>
      </c>
      <c r="M65" s="157" t="str">
        <f t="shared" si="3"/>
        <v>КBA0000002715</v>
      </c>
      <c r="N65" s="161" t="s">
        <v>3636</v>
      </c>
      <c r="O65" s="4" t="s">
        <v>2621</v>
      </c>
      <c r="P65" s="1"/>
      <c r="U65" s="153" t="s">
        <v>3646</v>
      </c>
      <c r="V65" s="4"/>
      <c r="W65" s="3"/>
    </row>
    <row r="66" spans="1:23" x14ac:dyDescent="0.25">
      <c r="A66" s="158">
        <v>46</v>
      </c>
      <c r="B66" s="136" t="s">
        <v>3552</v>
      </c>
      <c r="C66" s="136"/>
      <c r="D66" s="567">
        <v>35</v>
      </c>
      <c r="E66" s="458" t="s">
        <v>2303</v>
      </c>
      <c r="F66" s="459" t="s">
        <v>2302</v>
      </c>
      <c r="G66" s="2" t="s">
        <v>2625</v>
      </c>
      <c r="H66" s="2">
        <v>2018</v>
      </c>
      <c r="I66" s="156" t="str">
        <f t="shared" si="2"/>
        <v>2018</v>
      </c>
      <c r="J66" s="156"/>
      <c r="K66" s="156"/>
      <c r="L66" s="2" t="s">
        <v>36</v>
      </c>
      <c r="M66" s="157" t="str">
        <f t="shared" si="3"/>
        <v>КBA0000002715</v>
      </c>
      <c r="N66" s="161" t="s">
        <v>3636</v>
      </c>
      <c r="O66" s="4" t="s">
        <v>1888</v>
      </c>
      <c r="P66" s="1"/>
      <c r="U66" s="153" t="s">
        <v>3646</v>
      </c>
      <c r="V66" s="4"/>
      <c r="W66" s="3"/>
    </row>
    <row r="67" spans="1:23" x14ac:dyDescent="0.25">
      <c r="A67" s="158">
        <v>54</v>
      </c>
      <c r="B67" s="136" t="s">
        <v>3552</v>
      </c>
      <c r="C67" s="136"/>
      <c r="D67" s="567">
        <v>36</v>
      </c>
      <c r="E67" s="458" t="s">
        <v>2303</v>
      </c>
      <c r="F67" s="459" t="s">
        <v>2302</v>
      </c>
      <c r="G67" s="2" t="s">
        <v>2626</v>
      </c>
      <c r="H67" s="2">
        <v>2018</v>
      </c>
      <c r="I67" s="156" t="str">
        <f t="shared" si="2"/>
        <v>2018</v>
      </c>
      <c r="J67" s="156"/>
      <c r="K67" s="156"/>
      <c r="L67" s="2" t="s">
        <v>36</v>
      </c>
      <c r="M67" s="157" t="str">
        <f t="shared" si="3"/>
        <v>КBA0000002715</v>
      </c>
      <c r="N67" s="161" t="s">
        <v>3636</v>
      </c>
      <c r="O67" s="4" t="s">
        <v>1888</v>
      </c>
      <c r="P67" s="1"/>
      <c r="U67" s="153" t="s">
        <v>3646</v>
      </c>
      <c r="V67" s="4"/>
      <c r="W67" s="3"/>
    </row>
    <row r="68" spans="1:23" x14ac:dyDescent="0.25">
      <c r="A68" s="154">
        <v>55</v>
      </c>
      <c r="B68" s="136" t="s">
        <v>3552</v>
      </c>
      <c r="C68" s="136"/>
      <c r="D68" s="567">
        <v>37</v>
      </c>
      <c r="E68" s="458" t="s">
        <v>2303</v>
      </c>
      <c r="F68" s="459" t="s">
        <v>2302</v>
      </c>
      <c r="G68" s="2" t="s">
        <v>2627</v>
      </c>
      <c r="H68" s="2">
        <v>2018</v>
      </c>
      <c r="I68" s="156" t="str">
        <f t="shared" si="2"/>
        <v>2018</v>
      </c>
      <c r="J68" s="156"/>
      <c r="K68" s="156"/>
      <c r="L68" s="2" t="s">
        <v>36</v>
      </c>
      <c r="M68" s="157" t="str">
        <f t="shared" si="3"/>
        <v>КBA0000002715</v>
      </c>
      <c r="N68" s="161" t="s">
        <v>3636</v>
      </c>
      <c r="O68" s="4" t="s">
        <v>1888</v>
      </c>
      <c r="P68" s="1"/>
      <c r="U68" s="153" t="s">
        <v>3646</v>
      </c>
      <c r="V68" s="4"/>
      <c r="W68" s="3"/>
    </row>
    <row r="69" spans="1:23" x14ac:dyDescent="0.25">
      <c r="A69" s="154">
        <v>59</v>
      </c>
      <c r="B69" s="136" t="s">
        <v>3552</v>
      </c>
      <c r="C69" s="136"/>
      <c r="D69" s="567">
        <v>38</v>
      </c>
      <c r="E69" s="458" t="s">
        <v>2303</v>
      </c>
      <c r="F69" s="459" t="s">
        <v>2302</v>
      </c>
      <c r="G69" s="2" t="s">
        <v>2628</v>
      </c>
      <c r="H69" s="2">
        <v>2018</v>
      </c>
      <c r="I69" s="156" t="str">
        <f t="shared" si="2"/>
        <v>2018</v>
      </c>
      <c r="J69" s="156"/>
      <c r="K69" s="156"/>
      <c r="L69" s="2" t="s">
        <v>36</v>
      </c>
      <c r="M69" s="157" t="str">
        <f t="shared" si="3"/>
        <v>КBA0000002715</v>
      </c>
      <c r="N69" s="161" t="s">
        <v>3636</v>
      </c>
      <c r="O69" s="4" t="s">
        <v>1888</v>
      </c>
      <c r="P69" s="1"/>
      <c r="U69" s="153" t="s">
        <v>3646</v>
      </c>
      <c r="V69" s="4"/>
      <c r="W69" s="3"/>
    </row>
    <row r="70" spans="1:23" x14ac:dyDescent="0.25">
      <c r="A70" s="158">
        <v>80</v>
      </c>
      <c r="B70" s="136" t="s">
        <v>3552</v>
      </c>
      <c r="C70" s="136"/>
      <c r="D70" s="567">
        <v>39</v>
      </c>
      <c r="E70" s="458" t="s">
        <v>2303</v>
      </c>
      <c r="F70" s="459" t="s">
        <v>2302</v>
      </c>
      <c r="G70" s="2" t="s">
        <v>2629</v>
      </c>
      <c r="H70" s="2">
        <v>2018</v>
      </c>
      <c r="I70" s="156" t="str">
        <f t="shared" si="2"/>
        <v>2018</v>
      </c>
      <c r="J70" s="156"/>
      <c r="K70" s="156"/>
      <c r="L70" s="2" t="s">
        <v>36</v>
      </c>
      <c r="M70" s="157" t="str">
        <f t="shared" si="3"/>
        <v>КBA0000002715</v>
      </c>
      <c r="N70" s="161" t="s">
        <v>3636</v>
      </c>
      <c r="O70" s="4" t="s">
        <v>1888</v>
      </c>
      <c r="P70" s="1"/>
      <c r="U70" s="153" t="s">
        <v>3646</v>
      </c>
      <c r="V70" s="4"/>
      <c r="W70" s="3"/>
    </row>
    <row r="71" spans="1:23" x14ac:dyDescent="0.25">
      <c r="A71" s="154">
        <v>81</v>
      </c>
      <c r="B71" s="456" t="s">
        <v>3552</v>
      </c>
      <c r="C71" s="456"/>
      <c r="D71" s="567">
        <v>40</v>
      </c>
      <c r="E71" s="458" t="s">
        <v>2303</v>
      </c>
      <c r="F71" s="459" t="s">
        <v>2302</v>
      </c>
      <c r="G71" s="460" t="s">
        <v>2354</v>
      </c>
      <c r="H71" s="461" t="s">
        <v>124</v>
      </c>
      <c r="I71" s="156" t="str">
        <f t="shared" si="2"/>
        <v>2018</v>
      </c>
      <c r="J71" s="156"/>
      <c r="K71" s="156"/>
      <c r="L71" s="2" t="s">
        <v>5585</v>
      </c>
      <c r="M71" s="157" t="str">
        <f t="shared" si="3"/>
        <v>КBA0000002716</v>
      </c>
      <c r="N71" s="161" t="s">
        <v>3636</v>
      </c>
      <c r="O71" s="462" t="s">
        <v>1888</v>
      </c>
      <c r="P71" s="1"/>
      <c r="U71" s="1"/>
      <c r="V71" s="4"/>
      <c r="W71" s="3"/>
    </row>
    <row r="72" spans="1:23" x14ac:dyDescent="0.25">
      <c r="A72" s="154">
        <v>47</v>
      </c>
      <c r="B72" s="136" t="s">
        <v>3552</v>
      </c>
      <c r="C72" s="136"/>
      <c r="D72" s="567">
        <v>42</v>
      </c>
      <c r="E72" s="458" t="s">
        <v>2303</v>
      </c>
      <c r="F72" s="459" t="s">
        <v>2302</v>
      </c>
      <c r="G72" s="2" t="s">
        <v>2631</v>
      </c>
      <c r="H72" s="2">
        <v>2018</v>
      </c>
      <c r="I72" s="156" t="str">
        <f t="shared" si="2"/>
        <v>2018</v>
      </c>
      <c r="J72" s="156"/>
      <c r="K72" s="156"/>
      <c r="L72" s="2" t="s">
        <v>36</v>
      </c>
      <c r="M72" s="157" t="str">
        <f t="shared" si="3"/>
        <v>КBA0000002715</v>
      </c>
      <c r="N72" s="161" t="s">
        <v>3636</v>
      </c>
      <c r="O72" s="4" t="s">
        <v>1935</v>
      </c>
      <c r="P72" s="1"/>
      <c r="U72" s="1"/>
      <c r="V72" s="4"/>
      <c r="W72" s="3"/>
    </row>
    <row r="73" spans="1:23" x14ac:dyDescent="0.25">
      <c r="A73" s="158">
        <v>48</v>
      </c>
      <c r="B73" s="456" t="s">
        <v>3552</v>
      </c>
      <c r="C73" s="457" t="s">
        <v>3034</v>
      </c>
      <c r="D73" s="567">
        <v>85</v>
      </c>
      <c r="E73" s="3" t="s">
        <v>325</v>
      </c>
      <c r="F73" s="43" t="s">
        <v>593</v>
      </c>
      <c r="G73" s="2" t="s">
        <v>3301</v>
      </c>
      <c r="H73" s="602" t="s">
        <v>3046</v>
      </c>
      <c r="I73" s="156" t="str">
        <f t="shared" si="2"/>
        <v>2018</v>
      </c>
      <c r="J73" s="156">
        <v>2018</v>
      </c>
      <c r="K73" s="156"/>
      <c r="L73" s="2" t="s">
        <v>3302</v>
      </c>
      <c r="M73" s="157" t="str">
        <f t="shared" si="3"/>
        <v>К21012400173</v>
      </c>
      <c r="N73" s="161" t="s">
        <v>3636</v>
      </c>
      <c r="O73" s="4" t="s">
        <v>1263</v>
      </c>
      <c r="P73" s="1"/>
      <c r="U73" s="1"/>
      <c r="V73" s="4"/>
      <c r="W73" s="3"/>
    </row>
    <row r="74" spans="1:23" x14ac:dyDescent="0.25">
      <c r="A74" s="154">
        <v>57</v>
      </c>
      <c r="B74" s="456" t="s">
        <v>3552</v>
      </c>
      <c r="C74" s="456"/>
      <c r="D74" s="567">
        <v>29</v>
      </c>
      <c r="E74" s="3" t="s">
        <v>3278</v>
      </c>
      <c r="F74" s="43" t="s">
        <v>3395</v>
      </c>
      <c r="G74" s="2" t="s">
        <v>3297</v>
      </c>
      <c r="H74" s="603" t="s">
        <v>5649</v>
      </c>
      <c r="I74" s="156" t="str">
        <f t="shared" si="2"/>
        <v>2018</v>
      </c>
      <c r="J74" s="156" t="str">
        <f>I74</f>
        <v>2018</v>
      </c>
      <c r="K74" s="156"/>
      <c r="L74" s="2" t="s">
        <v>3298</v>
      </c>
      <c r="M74" s="157" t="str">
        <f t="shared" si="3"/>
        <v>К71012400011</v>
      </c>
      <c r="N74" s="161" t="s">
        <v>3636</v>
      </c>
      <c r="O74" s="4" t="s">
        <v>1263</v>
      </c>
      <c r="P74" s="1"/>
      <c r="U74" s="1"/>
      <c r="V74" s="4"/>
      <c r="W74" s="3"/>
    </row>
    <row r="75" spans="1:23" x14ac:dyDescent="0.25">
      <c r="A75" s="158">
        <v>82</v>
      </c>
      <c r="B75" s="136" t="s">
        <v>3552</v>
      </c>
      <c r="C75" s="136"/>
      <c r="D75" s="567">
        <v>33</v>
      </c>
      <c r="E75" s="138" t="s">
        <v>3554</v>
      </c>
      <c r="F75" s="3" t="s">
        <v>2632</v>
      </c>
      <c r="G75" s="2" t="s">
        <v>2633</v>
      </c>
      <c r="H75" s="602" t="s">
        <v>66</v>
      </c>
      <c r="I75" s="156" t="str">
        <f t="shared" si="2"/>
        <v>2019</v>
      </c>
      <c r="J75" s="156"/>
      <c r="K75" s="156"/>
      <c r="L75" s="2" t="s">
        <v>2634</v>
      </c>
      <c r="M75" s="157" t="str">
        <f t="shared" si="3"/>
        <v>КBA0000004313</v>
      </c>
      <c r="N75" s="161" t="s">
        <v>3636</v>
      </c>
      <c r="O75" s="4" t="s">
        <v>2635</v>
      </c>
      <c r="P75" s="1"/>
      <c r="U75" s="1"/>
      <c r="V75" s="4"/>
      <c r="W75" s="3"/>
    </row>
    <row r="76" spans="1:23" x14ac:dyDescent="0.25">
      <c r="A76" s="154">
        <v>83</v>
      </c>
      <c r="B76" s="136" t="s">
        <v>3552</v>
      </c>
      <c r="C76" s="136"/>
      <c r="D76" s="567">
        <v>71</v>
      </c>
      <c r="E76" s="161" t="s">
        <v>28</v>
      </c>
      <c r="F76" s="3" t="s">
        <v>2637</v>
      </c>
      <c r="G76" s="2" t="s">
        <v>2638</v>
      </c>
      <c r="H76" s="2" t="s">
        <v>66</v>
      </c>
      <c r="I76" s="156" t="str">
        <f t="shared" si="2"/>
        <v>2019</v>
      </c>
      <c r="J76" s="156">
        <v>2019</v>
      </c>
      <c r="K76" s="156"/>
      <c r="L76" s="2" t="s">
        <v>2634</v>
      </c>
      <c r="M76" s="157" t="str">
        <f t="shared" si="3"/>
        <v>КBA0000004313</v>
      </c>
      <c r="N76" s="161" t="s">
        <v>3636</v>
      </c>
      <c r="O76" s="4" t="s">
        <v>2635</v>
      </c>
      <c r="P76" s="1"/>
      <c r="U76" s="1"/>
      <c r="V76" s="4"/>
      <c r="W76" s="3"/>
    </row>
    <row r="77" spans="1:23" x14ac:dyDescent="0.25">
      <c r="A77" s="154">
        <v>49</v>
      </c>
      <c r="B77" s="1"/>
      <c r="C77" s="452" t="s">
        <v>3640</v>
      </c>
      <c r="D77" s="567">
        <v>82</v>
      </c>
      <c r="E77" s="3" t="s">
        <v>2320</v>
      </c>
      <c r="F77" s="43" t="s">
        <v>1879</v>
      </c>
      <c r="G77" s="2" t="s">
        <v>3252</v>
      </c>
      <c r="H77" s="2" t="s">
        <v>1881</v>
      </c>
      <c r="I77" s="156" t="str">
        <f t="shared" si="2"/>
        <v>2019</v>
      </c>
      <c r="J77" s="156"/>
      <c r="K77" s="156"/>
      <c r="L77" s="2"/>
      <c r="M77" s="157" t="str">
        <f t="shared" si="3"/>
        <v>К</v>
      </c>
      <c r="N77" s="161" t="s">
        <v>3636</v>
      </c>
      <c r="O77" s="4" t="s">
        <v>1933</v>
      </c>
      <c r="P77" s="1"/>
      <c r="R77" s="170" t="s">
        <v>3756</v>
      </c>
      <c r="S77" s="455" t="s">
        <v>3757</v>
      </c>
      <c r="U77" s="1"/>
      <c r="V77" s="4"/>
      <c r="W77" s="3"/>
    </row>
    <row r="78" spans="1:23" x14ac:dyDescent="0.25">
      <c r="A78" s="158">
        <v>40</v>
      </c>
      <c r="B78" s="456" t="s">
        <v>3552</v>
      </c>
      <c r="C78" s="457" t="s">
        <v>3034</v>
      </c>
      <c r="D78" s="567">
        <v>21</v>
      </c>
      <c r="E78" s="3" t="s">
        <v>2977</v>
      </c>
      <c r="F78" s="43" t="s">
        <v>3390</v>
      </c>
      <c r="G78" s="2" t="s">
        <v>3274</v>
      </c>
      <c r="H78" s="2"/>
      <c r="I78" s="156" t="str">
        <f t="shared" si="2"/>
        <v/>
      </c>
      <c r="J78" s="156"/>
      <c r="K78" s="156"/>
      <c r="L78" s="2" t="s">
        <v>3275</v>
      </c>
      <c r="M78" s="157" t="str">
        <f t="shared" si="3"/>
        <v>К08102576_2</v>
      </c>
      <c r="N78" s="161" t="s">
        <v>3636</v>
      </c>
      <c r="O78" s="4" t="s">
        <v>1263</v>
      </c>
      <c r="P78" s="1"/>
      <c r="U78" s="1"/>
      <c r="V78" s="4"/>
      <c r="W78" s="3"/>
    </row>
    <row r="79" spans="1:23" x14ac:dyDescent="0.25">
      <c r="A79" s="154">
        <v>41</v>
      </c>
      <c r="B79" s="1"/>
      <c r="C79" s="457" t="s">
        <v>3034</v>
      </c>
      <c r="D79" s="567">
        <v>45</v>
      </c>
      <c r="E79" s="3" t="s">
        <v>91</v>
      </c>
      <c r="F79" s="43" t="s">
        <v>92</v>
      </c>
      <c r="G79" s="2" t="s">
        <v>3246</v>
      </c>
      <c r="H79" s="2"/>
      <c r="I79" s="156" t="str">
        <f t="shared" si="2"/>
        <v/>
      </c>
      <c r="J79" s="156"/>
      <c r="K79" s="156"/>
      <c r="L79" s="2" t="s">
        <v>3247</v>
      </c>
      <c r="M79" s="157" t="str">
        <f t="shared" si="3"/>
        <v>К08102729_2</v>
      </c>
      <c r="N79" s="161" t="s">
        <v>3636</v>
      </c>
      <c r="O79" s="4" t="s">
        <v>1935</v>
      </c>
      <c r="P79" s="1"/>
      <c r="U79" s="1"/>
      <c r="V79" s="4"/>
      <c r="W79" s="3"/>
    </row>
    <row r="80" spans="1:23" x14ac:dyDescent="0.25">
      <c r="A80" s="154">
        <v>77</v>
      </c>
      <c r="B80" s="136" t="s">
        <v>3552</v>
      </c>
      <c r="C80" s="136"/>
      <c r="D80" s="567">
        <v>73</v>
      </c>
      <c r="E80" s="137" t="s">
        <v>61</v>
      </c>
      <c r="F80" s="3" t="s">
        <v>2617</v>
      </c>
      <c r="G80" s="2" t="s">
        <v>2618</v>
      </c>
      <c r="H80" s="2"/>
      <c r="I80" s="156" t="str">
        <f t="shared" si="2"/>
        <v/>
      </c>
      <c r="J80" s="156"/>
      <c r="K80" s="156"/>
      <c r="L80" s="2" t="s">
        <v>2619</v>
      </c>
      <c r="M80" s="157" t="str">
        <f t="shared" si="3"/>
        <v>КBA0000002713</v>
      </c>
      <c r="N80" s="161" t="s">
        <v>3636</v>
      </c>
      <c r="O80" s="4" t="s">
        <v>1935</v>
      </c>
      <c r="P80" s="1"/>
      <c r="U80" s="153" t="s">
        <v>3640</v>
      </c>
      <c r="V80" s="4"/>
      <c r="W80" s="3"/>
    </row>
    <row r="81" spans="1:24" x14ac:dyDescent="0.25">
      <c r="A81" s="158">
        <v>50</v>
      </c>
      <c r="B81" s="456" t="s">
        <v>3552</v>
      </c>
      <c r="C81" s="456"/>
      <c r="D81" s="567">
        <v>74</v>
      </c>
      <c r="E81" s="458" t="s">
        <v>61</v>
      </c>
      <c r="F81" s="458" t="s">
        <v>62</v>
      </c>
      <c r="G81" s="460" t="s">
        <v>2356</v>
      </c>
      <c r="H81" s="2"/>
      <c r="I81" s="156" t="str">
        <f>RIGHT(H81,4)</f>
        <v/>
      </c>
      <c r="J81" s="156"/>
      <c r="K81" s="156"/>
      <c r="L81" s="460" t="s">
        <v>2355</v>
      </c>
      <c r="M81" s="157" t="str">
        <f>CONCATENATE("К",L81)</f>
        <v>К08106057</v>
      </c>
      <c r="N81" s="161" t="s">
        <v>3636</v>
      </c>
      <c r="O81" s="462" t="s">
        <v>706</v>
      </c>
      <c r="P81" s="1"/>
      <c r="U81" s="153"/>
      <c r="V81" s="4"/>
      <c r="W81" s="3"/>
    </row>
    <row r="82" spans="1:24" s="450" customFormat="1" x14ac:dyDescent="0.25">
      <c r="A82" s="158"/>
      <c r="B82" s="456" t="s">
        <v>3552</v>
      </c>
      <c r="C82" s="456"/>
      <c r="D82" s="567">
        <v>75</v>
      </c>
      <c r="E82" s="458" t="s">
        <v>61</v>
      </c>
      <c r="F82" s="458" t="s">
        <v>62</v>
      </c>
      <c r="G82" s="460" t="s">
        <v>2357</v>
      </c>
      <c r="H82" s="2"/>
      <c r="I82" s="156" t="str">
        <f>RIGHT(H82,4)</f>
        <v/>
      </c>
      <c r="J82" s="156"/>
      <c r="K82" s="156"/>
      <c r="L82" s="460" t="s">
        <v>2355</v>
      </c>
      <c r="M82" s="157" t="str">
        <f>CONCATENATE("К",L82)</f>
        <v>К08106057</v>
      </c>
      <c r="N82" s="161" t="s">
        <v>3636</v>
      </c>
      <c r="O82" s="4"/>
      <c r="P82" s="1"/>
      <c r="Q82" s="1"/>
      <c r="R82" s="3"/>
      <c r="S82" s="1"/>
      <c r="T82" s="3"/>
      <c r="U82" s="1"/>
      <c r="V82" s="4"/>
      <c r="W82" s="3"/>
      <c r="X82" s="3"/>
    </row>
    <row r="83" spans="1:24" x14ac:dyDescent="0.25">
      <c r="A83" s="158">
        <v>78</v>
      </c>
      <c r="B83" s="456" t="s">
        <v>3552</v>
      </c>
      <c r="C83" s="456"/>
      <c r="D83" s="567">
        <v>76</v>
      </c>
      <c r="E83" s="458" t="s">
        <v>61</v>
      </c>
      <c r="F83" s="458" t="s">
        <v>2358</v>
      </c>
      <c r="G83" s="2"/>
      <c r="H83" s="2"/>
      <c r="I83" s="156" t="str">
        <f>RIGHT(H83,4)</f>
        <v/>
      </c>
      <c r="J83" s="156"/>
      <c r="K83" s="156"/>
      <c r="L83" s="2"/>
      <c r="M83" s="157" t="str">
        <f>CONCATENATE("К",L83)</f>
        <v>К</v>
      </c>
      <c r="N83" s="161" t="s">
        <v>3636</v>
      </c>
      <c r="O83" s="4"/>
      <c r="P83" s="1"/>
      <c r="U83" s="1"/>
      <c r="V83" s="4"/>
      <c r="W83" s="3"/>
    </row>
    <row r="84" spans="1:24" x14ac:dyDescent="0.25">
      <c r="A84" s="154">
        <v>79</v>
      </c>
      <c r="B84" s="1"/>
      <c r="C84" s="452"/>
      <c r="D84" s="567">
        <v>83</v>
      </c>
      <c r="E84" s="3" t="s">
        <v>2320</v>
      </c>
      <c r="F84" s="482" t="s">
        <v>5513</v>
      </c>
      <c r="G84" s="2"/>
      <c r="H84" s="2"/>
      <c r="I84" s="156"/>
      <c r="J84" s="156"/>
      <c r="K84" s="156"/>
      <c r="L84" s="2"/>
      <c r="M84" s="157"/>
      <c r="N84" s="161" t="s">
        <v>3636</v>
      </c>
      <c r="O84" s="462" t="s">
        <v>706</v>
      </c>
      <c r="P84" s="1"/>
      <c r="R84" s="170"/>
      <c r="S84" s="455"/>
      <c r="U84" s="1"/>
      <c r="V84" s="4"/>
      <c r="W84" s="3"/>
    </row>
    <row r="85" spans="1:24" x14ac:dyDescent="0.25">
      <c r="A85" s="154">
        <v>125</v>
      </c>
      <c r="B85" s="136" t="s">
        <v>3552</v>
      </c>
      <c r="C85" s="457" t="s">
        <v>3689</v>
      </c>
      <c r="D85" s="567">
        <v>106</v>
      </c>
      <c r="E85" s="724" t="s">
        <v>3573</v>
      </c>
      <c r="F85" s="624" t="s">
        <v>1473</v>
      </c>
      <c r="G85" s="625" t="s">
        <v>1474</v>
      </c>
      <c r="H85" s="626" t="s">
        <v>90</v>
      </c>
      <c r="I85" s="627" t="str">
        <f t="shared" ref="I85:I119" si="4">RIGHT(H85,4)</f>
        <v>2008</v>
      </c>
      <c r="J85" s="725">
        <v>2008</v>
      </c>
      <c r="K85" s="156"/>
      <c r="L85" s="2" t="s">
        <v>1475</v>
      </c>
      <c r="M85" s="157" t="str">
        <f t="shared" ref="M85:M119" si="5">CONCATENATE("К",L85)</f>
        <v>К08102608</v>
      </c>
      <c r="N85" s="161" t="s">
        <v>3637</v>
      </c>
      <c r="O85" s="4" t="s">
        <v>1468</v>
      </c>
      <c r="P85" s="1"/>
      <c r="T85" s="164"/>
      <c r="U85" s="163"/>
      <c r="V85" s="165" t="s">
        <v>3645</v>
      </c>
      <c r="W85" s="3"/>
    </row>
    <row r="86" spans="1:24" x14ac:dyDescent="0.25">
      <c r="A86" s="158">
        <v>84</v>
      </c>
      <c r="B86" s="614" t="s">
        <v>3552</v>
      </c>
      <c r="C86" s="615" t="s">
        <v>3689</v>
      </c>
      <c r="D86" s="616">
        <v>107</v>
      </c>
      <c r="E86" s="668" t="s">
        <v>3550</v>
      </c>
      <c r="F86" s="645" t="s">
        <v>1638</v>
      </c>
      <c r="G86" s="646" t="s">
        <v>1639</v>
      </c>
      <c r="H86" s="707" t="s">
        <v>2808</v>
      </c>
      <c r="I86" s="647" t="str">
        <f t="shared" si="4"/>
        <v>2008</v>
      </c>
      <c r="J86" s="647">
        <v>2008</v>
      </c>
      <c r="K86" s="618"/>
      <c r="L86" s="617" t="s">
        <v>1640</v>
      </c>
      <c r="M86" s="619" t="str">
        <f t="shared" si="5"/>
        <v>К08102471_3</v>
      </c>
      <c r="N86" s="620" t="s">
        <v>3637</v>
      </c>
      <c r="O86" s="621" t="s">
        <v>1564</v>
      </c>
      <c r="P86" s="622"/>
      <c r="U86" s="1"/>
      <c r="V86" s="4"/>
      <c r="W86" s="3"/>
    </row>
    <row r="87" spans="1:24" x14ac:dyDescent="0.25">
      <c r="A87" s="158">
        <v>86</v>
      </c>
      <c r="B87" s="1"/>
      <c r="C87" s="1"/>
      <c r="D87" s="567">
        <v>110</v>
      </c>
      <c r="E87" s="726" t="s">
        <v>1509</v>
      </c>
      <c r="F87" s="645" t="s">
        <v>1510</v>
      </c>
      <c r="G87" s="646" t="s">
        <v>1511</v>
      </c>
      <c r="H87" s="646" t="s">
        <v>637</v>
      </c>
      <c r="I87" s="647" t="str">
        <f t="shared" si="4"/>
        <v>2008</v>
      </c>
      <c r="J87" s="727">
        <v>2008</v>
      </c>
      <c r="K87" s="156"/>
      <c r="L87" s="2" t="s">
        <v>1512</v>
      </c>
      <c r="M87" s="157" t="str">
        <f t="shared" si="5"/>
        <v>К08102374_3</v>
      </c>
      <c r="N87" s="161" t="s">
        <v>3637</v>
      </c>
      <c r="O87" s="4" t="s">
        <v>1508</v>
      </c>
      <c r="P87" s="1"/>
      <c r="W87" s="3"/>
    </row>
    <row r="88" spans="1:24" x14ac:dyDescent="0.25">
      <c r="A88" s="154">
        <v>87</v>
      </c>
      <c r="B88" s="1"/>
      <c r="C88" s="1"/>
      <c r="D88" s="567">
        <v>111</v>
      </c>
      <c r="E88" s="726" t="s">
        <v>1509</v>
      </c>
      <c r="F88" s="645" t="s">
        <v>1538</v>
      </c>
      <c r="G88" s="646" t="s">
        <v>1539</v>
      </c>
      <c r="H88" s="646" t="s">
        <v>411</v>
      </c>
      <c r="I88" s="647" t="str">
        <f t="shared" si="4"/>
        <v>2008</v>
      </c>
      <c r="J88" s="727">
        <v>2008</v>
      </c>
      <c r="K88" s="156"/>
      <c r="L88" s="2" t="s">
        <v>1540</v>
      </c>
      <c r="M88" s="157" t="str">
        <f t="shared" si="5"/>
        <v>К08102375_3</v>
      </c>
      <c r="N88" s="161" t="s">
        <v>3637</v>
      </c>
      <c r="O88" s="4" t="s">
        <v>1220</v>
      </c>
      <c r="P88" s="1"/>
      <c r="U88" s="1"/>
      <c r="V88" s="4"/>
      <c r="W88" s="3"/>
    </row>
    <row r="89" spans="1:24" x14ac:dyDescent="0.25">
      <c r="A89" s="154">
        <v>105</v>
      </c>
      <c r="B89" s="1"/>
      <c r="C89" s="457"/>
      <c r="D89" s="567">
        <v>207</v>
      </c>
      <c r="E89" s="726" t="s">
        <v>1558</v>
      </c>
      <c r="F89" s="645" t="s">
        <v>1559</v>
      </c>
      <c r="G89" s="646" t="s">
        <v>1560</v>
      </c>
      <c r="H89" s="646" t="s">
        <v>90</v>
      </c>
      <c r="I89" s="647" t="str">
        <f t="shared" si="4"/>
        <v>2008</v>
      </c>
      <c r="J89" s="727">
        <v>2008</v>
      </c>
      <c r="K89" s="156"/>
      <c r="L89" s="2"/>
      <c r="M89" s="157" t="str">
        <f t="shared" si="5"/>
        <v>К</v>
      </c>
      <c r="N89" s="161" t="s">
        <v>3637</v>
      </c>
      <c r="O89" s="4" t="s">
        <v>1220</v>
      </c>
      <c r="P89" s="1"/>
      <c r="U89" s="1"/>
      <c r="V89" s="4"/>
      <c r="W89" s="3"/>
    </row>
    <row r="90" spans="1:24" x14ac:dyDescent="0.25">
      <c r="A90" s="158">
        <v>106</v>
      </c>
      <c r="B90" s="456" t="s">
        <v>3552</v>
      </c>
      <c r="C90" s="456"/>
      <c r="D90" s="567">
        <v>105</v>
      </c>
      <c r="E90" s="726" t="s">
        <v>1685</v>
      </c>
      <c r="F90" s="645" t="s">
        <v>1686</v>
      </c>
      <c r="G90" s="646" t="s">
        <v>1687</v>
      </c>
      <c r="H90" s="646" t="s">
        <v>79</v>
      </c>
      <c r="I90" s="647" t="str">
        <f t="shared" si="4"/>
        <v>2009</v>
      </c>
      <c r="J90" s="727">
        <v>2009</v>
      </c>
      <c r="K90" s="156"/>
      <c r="L90" s="2" t="s">
        <v>1688</v>
      </c>
      <c r="M90" s="157" t="str">
        <f t="shared" si="5"/>
        <v>К08102698_2</v>
      </c>
      <c r="N90" s="161" t="s">
        <v>3637</v>
      </c>
      <c r="O90" s="4" t="s">
        <v>1679</v>
      </c>
      <c r="P90" s="1"/>
      <c r="U90" s="1"/>
      <c r="V90" s="4"/>
      <c r="W90" s="3"/>
    </row>
    <row r="91" spans="1:24" x14ac:dyDescent="0.25">
      <c r="A91" s="158">
        <v>116</v>
      </c>
      <c r="B91" s="676"/>
      <c r="C91" s="677"/>
      <c r="D91" s="623">
        <v>205</v>
      </c>
      <c r="E91" s="645" t="s">
        <v>1663</v>
      </c>
      <c r="F91" s="645" t="s">
        <v>1664</v>
      </c>
      <c r="G91" s="646" t="s">
        <v>1665</v>
      </c>
      <c r="H91" s="646" t="s">
        <v>79</v>
      </c>
      <c r="I91" s="647" t="str">
        <f t="shared" si="4"/>
        <v>2009</v>
      </c>
      <c r="J91" s="647">
        <v>2009</v>
      </c>
      <c r="K91" s="627"/>
      <c r="L91" s="625" t="s">
        <v>1666</v>
      </c>
      <c r="M91" s="628" t="str">
        <f t="shared" si="5"/>
        <v>К08102600_2</v>
      </c>
      <c r="N91" s="629" t="s">
        <v>3637</v>
      </c>
      <c r="O91" s="630" t="s">
        <v>1660</v>
      </c>
      <c r="P91" s="631"/>
      <c r="U91" s="1"/>
      <c r="V91" s="4"/>
      <c r="W91" s="3"/>
    </row>
    <row r="92" spans="1:24" x14ac:dyDescent="0.25">
      <c r="A92" s="158">
        <v>148</v>
      </c>
      <c r="B92" s="688"/>
      <c r="C92" s="691"/>
      <c r="D92" s="632">
        <v>112</v>
      </c>
      <c r="E92" s="645" t="s">
        <v>1509</v>
      </c>
      <c r="F92" s="645" t="s">
        <v>1510</v>
      </c>
      <c r="G92" s="646" t="s">
        <v>1578</v>
      </c>
      <c r="H92" s="646" t="s">
        <v>1579</v>
      </c>
      <c r="I92" s="647" t="str">
        <f t="shared" si="4"/>
        <v>2010</v>
      </c>
      <c r="J92" s="647">
        <v>2010</v>
      </c>
      <c r="K92" s="635"/>
      <c r="L92" s="634" t="s">
        <v>1580</v>
      </c>
      <c r="M92" s="636" t="str">
        <f t="shared" si="5"/>
        <v>К08102751</v>
      </c>
      <c r="N92" s="637" t="s">
        <v>3637</v>
      </c>
      <c r="O92" s="638" t="s">
        <v>1564</v>
      </c>
      <c r="P92" s="639"/>
      <c r="U92" s="1"/>
      <c r="V92" s="4"/>
      <c r="W92" s="3"/>
    </row>
    <row r="93" spans="1:24" x14ac:dyDescent="0.25">
      <c r="A93" s="154">
        <v>149</v>
      </c>
      <c r="B93" s="1"/>
      <c r="C93" s="1"/>
      <c r="D93" s="567">
        <v>113</v>
      </c>
      <c r="E93" s="726" t="s">
        <v>1509</v>
      </c>
      <c r="F93" s="645" t="s">
        <v>1510</v>
      </c>
      <c r="G93" s="646" t="s">
        <v>1651</v>
      </c>
      <c r="H93" s="646" t="s">
        <v>47</v>
      </c>
      <c r="I93" s="647" t="str">
        <f t="shared" si="4"/>
        <v>2010</v>
      </c>
      <c r="J93" s="727">
        <v>2010</v>
      </c>
      <c r="K93" s="156"/>
      <c r="L93" s="2" t="s">
        <v>1652</v>
      </c>
      <c r="M93" s="157" t="str">
        <f t="shared" si="5"/>
        <v>К08102750</v>
      </c>
      <c r="N93" s="161" t="s">
        <v>3637</v>
      </c>
      <c r="O93" s="4" t="s">
        <v>1653</v>
      </c>
      <c r="P93" s="1"/>
      <c r="U93" s="1"/>
      <c r="V93" s="4"/>
      <c r="W93" s="3"/>
    </row>
    <row r="94" spans="1:24" x14ac:dyDescent="0.25">
      <c r="A94" s="158">
        <v>150</v>
      </c>
      <c r="B94" s="456" t="s">
        <v>3552</v>
      </c>
      <c r="C94" s="457" t="s">
        <v>3689</v>
      </c>
      <c r="D94" s="567">
        <v>86</v>
      </c>
      <c r="E94" s="728" t="s">
        <v>3575</v>
      </c>
      <c r="F94" s="645" t="s">
        <v>1505</v>
      </c>
      <c r="G94" s="646" t="s">
        <v>1506</v>
      </c>
      <c r="H94" s="646" t="s">
        <v>283</v>
      </c>
      <c r="I94" s="647" t="str">
        <f t="shared" si="4"/>
        <v>2011</v>
      </c>
      <c r="J94" s="727">
        <v>2011</v>
      </c>
      <c r="K94" s="156"/>
      <c r="L94" s="2" t="s">
        <v>1507</v>
      </c>
      <c r="M94" s="157" t="str">
        <f t="shared" si="5"/>
        <v>К08102607_2</v>
      </c>
      <c r="N94" s="161" t="s">
        <v>3637</v>
      </c>
      <c r="O94" s="4" t="s">
        <v>1508</v>
      </c>
      <c r="P94" s="1"/>
      <c r="U94" s="1"/>
      <c r="V94" s="4"/>
      <c r="W94" s="3"/>
    </row>
    <row r="95" spans="1:24" x14ac:dyDescent="0.25">
      <c r="A95" s="154">
        <v>151</v>
      </c>
      <c r="B95" s="640"/>
      <c r="C95" s="615" t="s">
        <v>3034</v>
      </c>
      <c r="D95" s="616">
        <v>204</v>
      </c>
      <c r="E95" s="645" t="s">
        <v>499</v>
      </c>
      <c r="F95" s="644" t="s">
        <v>2374</v>
      </c>
      <c r="G95" s="646" t="s">
        <v>1674</v>
      </c>
      <c r="H95" s="646" t="s">
        <v>1721</v>
      </c>
      <c r="I95" s="647" t="str">
        <f t="shared" si="4"/>
        <v>2011</v>
      </c>
      <c r="J95" s="647">
        <v>2011</v>
      </c>
      <c r="K95" s="618"/>
      <c r="L95" s="617" t="s">
        <v>1675</v>
      </c>
      <c r="M95" s="619" t="str">
        <f t="shared" si="5"/>
        <v>К04700252</v>
      </c>
      <c r="N95" s="620" t="s">
        <v>3637</v>
      </c>
      <c r="O95" s="621" t="s">
        <v>1671</v>
      </c>
      <c r="P95" s="622"/>
      <c r="U95" s="1"/>
      <c r="V95" s="4"/>
      <c r="W95" s="3"/>
    </row>
    <row r="96" spans="1:24" x14ac:dyDescent="0.25">
      <c r="A96" s="158">
        <v>152</v>
      </c>
      <c r="B96" s="1"/>
      <c r="C96" s="1"/>
      <c r="D96" s="567">
        <v>208</v>
      </c>
      <c r="E96" s="726" t="s">
        <v>1479</v>
      </c>
      <c r="F96" s="645" t="s">
        <v>1480</v>
      </c>
      <c r="H96" s="646" t="s">
        <v>283</v>
      </c>
      <c r="I96" s="647" t="str">
        <f t="shared" si="4"/>
        <v>2011</v>
      </c>
      <c r="J96" s="727">
        <v>2011</v>
      </c>
      <c r="K96" s="156"/>
      <c r="L96" s="2" t="s">
        <v>1481</v>
      </c>
      <c r="M96" s="157" t="str">
        <f t="shared" si="5"/>
        <v>К08103024</v>
      </c>
      <c r="N96" s="161" t="s">
        <v>3637</v>
      </c>
      <c r="O96" s="4" t="s">
        <v>1468</v>
      </c>
      <c r="P96" s="1"/>
      <c r="U96" s="1"/>
      <c r="V96" s="4"/>
      <c r="W96" s="3"/>
    </row>
    <row r="97" spans="1:23" x14ac:dyDescent="0.25">
      <c r="A97" s="154">
        <v>153</v>
      </c>
      <c r="B97" s="456" t="s">
        <v>3552</v>
      </c>
      <c r="C97" s="457" t="s">
        <v>3689</v>
      </c>
      <c r="D97" s="567">
        <v>95</v>
      </c>
      <c r="E97" s="726" t="s">
        <v>1567</v>
      </c>
      <c r="F97" s="645" t="s">
        <v>1568</v>
      </c>
      <c r="G97" s="646" t="s">
        <v>1569</v>
      </c>
      <c r="H97" s="646" t="s">
        <v>1570</v>
      </c>
      <c r="I97" s="647" t="str">
        <f t="shared" si="4"/>
        <v>2012</v>
      </c>
      <c r="J97" s="727">
        <v>2012</v>
      </c>
      <c r="K97" s="156"/>
      <c r="L97" s="2" t="s">
        <v>1571</v>
      </c>
      <c r="M97" s="157" t="str">
        <f t="shared" si="5"/>
        <v>К08104159</v>
      </c>
      <c r="N97" s="161" t="s">
        <v>3637</v>
      </c>
      <c r="O97" s="4" t="s">
        <v>1564</v>
      </c>
      <c r="P97" s="1"/>
      <c r="T97" s="164"/>
      <c r="U97" s="163"/>
      <c r="V97" s="165" t="s">
        <v>746</v>
      </c>
      <c r="W97" s="3"/>
    </row>
    <row r="98" spans="1:23" x14ac:dyDescent="0.25">
      <c r="A98" s="158">
        <v>208</v>
      </c>
      <c r="B98" s="640"/>
      <c r="C98" s="690"/>
      <c r="D98" s="616">
        <v>210</v>
      </c>
      <c r="E98" s="645" t="s">
        <v>1629</v>
      </c>
      <c r="F98" s="645" t="s">
        <v>1630</v>
      </c>
      <c r="G98" s="646" t="s">
        <v>1631</v>
      </c>
      <c r="H98" s="729" t="s">
        <v>159</v>
      </c>
      <c r="I98" s="647" t="str">
        <f t="shared" si="4"/>
        <v>2012</v>
      </c>
      <c r="J98" s="647">
        <v>2012</v>
      </c>
      <c r="K98" s="618"/>
      <c r="L98" s="617" t="s">
        <v>1632</v>
      </c>
      <c r="M98" s="619" t="str">
        <f t="shared" si="5"/>
        <v>К08104155</v>
      </c>
      <c r="N98" s="620" t="s">
        <v>3637</v>
      </c>
      <c r="O98" s="621" t="s">
        <v>1564</v>
      </c>
      <c r="P98" s="622"/>
      <c r="U98" s="1"/>
      <c r="V98" s="4"/>
      <c r="W98" s="3"/>
    </row>
    <row r="99" spans="1:23" x14ac:dyDescent="0.25">
      <c r="A99" s="158">
        <v>136</v>
      </c>
      <c r="B99" s="1"/>
      <c r="C99" s="1"/>
      <c r="D99" s="567">
        <v>211</v>
      </c>
      <c r="E99" s="726" t="s">
        <v>1629</v>
      </c>
      <c r="F99" s="645" t="s">
        <v>1630</v>
      </c>
      <c r="G99" s="646" t="s">
        <v>1633</v>
      </c>
      <c r="H99" s="729" t="s">
        <v>159</v>
      </c>
      <c r="I99" s="647" t="str">
        <f t="shared" si="4"/>
        <v>2012</v>
      </c>
      <c r="J99" s="727">
        <v>2012</v>
      </c>
      <c r="K99" s="156"/>
      <c r="L99" s="2" t="s">
        <v>1634</v>
      </c>
      <c r="M99" s="157" t="str">
        <f t="shared" si="5"/>
        <v>К08104157</v>
      </c>
      <c r="N99" s="161" t="s">
        <v>3637</v>
      </c>
      <c r="O99" s="4" t="s">
        <v>1564</v>
      </c>
      <c r="P99" s="1"/>
      <c r="U99" s="1"/>
      <c r="V99" s="4"/>
      <c r="W99" s="3"/>
    </row>
    <row r="100" spans="1:23" x14ac:dyDescent="0.25">
      <c r="A100" s="158">
        <v>206</v>
      </c>
      <c r="B100" s="1"/>
      <c r="C100" s="1"/>
      <c r="D100" s="567">
        <v>215</v>
      </c>
      <c r="E100" s="730" t="s">
        <v>2380</v>
      </c>
      <c r="F100" s="731" t="s">
        <v>2379</v>
      </c>
      <c r="G100" s="646" t="s">
        <v>1466</v>
      </c>
      <c r="H100" s="646" t="s">
        <v>780</v>
      </c>
      <c r="I100" s="647" t="str">
        <f t="shared" si="4"/>
        <v>2012</v>
      </c>
      <c r="J100" s="727">
        <v>2012</v>
      </c>
      <c r="K100" s="156"/>
      <c r="L100" s="2" t="s">
        <v>1467</v>
      </c>
      <c r="M100" s="157" t="str">
        <f t="shared" si="5"/>
        <v>К08104867</v>
      </c>
      <c r="N100" s="161" t="s">
        <v>3637</v>
      </c>
      <c r="O100" s="4" t="s">
        <v>1468</v>
      </c>
      <c r="P100" s="1"/>
      <c r="U100" s="1"/>
      <c r="V100" s="4"/>
      <c r="W100" s="3"/>
    </row>
    <row r="101" spans="1:23" ht="15" customHeight="1" x14ac:dyDescent="0.25">
      <c r="A101" s="154">
        <v>207</v>
      </c>
      <c r="B101" s="456" t="s">
        <v>3552</v>
      </c>
      <c r="C101" s="457" t="s">
        <v>3689</v>
      </c>
      <c r="D101" s="567">
        <v>94</v>
      </c>
      <c r="E101" s="732" t="s">
        <v>3551</v>
      </c>
      <c r="F101" s="645" t="s">
        <v>1641</v>
      </c>
      <c r="G101" s="729" t="s">
        <v>5667</v>
      </c>
      <c r="H101" s="646" t="s">
        <v>1643</v>
      </c>
      <c r="I101" s="647" t="str">
        <f t="shared" si="4"/>
        <v>2013</v>
      </c>
      <c r="J101" s="727">
        <v>2013</v>
      </c>
      <c r="K101" s="156"/>
      <c r="L101" s="2" t="s">
        <v>1644</v>
      </c>
      <c r="M101" s="157" t="str">
        <f t="shared" si="5"/>
        <v>К21012400254</v>
      </c>
      <c r="N101" s="161" t="s">
        <v>3637</v>
      </c>
      <c r="O101" s="4" t="s">
        <v>1564</v>
      </c>
      <c r="P101" s="1"/>
      <c r="T101" s="162"/>
      <c r="U101" s="167"/>
      <c r="V101" s="168" t="s">
        <v>746</v>
      </c>
      <c r="W101" s="3"/>
    </row>
    <row r="102" spans="1:23" ht="15" customHeight="1" x14ac:dyDescent="0.25">
      <c r="A102" s="154">
        <v>209</v>
      </c>
      <c r="B102" s="640"/>
      <c r="C102" s="690"/>
      <c r="D102" s="616">
        <v>226</v>
      </c>
      <c r="E102" s="645" t="s">
        <v>503</v>
      </c>
      <c r="F102" s="645" t="s">
        <v>1495</v>
      </c>
      <c r="G102" s="646" t="s">
        <v>1496</v>
      </c>
      <c r="H102" s="646" t="s">
        <v>59</v>
      </c>
      <c r="I102" s="647" t="str">
        <f t="shared" si="4"/>
        <v>2013</v>
      </c>
      <c r="J102" s="647">
        <v>2013</v>
      </c>
      <c r="K102" s="618"/>
      <c r="L102" s="617" t="s">
        <v>1497</v>
      </c>
      <c r="M102" s="619" t="str">
        <f t="shared" si="5"/>
        <v>К08106079</v>
      </c>
      <c r="N102" s="620" t="s">
        <v>3637</v>
      </c>
      <c r="O102" s="621" t="s">
        <v>1489</v>
      </c>
      <c r="P102" s="622"/>
      <c r="U102" s="1"/>
      <c r="V102" s="4"/>
      <c r="W102" s="3"/>
    </row>
    <row r="103" spans="1:23" x14ac:dyDescent="0.25">
      <c r="A103" s="158">
        <v>210</v>
      </c>
      <c r="B103" s="1"/>
      <c r="C103" s="1"/>
      <c r="D103" s="567">
        <v>227</v>
      </c>
      <c r="E103" s="726" t="s">
        <v>503</v>
      </c>
      <c r="F103" s="645" t="s">
        <v>1495</v>
      </c>
      <c r="G103" s="646" t="s">
        <v>1498</v>
      </c>
      <c r="H103" s="646" t="s">
        <v>59</v>
      </c>
      <c r="I103" s="647" t="str">
        <f t="shared" si="4"/>
        <v>2013</v>
      </c>
      <c r="J103" s="727">
        <v>2013</v>
      </c>
      <c r="K103" s="156"/>
      <c r="L103" s="2"/>
      <c r="M103" s="157" t="str">
        <f t="shared" si="5"/>
        <v>К</v>
      </c>
      <c r="N103" s="161" t="s">
        <v>3637</v>
      </c>
      <c r="O103" s="4" t="s">
        <v>1489</v>
      </c>
      <c r="P103" s="1"/>
      <c r="U103" s="1"/>
      <c r="V103" s="4"/>
      <c r="W103" s="3"/>
    </row>
    <row r="104" spans="1:23" x14ac:dyDescent="0.25">
      <c r="A104" s="154">
        <v>107</v>
      </c>
      <c r="B104" s="1"/>
      <c r="C104" s="1"/>
      <c r="D104" s="567">
        <v>232</v>
      </c>
      <c r="E104" s="726" t="s">
        <v>503</v>
      </c>
      <c r="F104" s="645" t="s">
        <v>1495</v>
      </c>
      <c r="G104" s="646" t="s">
        <v>1701</v>
      </c>
      <c r="H104" s="646" t="s">
        <v>59</v>
      </c>
      <c r="I104" s="647" t="str">
        <f t="shared" si="4"/>
        <v>2013</v>
      </c>
      <c r="J104" s="727">
        <v>2013</v>
      </c>
      <c r="K104" s="156"/>
      <c r="L104" s="2" t="s">
        <v>1702</v>
      </c>
      <c r="M104" s="157" t="str">
        <f t="shared" si="5"/>
        <v>К08106078</v>
      </c>
      <c r="N104" s="161" t="s">
        <v>3637</v>
      </c>
      <c r="O104" s="4" t="s">
        <v>1679</v>
      </c>
      <c r="P104" s="1"/>
      <c r="U104" s="1"/>
      <c r="V104" s="4"/>
      <c r="W104" s="3"/>
    </row>
    <row r="105" spans="1:23" x14ac:dyDescent="0.25">
      <c r="A105" s="158">
        <v>154</v>
      </c>
      <c r="B105" s="456" t="s">
        <v>3552</v>
      </c>
      <c r="C105" s="457" t="s">
        <v>3689</v>
      </c>
      <c r="D105" s="567">
        <v>89</v>
      </c>
      <c r="E105" s="726" t="s">
        <v>1426</v>
      </c>
      <c r="F105" s="645" t="s">
        <v>1427</v>
      </c>
      <c r="G105" s="646" t="s">
        <v>1428</v>
      </c>
      <c r="H105" s="646" t="s">
        <v>1429</v>
      </c>
      <c r="I105" s="647" t="str">
        <f t="shared" si="4"/>
        <v>2016</v>
      </c>
      <c r="J105" s="727">
        <v>2016</v>
      </c>
      <c r="K105" s="156"/>
      <c r="L105" s="2"/>
      <c r="M105" s="157" t="str">
        <f t="shared" si="5"/>
        <v>К</v>
      </c>
      <c r="N105" s="161" t="s">
        <v>3637</v>
      </c>
      <c r="O105" s="4" t="s">
        <v>1422</v>
      </c>
      <c r="P105" s="1"/>
      <c r="U105" s="1"/>
      <c r="V105" s="4"/>
      <c r="W105" s="3"/>
    </row>
    <row r="106" spans="1:23" x14ac:dyDescent="0.25">
      <c r="A106" s="154">
        <v>89</v>
      </c>
      <c r="B106" s="456" t="s">
        <v>3552</v>
      </c>
      <c r="C106" s="457" t="s">
        <v>3689</v>
      </c>
      <c r="D106" s="567">
        <v>96</v>
      </c>
      <c r="E106" s="726" t="s">
        <v>1572</v>
      </c>
      <c r="F106" s="645" t="s">
        <v>1573</v>
      </c>
      <c r="G106" s="646">
        <v>1176</v>
      </c>
      <c r="H106" s="707" t="s">
        <v>3644</v>
      </c>
      <c r="I106" s="647" t="str">
        <f t="shared" si="4"/>
        <v>2016</v>
      </c>
      <c r="J106" s="727">
        <v>2016</v>
      </c>
      <c r="K106" s="156"/>
      <c r="L106" s="2" t="s">
        <v>1574</v>
      </c>
      <c r="M106" s="157" t="str">
        <f t="shared" si="5"/>
        <v>К7360000161</v>
      </c>
      <c r="N106" s="161" t="s">
        <v>3637</v>
      </c>
      <c r="O106" s="4" t="s">
        <v>1564</v>
      </c>
      <c r="P106" s="1"/>
      <c r="U106" s="1"/>
      <c r="V106" s="4"/>
      <c r="W106" s="3"/>
    </row>
    <row r="107" spans="1:23" x14ac:dyDescent="0.25">
      <c r="A107" s="158">
        <v>88</v>
      </c>
      <c r="B107" s="640"/>
      <c r="C107" s="690"/>
      <c r="D107" s="616">
        <v>212</v>
      </c>
      <c r="E107" s="645" t="s">
        <v>1457</v>
      </c>
      <c r="F107" s="645" t="s">
        <v>1458</v>
      </c>
      <c r="G107" s="646" t="s">
        <v>1459</v>
      </c>
      <c r="H107" s="646" t="s">
        <v>1460</v>
      </c>
      <c r="I107" s="647" t="str">
        <f t="shared" si="4"/>
        <v>2016</v>
      </c>
      <c r="J107" s="647">
        <v>2016</v>
      </c>
      <c r="K107" s="618"/>
      <c r="L107" s="617"/>
      <c r="M107" s="619" t="str">
        <f t="shared" si="5"/>
        <v>К</v>
      </c>
      <c r="N107" s="620" t="s">
        <v>3637</v>
      </c>
      <c r="O107" s="621" t="s">
        <v>1422</v>
      </c>
      <c r="P107" s="622"/>
      <c r="U107" s="1"/>
      <c r="V107" s="4"/>
      <c r="W107" s="3"/>
    </row>
    <row r="108" spans="1:23" x14ac:dyDescent="0.25">
      <c r="A108" s="158">
        <v>126</v>
      </c>
      <c r="B108" s="456" t="s">
        <v>3552</v>
      </c>
      <c r="C108" s="456"/>
      <c r="D108" s="567">
        <v>98</v>
      </c>
      <c r="E108" s="726" t="s">
        <v>1561</v>
      </c>
      <c r="F108" s="645" t="s">
        <v>1562</v>
      </c>
      <c r="G108" s="707" t="s">
        <v>3649</v>
      </c>
      <c r="H108" s="646" t="s">
        <v>200</v>
      </c>
      <c r="I108" s="647" t="str">
        <f t="shared" si="4"/>
        <v>2017</v>
      </c>
      <c r="J108" s="727">
        <v>2017</v>
      </c>
      <c r="K108" s="156"/>
      <c r="L108" s="2" t="s">
        <v>1563</v>
      </c>
      <c r="M108" s="157" t="str">
        <f t="shared" si="5"/>
        <v>К21012400181</v>
      </c>
      <c r="N108" s="161" t="s">
        <v>3637</v>
      </c>
      <c r="O108" s="4" t="s">
        <v>1564</v>
      </c>
      <c r="P108" s="1">
        <v>24</v>
      </c>
      <c r="U108" s="1"/>
      <c r="V108" s="4"/>
      <c r="W108" s="3"/>
    </row>
    <row r="109" spans="1:23" x14ac:dyDescent="0.25">
      <c r="A109" s="154">
        <v>137</v>
      </c>
      <c r="B109" s="456" t="s">
        <v>3552</v>
      </c>
      <c r="C109" s="456"/>
      <c r="D109" s="567">
        <v>108</v>
      </c>
      <c r="E109" s="726" t="s">
        <v>1430</v>
      </c>
      <c r="F109" s="645" t="s">
        <v>1435</v>
      </c>
      <c r="G109" s="646" t="s">
        <v>1436</v>
      </c>
      <c r="H109" s="646" t="s">
        <v>1437</v>
      </c>
      <c r="I109" s="647" t="str">
        <f t="shared" si="4"/>
        <v>2017</v>
      </c>
      <c r="J109" s="727">
        <v>2017</v>
      </c>
      <c r="K109" s="156"/>
      <c r="L109" s="2"/>
      <c r="M109" s="157" t="str">
        <f t="shared" si="5"/>
        <v>К</v>
      </c>
      <c r="N109" s="161" t="s">
        <v>3637</v>
      </c>
      <c r="O109" s="4" t="s">
        <v>1422</v>
      </c>
      <c r="P109" s="1"/>
      <c r="U109" s="1"/>
      <c r="V109" s="4"/>
      <c r="W109" s="3"/>
    </row>
    <row r="110" spans="1:23" x14ac:dyDescent="0.25">
      <c r="A110" s="154">
        <v>155</v>
      </c>
      <c r="B110" s="456" t="s">
        <v>3552</v>
      </c>
      <c r="C110" s="457" t="s">
        <v>3689</v>
      </c>
      <c r="D110" s="567">
        <v>93</v>
      </c>
      <c r="E110" s="726" t="s">
        <v>1485</v>
      </c>
      <c r="F110" s="645" t="s">
        <v>1486</v>
      </c>
      <c r="G110" s="646" t="s">
        <v>1487</v>
      </c>
      <c r="H110" s="729" t="s">
        <v>5665</v>
      </c>
      <c r="I110" s="647" t="str">
        <f t="shared" si="4"/>
        <v>2018</v>
      </c>
      <c r="J110" s="727">
        <v>2018</v>
      </c>
      <c r="K110" s="156"/>
      <c r="L110" s="2" t="s">
        <v>1488</v>
      </c>
      <c r="M110" s="157" t="str">
        <f t="shared" si="5"/>
        <v>К21012400253</v>
      </c>
      <c r="N110" s="161" t="s">
        <v>3637</v>
      </c>
      <c r="O110" s="4" t="s">
        <v>1489</v>
      </c>
      <c r="P110" s="1">
        <v>25</v>
      </c>
      <c r="U110" s="1"/>
      <c r="V110" s="4"/>
      <c r="W110" s="3"/>
    </row>
    <row r="111" spans="1:23" x14ac:dyDescent="0.25">
      <c r="A111" s="158">
        <v>196</v>
      </c>
      <c r="B111" s="456" t="s">
        <v>3552</v>
      </c>
      <c r="C111" s="457" t="s">
        <v>3689</v>
      </c>
      <c r="D111" s="567">
        <v>97</v>
      </c>
      <c r="E111" s="733" t="s">
        <v>1575</v>
      </c>
      <c r="F111" s="695" t="s">
        <v>1576</v>
      </c>
      <c r="G111" s="646" t="s">
        <v>1577</v>
      </c>
      <c r="H111" s="707" t="s">
        <v>124</v>
      </c>
      <c r="I111" s="647" t="str">
        <f t="shared" si="4"/>
        <v>2018</v>
      </c>
      <c r="J111" s="727">
        <v>2018</v>
      </c>
      <c r="K111" s="156"/>
      <c r="L111" s="2"/>
      <c r="M111" s="157" t="str">
        <f t="shared" si="5"/>
        <v>К</v>
      </c>
      <c r="N111" s="161" t="s">
        <v>3637</v>
      </c>
      <c r="O111" s="4" t="s">
        <v>1564</v>
      </c>
      <c r="P111" s="1"/>
      <c r="U111" s="1"/>
      <c r="V111" s="4"/>
      <c r="W111" s="3"/>
    </row>
    <row r="112" spans="1:23" x14ac:dyDescent="0.25">
      <c r="A112" s="158">
        <v>90</v>
      </c>
      <c r="B112" s="456" t="s">
        <v>3552</v>
      </c>
      <c r="C112" s="456"/>
      <c r="D112" s="567">
        <v>99</v>
      </c>
      <c r="E112" s="734" t="s">
        <v>2371</v>
      </c>
      <c r="F112" s="645" t="s">
        <v>1645</v>
      </c>
      <c r="G112" s="646" t="s">
        <v>1646</v>
      </c>
      <c r="H112" s="646" t="s">
        <v>1647</v>
      </c>
      <c r="I112" s="647" t="str">
        <f t="shared" si="4"/>
        <v>2018</v>
      </c>
      <c r="J112" s="727">
        <v>2018</v>
      </c>
      <c r="K112" s="156"/>
      <c r="L112" s="2"/>
      <c r="M112" s="157" t="str">
        <f t="shared" si="5"/>
        <v>К</v>
      </c>
      <c r="N112" s="161" t="s">
        <v>3637</v>
      </c>
      <c r="O112" s="4" t="s">
        <v>1564</v>
      </c>
      <c r="P112" s="1"/>
      <c r="U112" s="1"/>
      <c r="V112" s="4"/>
      <c r="W112" s="3"/>
    </row>
    <row r="113" spans="1:23" x14ac:dyDescent="0.25">
      <c r="A113" s="154">
        <v>91</v>
      </c>
      <c r="B113" s="456" t="s">
        <v>3552</v>
      </c>
      <c r="C113" s="457" t="s">
        <v>3689</v>
      </c>
      <c r="D113" s="567">
        <v>109</v>
      </c>
      <c r="E113" s="726" t="s">
        <v>1430</v>
      </c>
      <c r="F113" s="645" t="s">
        <v>1431</v>
      </c>
      <c r="G113" s="707" t="s">
        <v>3634</v>
      </c>
      <c r="H113" s="646" t="s">
        <v>1433</v>
      </c>
      <c r="I113" s="647" t="str">
        <f t="shared" si="4"/>
        <v>2018</v>
      </c>
      <c r="J113" s="727">
        <v>2018</v>
      </c>
      <c r="K113" s="156"/>
      <c r="L113" s="2" t="s">
        <v>1434</v>
      </c>
      <c r="M113" s="157" t="str">
        <f t="shared" si="5"/>
        <v>К08104160</v>
      </c>
      <c r="N113" s="161" t="s">
        <v>3637</v>
      </c>
      <c r="O113" s="4" t="s">
        <v>1422</v>
      </c>
      <c r="P113" s="1"/>
      <c r="U113" s="1"/>
      <c r="V113" s="4"/>
      <c r="W113" s="3"/>
    </row>
    <row r="114" spans="1:23" x14ac:dyDescent="0.25">
      <c r="A114" s="158">
        <v>92</v>
      </c>
      <c r="B114" s="1"/>
      <c r="C114" s="1"/>
      <c r="D114" s="567">
        <v>213</v>
      </c>
      <c r="E114" s="726" t="s">
        <v>1457</v>
      </c>
      <c r="F114" s="645" t="s">
        <v>1461</v>
      </c>
      <c r="G114" s="646" t="s">
        <v>1462</v>
      </c>
      <c r="H114" s="646" t="s">
        <v>1463</v>
      </c>
      <c r="I114" s="647" t="str">
        <f t="shared" si="4"/>
        <v>2018</v>
      </c>
      <c r="J114" s="727">
        <v>2018</v>
      </c>
      <c r="K114" s="156"/>
      <c r="L114" s="2"/>
      <c r="M114" s="157" t="str">
        <f t="shared" si="5"/>
        <v>К</v>
      </c>
      <c r="N114" s="161" t="s">
        <v>3637</v>
      </c>
      <c r="O114" s="4" t="s">
        <v>1422</v>
      </c>
      <c r="P114" s="1"/>
      <c r="U114" s="1"/>
      <c r="V114" s="4"/>
      <c r="W114" s="3"/>
    </row>
    <row r="115" spans="1:23" x14ac:dyDescent="0.25">
      <c r="A115" s="154">
        <v>93</v>
      </c>
      <c r="B115" s="456" t="s">
        <v>3552</v>
      </c>
      <c r="C115" s="457" t="s">
        <v>3689</v>
      </c>
      <c r="D115" s="567">
        <v>88</v>
      </c>
      <c r="E115" s="726" t="s">
        <v>1418</v>
      </c>
      <c r="F115" s="706" t="s">
        <v>3574</v>
      </c>
      <c r="G115" s="646" t="s">
        <v>1419</v>
      </c>
      <c r="H115" s="646" t="s">
        <v>1420</v>
      </c>
      <c r="I115" s="647" t="str">
        <f t="shared" si="4"/>
        <v>2019</v>
      </c>
      <c r="J115" s="727">
        <v>2019</v>
      </c>
      <c r="K115" s="156"/>
      <c r="L115" s="2"/>
      <c r="M115" s="157" t="str">
        <f t="shared" si="5"/>
        <v>К</v>
      </c>
      <c r="N115" s="161" t="s">
        <v>3637</v>
      </c>
      <c r="O115" s="4" t="s">
        <v>1422</v>
      </c>
      <c r="P115" s="1"/>
      <c r="U115" s="1"/>
      <c r="V115" s="4"/>
      <c r="W115" s="3"/>
    </row>
    <row r="116" spans="1:23" x14ac:dyDescent="0.25">
      <c r="A116" s="158">
        <v>94</v>
      </c>
      <c r="B116" s="614" t="s">
        <v>3552</v>
      </c>
      <c r="C116" s="615" t="s">
        <v>3689</v>
      </c>
      <c r="D116" s="616">
        <v>92</v>
      </c>
      <c r="E116" s="695" t="s">
        <v>1464</v>
      </c>
      <c r="F116" s="695" t="s">
        <v>2674</v>
      </c>
      <c r="G116" s="697" t="s">
        <v>2673</v>
      </c>
      <c r="H116" s="697" t="s">
        <v>2675</v>
      </c>
      <c r="I116" s="647" t="str">
        <f t="shared" si="4"/>
        <v>2019</v>
      </c>
      <c r="J116" s="647">
        <v>2019</v>
      </c>
      <c r="K116" s="618"/>
      <c r="L116" s="617"/>
      <c r="M116" s="619" t="str">
        <f t="shared" si="5"/>
        <v>К</v>
      </c>
      <c r="N116" s="620" t="s">
        <v>3637</v>
      </c>
      <c r="O116" s="721" t="s">
        <v>1468</v>
      </c>
      <c r="P116" s="622"/>
      <c r="U116" s="1"/>
      <c r="V116" s="4"/>
      <c r="W116" s="3"/>
    </row>
    <row r="117" spans="1:23" x14ac:dyDescent="0.25">
      <c r="A117" s="154">
        <v>95</v>
      </c>
      <c r="B117" s="136" t="s">
        <v>3552</v>
      </c>
      <c r="C117" s="457"/>
      <c r="D117" s="567">
        <v>90</v>
      </c>
      <c r="E117" s="728" t="s">
        <v>3568</v>
      </c>
      <c r="F117" s="706" t="s">
        <v>3569</v>
      </c>
      <c r="G117" s="707" t="s">
        <v>3635</v>
      </c>
      <c r="H117" s="707" t="s">
        <v>3643</v>
      </c>
      <c r="I117" s="647" t="str">
        <f t="shared" si="4"/>
        <v>2020</v>
      </c>
      <c r="J117" s="727">
        <v>2020</v>
      </c>
      <c r="K117" s="156"/>
      <c r="L117" s="2"/>
      <c r="M117" s="157" t="str">
        <f t="shared" si="5"/>
        <v>К</v>
      </c>
      <c r="N117" s="161" t="s">
        <v>3637</v>
      </c>
      <c r="O117" s="4" t="s">
        <v>1422</v>
      </c>
      <c r="P117" s="1"/>
      <c r="U117" s="1"/>
      <c r="V117" s="4"/>
      <c r="W117" s="3"/>
    </row>
    <row r="118" spans="1:23" x14ac:dyDescent="0.25">
      <c r="A118" s="158">
        <v>96</v>
      </c>
      <c r="B118" s="456" t="s">
        <v>3552</v>
      </c>
      <c r="C118" s="457" t="s">
        <v>3689</v>
      </c>
      <c r="D118" s="567">
        <v>102</v>
      </c>
      <c r="E118" s="735" t="s">
        <v>3763</v>
      </c>
      <c r="F118" s="645" t="s">
        <v>1709</v>
      </c>
      <c r="G118" s="652" t="s">
        <v>3547</v>
      </c>
      <c r="H118" s="652" t="s">
        <v>3548</v>
      </c>
      <c r="I118" s="647" t="str">
        <f t="shared" si="4"/>
        <v>2020</v>
      </c>
      <c r="J118" s="727">
        <v>2020</v>
      </c>
      <c r="K118" s="156"/>
      <c r="L118" s="2"/>
      <c r="M118" s="157" t="str">
        <f t="shared" si="5"/>
        <v>К</v>
      </c>
      <c r="N118" s="161" t="s">
        <v>3637</v>
      </c>
      <c r="O118" s="4" t="s">
        <v>1679</v>
      </c>
      <c r="P118" s="1" t="s">
        <v>1710</v>
      </c>
      <c r="U118" s="1"/>
      <c r="V118" s="4"/>
      <c r="W118" s="3"/>
    </row>
    <row r="119" spans="1:23" x14ac:dyDescent="0.25">
      <c r="A119" s="154">
        <v>97</v>
      </c>
      <c r="B119" s="456" t="s">
        <v>3552</v>
      </c>
      <c r="C119" s="457" t="s">
        <v>3689</v>
      </c>
      <c r="D119" s="567">
        <v>103</v>
      </c>
      <c r="E119" s="735" t="s">
        <v>3763</v>
      </c>
      <c r="F119" s="645" t="s">
        <v>1711</v>
      </c>
      <c r="G119" s="652" t="s">
        <v>3545</v>
      </c>
      <c r="H119" s="652" t="s">
        <v>3546</v>
      </c>
      <c r="I119" s="647" t="str">
        <f t="shared" si="4"/>
        <v>2021</v>
      </c>
      <c r="J119" s="727">
        <v>2021</v>
      </c>
      <c r="K119" s="156"/>
      <c r="L119" s="2"/>
      <c r="M119" s="157" t="str">
        <f t="shared" si="5"/>
        <v>К</v>
      </c>
      <c r="N119" s="161" t="s">
        <v>3637</v>
      </c>
      <c r="O119" s="4" t="s">
        <v>1679</v>
      </c>
      <c r="P119" s="1" t="s">
        <v>1710</v>
      </c>
      <c r="U119" s="1"/>
      <c r="V119" s="4"/>
      <c r="W119" s="3"/>
    </row>
    <row r="120" spans="1:23" x14ac:dyDescent="0.25">
      <c r="A120" s="154"/>
      <c r="B120" s="456"/>
      <c r="C120" s="457"/>
      <c r="D120" s="567"/>
      <c r="E120" s="736" t="s">
        <v>1209</v>
      </c>
      <c r="F120" s="739" t="s">
        <v>5668</v>
      </c>
      <c r="G120" s="708"/>
      <c r="H120" s="737" t="s">
        <v>5666</v>
      </c>
      <c r="I120" s="635">
        <v>2023</v>
      </c>
      <c r="J120" s="738">
        <v>2023</v>
      </c>
      <c r="K120" s="156"/>
      <c r="L120" s="2"/>
      <c r="M120" s="157"/>
      <c r="N120" s="161"/>
      <c r="O120" s="4"/>
      <c r="P120" s="1"/>
      <c r="U120" s="1"/>
      <c r="V120" s="4"/>
      <c r="W120" s="3"/>
    </row>
    <row r="121" spans="1:23" x14ac:dyDescent="0.25">
      <c r="A121" s="158">
        <v>98</v>
      </c>
      <c r="B121" s="1"/>
      <c r="C121" s="481" t="s">
        <v>3640</v>
      </c>
      <c r="D121" s="567">
        <v>216</v>
      </c>
      <c r="E121" s="482" t="s">
        <v>5536</v>
      </c>
      <c r="F121" s="468" t="s">
        <v>5521</v>
      </c>
      <c r="G121" s="2" t="s">
        <v>5522</v>
      </c>
      <c r="H121" s="2" t="s">
        <v>90</v>
      </c>
      <c r="I121" s="156" t="str">
        <f t="shared" ref="I121:I152" si="6">RIGHT(H121,4)</f>
        <v>2008</v>
      </c>
      <c r="J121" s="156"/>
      <c r="K121" s="156"/>
      <c r="L121" s="2"/>
      <c r="M121" s="157"/>
      <c r="N121" s="161" t="s">
        <v>3637</v>
      </c>
      <c r="O121" s="483" t="s">
        <v>1925</v>
      </c>
      <c r="P121" s="1"/>
      <c r="U121" s="1"/>
      <c r="V121" s="4"/>
      <c r="W121" s="3"/>
    </row>
    <row r="122" spans="1:23" x14ac:dyDescent="0.25">
      <c r="A122" s="154">
        <v>99</v>
      </c>
      <c r="B122" s="1"/>
      <c r="C122" s="481" t="s">
        <v>3640</v>
      </c>
      <c r="D122" s="567">
        <v>217</v>
      </c>
      <c r="E122" s="482" t="s">
        <v>5536</v>
      </c>
      <c r="F122" s="468" t="s">
        <v>5521</v>
      </c>
      <c r="G122" s="2" t="s">
        <v>5523</v>
      </c>
      <c r="H122" s="2" t="s">
        <v>90</v>
      </c>
      <c r="I122" s="156" t="str">
        <f t="shared" si="6"/>
        <v>2008</v>
      </c>
      <c r="J122" s="156"/>
      <c r="K122" s="156"/>
      <c r="L122" s="2"/>
      <c r="M122" s="157"/>
      <c r="N122" s="161" t="s">
        <v>3637</v>
      </c>
      <c r="O122" s="483" t="s">
        <v>1925</v>
      </c>
      <c r="P122" s="1"/>
      <c r="U122" s="1"/>
      <c r="V122" s="4"/>
      <c r="W122" s="3"/>
    </row>
    <row r="123" spans="1:23" s="162" customFormat="1" x14ac:dyDescent="0.25">
      <c r="A123" s="495">
        <v>100</v>
      </c>
      <c r="B123" s="1"/>
      <c r="C123" s="1"/>
      <c r="D123" s="567">
        <v>182</v>
      </c>
      <c r="E123" s="3" t="s">
        <v>24</v>
      </c>
      <c r="F123" s="3" t="s">
        <v>104</v>
      </c>
      <c r="G123" s="2" t="s">
        <v>1526</v>
      </c>
      <c r="H123" s="2" t="s">
        <v>283</v>
      </c>
      <c r="I123" s="156" t="str">
        <f t="shared" si="6"/>
        <v>2011</v>
      </c>
      <c r="J123" s="156"/>
      <c r="K123" s="156"/>
      <c r="L123" s="2" t="s">
        <v>1527</v>
      </c>
      <c r="M123" s="157" t="str">
        <f t="shared" ref="M123:M137" si="7">CONCATENATE("К",L123)</f>
        <v>К03100130</v>
      </c>
      <c r="N123" s="161" t="s">
        <v>3637</v>
      </c>
      <c r="O123" s="4" t="s">
        <v>1508</v>
      </c>
      <c r="P123" s="1"/>
      <c r="Q123" s="1"/>
      <c r="R123" s="3"/>
      <c r="S123" s="1"/>
      <c r="U123" s="167"/>
      <c r="V123" s="168"/>
    </row>
    <row r="124" spans="1:23" s="162" customFormat="1" x14ac:dyDescent="0.25">
      <c r="A124" s="495">
        <v>101</v>
      </c>
      <c r="B124" s="1"/>
      <c r="C124" s="1"/>
      <c r="D124" s="567">
        <v>183</v>
      </c>
      <c r="E124" s="3" t="s">
        <v>24</v>
      </c>
      <c r="F124" s="3" t="s">
        <v>104</v>
      </c>
      <c r="G124" s="2" t="s">
        <v>1528</v>
      </c>
      <c r="H124" s="2" t="s">
        <v>283</v>
      </c>
      <c r="I124" s="156" t="str">
        <f t="shared" si="6"/>
        <v>2011</v>
      </c>
      <c r="J124" s="156"/>
      <c r="K124" s="156"/>
      <c r="L124" s="2" t="s">
        <v>1529</v>
      </c>
      <c r="M124" s="157" t="str">
        <f t="shared" si="7"/>
        <v>К08104839</v>
      </c>
      <c r="N124" s="161" t="s">
        <v>3637</v>
      </c>
      <c r="O124" s="4" t="s">
        <v>1508</v>
      </c>
      <c r="P124" s="1"/>
      <c r="Q124" s="1"/>
      <c r="R124" s="3"/>
      <c r="S124" s="1"/>
      <c r="U124" s="167"/>
      <c r="V124" s="168"/>
    </row>
    <row r="125" spans="1:23" s="162" customFormat="1" x14ac:dyDescent="0.25">
      <c r="A125" s="495">
        <v>127</v>
      </c>
      <c r="B125" s="1"/>
      <c r="C125" s="1"/>
      <c r="D125" s="567">
        <v>179</v>
      </c>
      <c r="E125" s="3" t="s">
        <v>24</v>
      </c>
      <c r="F125" s="3" t="s">
        <v>37</v>
      </c>
      <c r="G125" s="2" t="s">
        <v>1471</v>
      </c>
      <c r="H125" s="2" t="s">
        <v>159</v>
      </c>
      <c r="I125" s="156" t="str">
        <f t="shared" si="6"/>
        <v>2012</v>
      </c>
      <c r="J125" s="156"/>
      <c r="K125" s="156"/>
      <c r="L125" s="2" t="s">
        <v>1472</v>
      </c>
      <c r="M125" s="157" t="str">
        <f t="shared" si="7"/>
        <v>К8105175</v>
      </c>
      <c r="N125" s="161" t="s">
        <v>3637</v>
      </c>
      <c r="O125" s="4" t="s">
        <v>1468</v>
      </c>
      <c r="P125" s="1"/>
      <c r="Q125" s="1"/>
      <c r="R125" s="3"/>
      <c r="S125" s="1"/>
      <c r="U125" s="167"/>
      <c r="V125" s="168"/>
    </row>
    <row r="126" spans="1:23" s="162" customFormat="1" x14ac:dyDescent="0.25">
      <c r="A126" s="495">
        <v>128</v>
      </c>
      <c r="B126" s="1"/>
      <c r="C126" s="1"/>
      <c r="D126" s="567">
        <v>186</v>
      </c>
      <c r="E126" s="3" t="s">
        <v>24</v>
      </c>
      <c r="F126" s="3" t="s">
        <v>37</v>
      </c>
      <c r="G126" s="2" t="s">
        <v>1624</v>
      </c>
      <c r="H126" s="2" t="s">
        <v>159</v>
      </c>
      <c r="I126" s="156" t="str">
        <f t="shared" si="6"/>
        <v>2012</v>
      </c>
      <c r="J126" s="156"/>
      <c r="K126" s="156"/>
      <c r="L126" s="2" t="s">
        <v>1625</v>
      </c>
      <c r="M126" s="157" t="str">
        <f t="shared" si="7"/>
        <v>К08102163</v>
      </c>
      <c r="N126" s="161" t="s">
        <v>3637</v>
      </c>
      <c r="O126" s="4" t="s">
        <v>1564</v>
      </c>
      <c r="P126" s="1"/>
      <c r="Q126" s="1"/>
      <c r="R126" s="3"/>
      <c r="S126" s="1"/>
      <c r="U126" s="167"/>
      <c r="V126" s="168"/>
    </row>
    <row r="127" spans="1:23" x14ac:dyDescent="0.25">
      <c r="A127" s="154">
        <v>129</v>
      </c>
      <c r="B127" s="1"/>
      <c r="C127" s="1"/>
      <c r="D127" s="567">
        <v>187</v>
      </c>
      <c r="E127" s="3" t="s">
        <v>24</v>
      </c>
      <c r="F127" s="3" t="s">
        <v>37</v>
      </c>
      <c r="G127" s="2" t="s">
        <v>1626</v>
      </c>
      <c r="H127" s="2" t="s">
        <v>159</v>
      </c>
      <c r="I127" s="156" t="str">
        <f t="shared" si="6"/>
        <v>2012</v>
      </c>
      <c r="J127" s="156"/>
      <c r="K127" s="156"/>
      <c r="L127" s="2" t="s">
        <v>1627</v>
      </c>
      <c r="M127" s="157" t="str">
        <f t="shared" si="7"/>
        <v>К2460000472</v>
      </c>
      <c r="N127" s="161" t="s">
        <v>3637</v>
      </c>
      <c r="O127" s="4" t="s">
        <v>1564</v>
      </c>
      <c r="P127" s="1"/>
      <c r="U127" s="1"/>
      <c r="V127" s="4"/>
      <c r="W127" s="3"/>
    </row>
    <row r="128" spans="1:23" x14ac:dyDescent="0.25">
      <c r="A128" s="158">
        <v>130</v>
      </c>
      <c r="B128" s="676"/>
      <c r="C128" s="677"/>
      <c r="D128" s="623">
        <v>191</v>
      </c>
      <c r="E128" s="624" t="s">
        <v>24</v>
      </c>
      <c r="F128" s="624" t="s">
        <v>37</v>
      </c>
      <c r="G128" s="625" t="s">
        <v>1669</v>
      </c>
      <c r="H128" s="625" t="s">
        <v>159</v>
      </c>
      <c r="I128" s="627" t="str">
        <f t="shared" si="6"/>
        <v>2012</v>
      </c>
      <c r="J128" s="627"/>
      <c r="K128" s="627"/>
      <c r="L128" s="625" t="s">
        <v>1670</v>
      </c>
      <c r="M128" s="628" t="str">
        <f t="shared" si="7"/>
        <v>К8105145</v>
      </c>
      <c r="N128" s="629" t="s">
        <v>3637</v>
      </c>
      <c r="O128" s="630" t="s">
        <v>1671</v>
      </c>
      <c r="P128" s="631"/>
      <c r="U128" s="1"/>
      <c r="V128" s="4"/>
      <c r="W128" s="3"/>
    </row>
    <row r="129" spans="1:23" x14ac:dyDescent="0.25">
      <c r="A129" s="158">
        <v>138</v>
      </c>
      <c r="B129" s="688"/>
      <c r="C129" s="691"/>
      <c r="D129" s="632">
        <v>192</v>
      </c>
      <c r="E129" s="633" t="s">
        <v>24</v>
      </c>
      <c r="F129" s="633" t="s">
        <v>37</v>
      </c>
      <c r="G129" s="634" t="s">
        <v>1697</v>
      </c>
      <c r="H129" s="634" t="s">
        <v>159</v>
      </c>
      <c r="I129" s="635" t="str">
        <f t="shared" si="6"/>
        <v>2012</v>
      </c>
      <c r="J129" s="635"/>
      <c r="K129" s="635"/>
      <c r="L129" s="634" t="s">
        <v>1698</v>
      </c>
      <c r="M129" s="636" t="str">
        <f t="shared" si="7"/>
        <v>К08105144</v>
      </c>
      <c r="N129" s="637" t="s">
        <v>3637</v>
      </c>
      <c r="O129" s="638" t="s">
        <v>1679</v>
      </c>
      <c r="P129" s="639"/>
      <c r="U129" s="1"/>
      <c r="V129" s="4"/>
      <c r="W129" s="3"/>
    </row>
    <row r="130" spans="1:23" x14ac:dyDescent="0.25">
      <c r="A130" s="154">
        <v>139</v>
      </c>
      <c r="B130" s="1"/>
      <c r="C130" s="1"/>
      <c r="D130" s="567">
        <v>180</v>
      </c>
      <c r="E130" s="3" t="s">
        <v>24</v>
      </c>
      <c r="F130" s="3" t="s">
        <v>37</v>
      </c>
      <c r="G130" s="2" t="s">
        <v>1491</v>
      </c>
      <c r="H130" s="2" t="s">
        <v>59</v>
      </c>
      <c r="I130" s="156" t="str">
        <f t="shared" si="6"/>
        <v>2013</v>
      </c>
      <c r="J130" s="156"/>
      <c r="K130" s="156"/>
      <c r="L130" s="2" t="s">
        <v>1492</v>
      </c>
      <c r="M130" s="157" t="str">
        <f t="shared" si="7"/>
        <v>К08105162</v>
      </c>
      <c r="N130" s="161" t="s">
        <v>3637</v>
      </c>
      <c r="O130" s="4" t="s">
        <v>1489</v>
      </c>
      <c r="P130" s="1"/>
      <c r="U130" s="1"/>
      <c r="V130" s="4"/>
      <c r="W130" s="3"/>
    </row>
    <row r="131" spans="1:23" x14ac:dyDescent="0.25">
      <c r="A131" s="158">
        <v>140</v>
      </c>
      <c r="B131" s="676"/>
      <c r="C131" s="677"/>
      <c r="D131" s="623">
        <v>181</v>
      </c>
      <c r="E131" s="624" t="s">
        <v>24</v>
      </c>
      <c r="F131" s="624" t="s">
        <v>37</v>
      </c>
      <c r="G131" s="625" t="s">
        <v>1493</v>
      </c>
      <c r="H131" s="625" t="s">
        <v>59</v>
      </c>
      <c r="I131" s="627" t="str">
        <f t="shared" si="6"/>
        <v>2013</v>
      </c>
      <c r="J131" s="627"/>
      <c r="K131" s="627"/>
      <c r="L131" s="625" t="s">
        <v>1494</v>
      </c>
      <c r="M131" s="628" t="str">
        <f t="shared" si="7"/>
        <v>К08105171</v>
      </c>
      <c r="N131" s="629" t="s">
        <v>3637</v>
      </c>
      <c r="O131" s="630" t="s">
        <v>1489</v>
      </c>
      <c r="P131" s="631"/>
      <c r="U131" s="1"/>
      <c r="V131" s="4"/>
      <c r="W131" s="3"/>
    </row>
    <row r="132" spans="1:23" x14ac:dyDescent="0.25">
      <c r="A132" s="154">
        <v>141</v>
      </c>
      <c r="B132" s="688"/>
      <c r="C132" s="691"/>
      <c r="D132" s="632">
        <v>184</v>
      </c>
      <c r="E132" s="633" t="s">
        <v>24</v>
      </c>
      <c r="F132" s="633" t="s">
        <v>37</v>
      </c>
      <c r="G132" s="634" t="s">
        <v>1554</v>
      </c>
      <c r="H132" s="634" t="s">
        <v>59</v>
      </c>
      <c r="I132" s="635" t="str">
        <f t="shared" si="6"/>
        <v>2013</v>
      </c>
      <c r="J132" s="635"/>
      <c r="K132" s="635"/>
      <c r="L132" s="634" t="s">
        <v>1555</v>
      </c>
      <c r="M132" s="636" t="str">
        <f t="shared" si="7"/>
        <v>К08104834</v>
      </c>
      <c r="N132" s="637" t="s">
        <v>3637</v>
      </c>
      <c r="O132" s="638" t="s">
        <v>1220</v>
      </c>
      <c r="P132" s="639"/>
      <c r="U132" s="1"/>
      <c r="V132" s="4"/>
      <c r="W132" s="3"/>
    </row>
    <row r="133" spans="1:23" x14ac:dyDescent="0.25">
      <c r="A133" s="158">
        <v>156</v>
      </c>
      <c r="B133" s="1"/>
      <c r="C133" s="1"/>
      <c r="D133" s="567">
        <v>188</v>
      </c>
      <c r="E133" s="3" t="s">
        <v>24</v>
      </c>
      <c r="F133" s="3" t="s">
        <v>37</v>
      </c>
      <c r="G133" s="2" t="s">
        <v>1628</v>
      </c>
      <c r="H133" s="2" t="s">
        <v>59</v>
      </c>
      <c r="I133" s="156" t="str">
        <f t="shared" si="6"/>
        <v>2013</v>
      </c>
      <c r="J133" s="156"/>
      <c r="K133" s="156"/>
      <c r="L133" s="589" t="s">
        <v>5620</v>
      </c>
      <c r="M133" s="157" t="str">
        <f t="shared" si="7"/>
        <v>К08104828</v>
      </c>
      <c r="N133" s="161" t="s">
        <v>3637</v>
      </c>
      <c r="O133" s="4" t="s">
        <v>1564</v>
      </c>
      <c r="P133" s="1"/>
      <c r="U133" s="1"/>
      <c r="V133" s="4"/>
      <c r="W133" s="3"/>
    </row>
    <row r="134" spans="1:23" x14ac:dyDescent="0.25">
      <c r="A134" s="154">
        <v>157</v>
      </c>
      <c r="B134" s="1"/>
      <c r="C134" s="1"/>
      <c r="D134" s="567">
        <v>190</v>
      </c>
      <c r="E134" s="3" t="s">
        <v>24</v>
      </c>
      <c r="F134" s="3" t="s">
        <v>37</v>
      </c>
      <c r="G134" s="2" t="s">
        <v>1661</v>
      </c>
      <c r="H134" s="2" t="s">
        <v>59</v>
      </c>
      <c r="I134" s="156" t="str">
        <f t="shared" si="6"/>
        <v>2013</v>
      </c>
      <c r="J134" s="156"/>
      <c r="K134" s="156"/>
      <c r="L134" s="2" t="s">
        <v>1662</v>
      </c>
      <c r="M134" s="157" t="str">
        <f t="shared" si="7"/>
        <v>К08105176</v>
      </c>
      <c r="N134" s="161" t="s">
        <v>3637</v>
      </c>
      <c r="O134" s="4" t="s">
        <v>1660</v>
      </c>
      <c r="P134" s="1"/>
      <c r="U134" s="1"/>
      <c r="V134" s="4"/>
      <c r="W134" s="3"/>
    </row>
    <row r="135" spans="1:23" x14ac:dyDescent="0.25">
      <c r="A135" s="158">
        <v>158</v>
      </c>
      <c r="B135" s="1"/>
      <c r="C135" s="1"/>
      <c r="D135" s="567">
        <v>193</v>
      </c>
      <c r="E135" s="3" t="s">
        <v>24</v>
      </c>
      <c r="F135" s="3" t="s">
        <v>37</v>
      </c>
      <c r="G135" s="2" t="s">
        <v>1699</v>
      </c>
      <c r="H135" s="2" t="s">
        <v>59</v>
      </c>
      <c r="I135" s="156" t="str">
        <f t="shared" si="6"/>
        <v>2013</v>
      </c>
      <c r="J135" s="156"/>
      <c r="K135" s="156"/>
      <c r="L135" s="2" t="s">
        <v>1700</v>
      </c>
      <c r="M135" s="157" t="str">
        <f t="shared" si="7"/>
        <v>К7360000044</v>
      </c>
      <c r="N135" s="161" t="s">
        <v>3637</v>
      </c>
      <c r="O135" s="4" t="s">
        <v>1679</v>
      </c>
      <c r="P135" s="1"/>
      <c r="U135" s="1"/>
      <c r="V135" s="4"/>
      <c r="W135" s="3"/>
    </row>
    <row r="136" spans="1:23" x14ac:dyDescent="0.25">
      <c r="A136" s="154">
        <v>159</v>
      </c>
      <c r="B136" s="1"/>
      <c r="C136" s="1"/>
      <c r="D136" s="567">
        <v>189</v>
      </c>
      <c r="E136" s="3" t="s">
        <v>24</v>
      </c>
      <c r="F136" s="3" t="s">
        <v>37</v>
      </c>
      <c r="G136" s="2" t="s">
        <v>1654</v>
      </c>
      <c r="H136" s="2" t="s">
        <v>51</v>
      </c>
      <c r="I136" s="156" t="str">
        <f t="shared" si="6"/>
        <v>2014</v>
      </c>
      <c r="J136" s="156"/>
      <c r="K136" s="156"/>
      <c r="L136" s="2" t="s">
        <v>1655</v>
      </c>
      <c r="M136" s="157" t="str">
        <f t="shared" si="7"/>
        <v>К7240000621</v>
      </c>
      <c r="N136" s="161" t="s">
        <v>3637</v>
      </c>
      <c r="O136" s="4" t="s">
        <v>1653</v>
      </c>
      <c r="P136" s="1"/>
      <c r="U136" s="1"/>
      <c r="V136" s="4"/>
      <c r="W136" s="3"/>
    </row>
    <row r="137" spans="1:23" x14ac:dyDescent="0.25">
      <c r="A137" s="158">
        <v>160</v>
      </c>
      <c r="B137" s="676"/>
      <c r="C137" s="677"/>
      <c r="D137" s="623">
        <v>185</v>
      </c>
      <c r="E137" s="624" t="s">
        <v>24</v>
      </c>
      <c r="F137" s="624" t="s">
        <v>37</v>
      </c>
      <c r="G137" s="625" t="s">
        <v>1556</v>
      </c>
      <c r="H137" s="625" t="s">
        <v>969</v>
      </c>
      <c r="I137" s="627" t="str">
        <f t="shared" si="6"/>
        <v>2017</v>
      </c>
      <c r="J137" s="627"/>
      <c r="K137" s="627"/>
      <c r="L137" s="625" t="s">
        <v>1557</v>
      </c>
      <c r="M137" s="628" t="str">
        <f t="shared" si="7"/>
        <v>К71012400003</v>
      </c>
      <c r="N137" s="629" t="s">
        <v>3637</v>
      </c>
      <c r="O137" s="630" t="s">
        <v>1220</v>
      </c>
      <c r="P137" s="631"/>
      <c r="U137" s="1"/>
      <c r="V137" s="4"/>
      <c r="W137" s="3"/>
    </row>
    <row r="138" spans="1:23" x14ac:dyDescent="0.25">
      <c r="A138" s="154">
        <v>161</v>
      </c>
      <c r="C138" s="718" t="s">
        <v>3640</v>
      </c>
      <c r="D138" s="643">
        <v>218</v>
      </c>
      <c r="E138" s="720" t="s">
        <v>5536</v>
      </c>
      <c r="F138" s="644" t="s">
        <v>5524</v>
      </c>
      <c r="G138" s="646" t="s">
        <v>5525</v>
      </c>
      <c r="H138" s="646" t="s">
        <v>969</v>
      </c>
      <c r="I138" s="647" t="str">
        <f t="shared" si="6"/>
        <v>2017</v>
      </c>
      <c r="J138" s="647"/>
      <c r="K138" s="647"/>
      <c r="N138" s="649" t="s">
        <v>3637</v>
      </c>
      <c r="O138" s="723" t="s">
        <v>1925</v>
      </c>
      <c r="U138" s="1"/>
      <c r="V138" s="4"/>
      <c r="W138" s="3"/>
    </row>
    <row r="139" spans="1:23" x14ac:dyDescent="0.25">
      <c r="A139" s="158">
        <v>162</v>
      </c>
      <c r="B139" s="688"/>
      <c r="C139" s="717" t="s">
        <v>3640</v>
      </c>
      <c r="D139" s="632">
        <v>219</v>
      </c>
      <c r="E139" s="719" t="s">
        <v>5536</v>
      </c>
      <c r="F139" s="705" t="s">
        <v>5526</v>
      </c>
      <c r="G139" s="634" t="s">
        <v>5527</v>
      </c>
      <c r="H139" s="634" t="s">
        <v>969</v>
      </c>
      <c r="I139" s="635" t="str">
        <f t="shared" si="6"/>
        <v>2017</v>
      </c>
      <c r="J139" s="635"/>
      <c r="K139" s="635"/>
      <c r="L139" s="634"/>
      <c r="M139" s="636"/>
      <c r="N139" s="637" t="s">
        <v>3637</v>
      </c>
      <c r="O139" s="722" t="s">
        <v>5537</v>
      </c>
      <c r="P139" s="639"/>
      <c r="U139" s="1"/>
      <c r="V139" s="4"/>
      <c r="W139" s="3"/>
    </row>
    <row r="140" spans="1:23" x14ac:dyDescent="0.25">
      <c r="A140" s="154">
        <v>163</v>
      </c>
      <c r="B140" s="1"/>
      <c r="C140" s="481" t="s">
        <v>3640</v>
      </c>
      <c r="D140" s="567">
        <v>223</v>
      </c>
      <c r="E140" s="482" t="s">
        <v>5536</v>
      </c>
      <c r="F140" s="468" t="s">
        <v>5524</v>
      </c>
      <c r="G140" s="2" t="s">
        <v>5533</v>
      </c>
      <c r="H140" s="2" t="s">
        <v>969</v>
      </c>
      <c r="I140" s="156" t="str">
        <f t="shared" si="6"/>
        <v>2017</v>
      </c>
      <c r="J140" s="156"/>
      <c r="K140" s="156"/>
      <c r="L140" s="2"/>
      <c r="M140" s="157"/>
      <c r="N140" s="161" t="s">
        <v>3637</v>
      </c>
      <c r="O140" s="483" t="s">
        <v>5537</v>
      </c>
      <c r="P140" s="1"/>
      <c r="U140" s="1"/>
      <c r="V140" s="4"/>
      <c r="W140" s="3"/>
    </row>
    <row r="141" spans="1:23" x14ac:dyDescent="0.25">
      <c r="A141" s="158">
        <v>164</v>
      </c>
      <c r="B141" s="689"/>
      <c r="C141" s="692"/>
      <c r="D141" s="694">
        <v>171</v>
      </c>
      <c r="E141" s="696" t="s">
        <v>1694</v>
      </c>
      <c r="F141" s="696" t="s">
        <v>1695</v>
      </c>
      <c r="G141" s="698"/>
      <c r="H141" s="698" t="s">
        <v>1329</v>
      </c>
      <c r="I141" s="700" t="str">
        <f t="shared" si="6"/>
        <v>1999</v>
      </c>
      <c r="J141" s="700"/>
      <c r="K141" s="700"/>
      <c r="L141" s="698" t="s">
        <v>1696</v>
      </c>
      <c r="M141" s="702" t="str">
        <f>CONCATENATE("К",L141)</f>
        <v>К01370881</v>
      </c>
      <c r="N141" s="696" t="s">
        <v>3637</v>
      </c>
      <c r="O141" s="703" t="s">
        <v>1679</v>
      </c>
      <c r="P141" s="704"/>
      <c r="Q141" s="167"/>
      <c r="R141" s="162"/>
      <c r="S141" s="167"/>
      <c r="U141" s="1"/>
      <c r="V141" s="4"/>
      <c r="W141" s="3"/>
    </row>
    <row r="142" spans="1:23" x14ac:dyDescent="0.25">
      <c r="A142" s="154">
        <v>165</v>
      </c>
      <c r="B142" s="670"/>
      <c r="C142" s="671"/>
      <c r="D142" s="693">
        <v>224</v>
      </c>
      <c r="E142" s="672" t="s">
        <v>503</v>
      </c>
      <c r="F142" s="672" t="s">
        <v>1499</v>
      </c>
      <c r="G142" s="673" t="s">
        <v>1503</v>
      </c>
      <c r="H142" s="673" t="s">
        <v>232</v>
      </c>
      <c r="I142" s="699" t="str">
        <f t="shared" si="6"/>
        <v>2007</v>
      </c>
      <c r="J142" s="699"/>
      <c r="K142" s="699"/>
      <c r="L142" s="673" t="s">
        <v>1504</v>
      </c>
      <c r="M142" s="701" t="str">
        <f>CONCATENATE("К",L142)</f>
        <v>К04700246</v>
      </c>
      <c r="N142" s="672" t="s">
        <v>3637</v>
      </c>
      <c r="O142" s="674" t="s">
        <v>1489</v>
      </c>
      <c r="P142" s="675"/>
      <c r="Q142" s="167"/>
      <c r="R142" s="162"/>
      <c r="S142" s="167"/>
      <c r="U142" s="1"/>
      <c r="V142" s="4"/>
      <c r="W142" s="3"/>
    </row>
    <row r="143" spans="1:23" x14ac:dyDescent="0.25">
      <c r="A143" s="158">
        <v>166</v>
      </c>
      <c r="B143" s="1"/>
      <c r="C143" s="481" t="s">
        <v>3640</v>
      </c>
      <c r="D143" s="567">
        <v>220</v>
      </c>
      <c r="E143" s="482" t="s">
        <v>5536</v>
      </c>
      <c r="F143" s="468" t="s">
        <v>5528</v>
      </c>
      <c r="G143" s="2" t="s">
        <v>5529</v>
      </c>
      <c r="H143" s="2" t="s">
        <v>66</v>
      </c>
      <c r="I143" s="156" t="str">
        <f t="shared" si="6"/>
        <v>2019</v>
      </c>
      <c r="J143" s="156"/>
      <c r="K143" s="156"/>
      <c r="L143" s="2"/>
      <c r="M143" s="157"/>
      <c r="N143" s="161" t="s">
        <v>3637</v>
      </c>
      <c r="O143" s="483" t="s">
        <v>5537</v>
      </c>
      <c r="P143" s="1"/>
      <c r="U143" s="1"/>
      <c r="V143" s="4"/>
      <c r="W143" s="3"/>
    </row>
    <row r="144" spans="1:23" x14ac:dyDescent="0.25">
      <c r="A144" s="154">
        <v>167</v>
      </c>
      <c r="B144" s="1"/>
      <c r="C144" s="481" t="s">
        <v>3640</v>
      </c>
      <c r="D144" s="567">
        <v>221</v>
      </c>
      <c r="E144" s="482" t="s">
        <v>5536</v>
      </c>
      <c r="F144" s="468" t="s">
        <v>5530</v>
      </c>
      <c r="G144" s="2" t="s">
        <v>5531</v>
      </c>
      <c r="H144" s="2" t="s">
        <v>66</v>
      </c>
      <c r="I144" s="156" t="str">
        <f t="shared" si="6"/>
        <v>2019</v>
      </c>
      <c r="J144" s="156"/>
      <c r="K144" s="156"/>
      <c r="L144" s="2"/>
      <c r="M144" s="157"/>
      <c r="N144" s="161" t="s">
        <v>3637</v>
      </c>
      <c r="O144" s="483" t="s">
        <v>5537</v>
      </c>
      <c r="P144" s="1"/>
      <c r="U144" s="1"/>
      <c r="V144" s="4"/>
      <c r="W144" s="3"/>
    </row>
    <row r="145" spans="1:23" x14ac:dyDescent="0.25">
      <c r="A145" s="158">
        <v>168</v>
      </c>
      <c r="B145" s="1"/>
      <c r="C145" s="481" t="s">
        <v>3640</v>
      </c>
      <c r="D145" s="567">
        <v>222</v>
      </c>
      <c r="E145" s="482" t="s">
        <v>5536</v>
      </c>
      <c r="F145" s="468" t="s">
        <v>5530</v>
      </c>
      <c r="G145" s="2" t="s">
        <v>5532</v>
      </c>
      <c r="H145" s="2" t="s">
        <v>66</v>
      </c>
      <c r="I145" s="156" t="str">
        <f t="shared" si="6"/>
        <v>2019</v>
      </c>
      <c r="J145" s="156"/>
      <c r="K145" s="156"/>
      <c r="L145" s="2"/>
      <c r="M145" s="157"/>
      <c r="N145" s="161" t="s">
        <v>3637</v>
      </c>
      <c r="O145" s="483" t="s">
        <v>5537</v>
      </c>
      <c r="P145" s="1"/>
      <c r="U145" s="1"/>
      <c r="V145" s="4"/>
      <c r="W145" s="3"/>
    </row>
    <row r="146" spans="1:23" x14ac:dyDescent="0.25">
      <c r="A146" s="154">
        <v>169</v>
      </c>
      <c r="B146" s="689"/>
      <c r="C146" s="692"/>
      <c r="D146" s="694">
        <v>225</v>
      </c>
      <c r="E146" s="696" t="s">
        <v>503</v>
      </c>
      <c r="F146" s="696" t="s">
        <v>1499</v>
      </c>
      <c r="G146" s="698" t="s">
        <v>1501</v>
      </c>
      <c r="H146" s="698" t="s">
        <v>232</v>
      </c>
      <c r="I146" s="700" t="str">
        <f t="shared" si="6"/>
        <v>2007</v>
      </c>
      <c r="J146" s="700"/>
      <c r="K146" s="700"/>
      <c r="L146" s="698" t="s">
        <v>1502</v>
      </c>
      <c r="M146" s="702" t="str">
        <f t="shared" ref="M146:M177" si="8">CONCATENATE("К",L146)</f>
        <v>К04700247</v>
      </c>
      <c r="N146" s="696" t="s">
        <v>3637</v>
      </c>
      <c r="O146" s="703" t="s">
        <v>1489</v>
      </c>
      <c r="P146" s="704"/>
      <c r="Q146" s="167"/>
      <c r="R146" s="162"/>
      <c r="S146" s="167"/>
      <c r="U146" s="1"/>
      <c r="V146" s="4"/>
      <c r="W146" s="3"/>
    </row>
    <row r="147" spans="1:23" x14ac:dyDescent="0.25">
      <c r="A147" s="158">
        <v>170</v>
      </c>
      <c r="B147" s="659"/>
      <c r="C147" s="660"/>
      <c r="D147" s="661">
        <v>229</v>
      </c>
      <c r="E147" s="662" t="s">
        <v>503</v>
      </c>
      <c r="F147" s="662" t="s">
        <v>1499</v>
      </c>
      <c r="G147" s="663" t="s">
        <v>1703</v>
      </c>
      <c r="H147" s="663" t="s">
        <v>232</v>
      </c>
      <c r="I147" s="664" t="str">
        <f t="shared" si="6"/>
        <v>2007</v>
      </c>
      <c r="J147" s="664"/>
      <c r="K147" s="664"/>
      <c r="L147" s="663" t="s">
        <v>1704</v>
      </c>
      <c r="M147" s="665" t="str">
        <f t="shared" si="8"/>
        <v>К04700244</v>
      </c>
      <c r="N147" s="662" t="s">
        <v>3637</v>
      </c>
      <c r="O147" s="666" t="s">
        <v>1679</v>
      </c>
      <c r="P147" s="667"/>
      <c r="Q147" s="167"/>
      <c r="R147" s="162"/>
      <c r="S147" s="167"/>
      <c r="U147" s="1"/>
      <c r="V147" s="4"/>
      <c r="W147" s="3"/>
    </row>
    <row r="148" spans="1:23" x14ac:dyDescent="0.25">
      <c r="A148" s="154">
        <v>171</v>
      </c>
      <c r="B148" s="659"/>
      <c r="C148" s="660"/>
      <c r="D148" s="661">
        <v>230</v>
      </c>
      <c r="E148" s="662" t="s">
        <v>503</v>
      </c>
      <c r="F148" s="662" t="s">
        <v>1499</v>
      </c>
      <c r="G148" s="663"/>
      <c r="H148" s="663" t="s">
        <v>232</v>
      </c>
      <c r="I148" s="664" t="str">
        <f t="shared" si="6"/>
        <v>2007</v>
      </c>
      <c r="J148" s="664"/>
      <c r="K148" s="664"/>
      <c r="L148" s="663" t="s">
        <v>1704</v>
      </c>
      <c r="M148" s="665" t="str">
        <f t="shared" si="8"/>
        <v>К04700244</v>
      </c>
      <c r="N148" s="662" t="s">
        <v>3637</v>
      </c>
      <c r="O148" s="666" t="s">
        <v>1679</v>
      </c>
      <c r="P148" s="667"/>
      <c r="Q148" s="167"/>
      <c r="R148" s="162"/>
      <c r="S148" s="167"/>
      <c r="U148" s="1"/>
      <c r="V148" s="4"/>
      <c r="W148" s="3"/>
    </row>
    <row r="149" spans="1:23" x14ac:dyDescent="0.25">
      <c r="A149" s="158">
        <v>172</v>
      </c>
      <c r="B149" s="653"/>
      <c r="C149" s="654"/>
      <c r="D149" s="643">
        <v>87</v>
      </c>
      <c r="E149" s="655" t="s">
        <v>1418</v>
      </c>
      <c r="F149" s="655" t="s">
        <v>1423</v>
      </c>
      <c r="G149" s="656" t="s">
        <v>1424</v>
      </c>
      <c r="H149" s="656"/>
      <c r="I149" s="647" t="str">
        <f t="shared" si="6"/>
        <v/>
      </c>
      <c r="J149" s="647"/>
      <c r="K149" s="647"/>
      <c r="L149" s="656" t="s">
        <v>1425</v>
      </c>
      <c r="M149" s="648" t="str">
        <f t="shared" si="8"/>
        <v>К08104477</v>
      </c>
      <c r="N149" s="655" t="s">
        <v>3637</v>
      </c>
      <c r="O149" s="657" t="s">
        <v>1422</v>
      </c>
      <c r="P149" s="658"/>
      <c r="Q149" s="163"/>
      <c r="R149" s="164"/>
      <c r="S149" s="163"/>
      <c r="U149" s="1"/>
      <c r="V149" s="4"/>
      <c r="W149" s="3"/>
    </row>
    <row r="150" spans="1:23" x14ac:dyDescent="0.25">
      <c r="A150" s="154">
        <v>173</v>
      </c>
      <c r="B150" s="659" t="s">
        <v>3552</v>
      </c>
      <c r="C150" s="660"/>
      <c r="D150" s="661">
        <v>91</v>
      </c>
      <c r="E150" s="662" t="s">
        <v>1464</v>
      </c>
      <c r="F150" s="662" t="s">
        <v>1465</v>
      </c>
      <c r="G150" s="663" t="s">
        <v>1466</v>
      </c>
      <c r="H150" s="663" t="s">
        <v>780</v>
      </c>
      <c r="I150" s="664" t="str">
        <f t="shared" si="6"/>
        <v>2012</v>
      </c>
      <c r="J150" s="664"/>
      <c r="K150" s="664"/>
      <c r="L150" s="663" t="s">
        <v>1467</v>
      </c>
      <c r="M150" s="665" t="str">
        <f t="shared" si="8"/>
        <v>К08104867</v>
      </c>
      <c r="N150" s="662" t="s">
        <v>3637</v>
      </c>
      <c r="O150" s="666" t="s">
        <v>1468</v>
      </c>
      <c r="P150" s="667">
        <v>22</v>
      </c>
      <c r="Q150" s="167"/>
      <c r="R150" s="162"/>
      <c r="S150" s="167"/>
      <c r="U150" s="1"/>
      <c r="V150" s="4"/>
      <c r="W150" s="3"/>
    </row>
    <row r="151" spans="1:23" x14ac:dyDescent="0.25">
      <c r="A151" s="158">
        <v>174</v>
      </c>
      <c r="B151" s="653"/>
      <c r="C151" s="654"/>
      <c r="D151" s="643">
        <v>100</v>
      </c>
      <c r="E151" s="655" t="s">
        <v>1676</v>
      </c>
      <c r="F151" s="655" t="s">
        <v>2383</v>
      </c>
      <c r="G151" s="656" t="s">
        <v>1677</v>
      </c>
      <c r="H151" s="656" t="s">
        <v>1678</v>
      </c>
      <c r="I151" s="664" t="str">
        <f t="shared" si="6"/>
        <v>2011</v>
      </c>
      <c r="J151" s="647"/>
      <c r="K151" s="647"/>
      <c r="L151" s="656"/>
      <c r="M151" s="648" t="str">
        <f t="shared" si="8"/>
        <v>К</v>
      </c>
      <c r="N151" s="655" t="s">
        <v>3637</v>
      </c>
      <c r="O151" s="657" t="s">
        <v>1679</v>
      </c>
      <c r="P151" s="658">
        <v>23</v>
      </c>
      <c r="U151" s="1"/>
      <c r="V151" s="4"/>
      <c r="W151" s="3"/>
    </row>
    <row r="152" spans="1:23" x14ac:dyDescent="0.25">
      <c r="A152" s="154">
        <v>175</v>
      </c>
      <c r="B152" s="641" t="s">
        <v>3552</v>
      </c>
      <c r="C152" s="642"/>
      <c r="D152" s="643">
        <v>101</v>
      </c>
      <c r="E152" s="662" t="s">
        <v>1534</v>
      </c>
      <c r="F152" s="662" t="s">
        <v>1535</v>
      </c>
      <c r="G152" s="646" t="s">
        <v>1536</v>
      </c>
      <c r="H152" s="646"/>
      <c r="I152" s="647" t="str">
        <f t="shared" si="6"/>
        <v/>
      </c>
      <c r="J152" s="647"/>
      <c r="K152" s="647"/>
      <c r="L152" s="646" t="s">
        <v>1537</v>
      </c>
      <c r="M152" s="648" t="str">
        <f t="shared" si="8"/>
        <v>К04500017</v>
      </c>
      <c r="N152" s="649" t="s">
        <v>3637</v>
      </c>
      <c r="O152" s="650" t="s">
        <v>1220</v>
      </c>
      <c r="U152" s="1"/>
      <c r="V152" s="4"/>
      <c r="W152" s="3"/>
    </row>
    <row r="153" spans="1:23" x14ac:dyDescent="0.25">
      <c r="A153" s="158">
        <v>176</v>
      </c>
      <c r="B153" s="659"/>
      <c r="C153" s="660"/>
      <c r="D153" s="643">
        <v>104</v>
      </c>
      <c r="E153" s="662" t="s">
        <v>1682</v>
      </c>
      <c r="F153" s="662" t="s">
        <v>1683</v>
      </c>
      <c r="G153" s="663">
        <v>11852</v>
      </c>
      <c r="H153" s="663">
        <v>42745</v>
      </c>
      <c r="I153" s="647">
        <v>2016</v>
      </c>
      <c r="J153" s="647"/>
      <c r="K153" s="647"/>
      <c r="L153" s="646" t="s">
        <v>1684</v>
      </c>
      <c r="M153" s="648" t="str">
        <f t="shared" si="8"/>
        <v>К2240000085</v>
      </c>
      <c r="N153" s="662" t="s">
        <v>3637</v>
      </c>
      <c r="O153" s="650" t="s">
        <v>1679</v>
      </c>
      <c r="P153" s="667"/>
      <c r="U153" s="1"/>
      <c r="V153" s="4"/>
      <c r="W153" s="3"/>
    </row>
    <row r="154" spans="1:23" x14ac:dyDescent="0.25">
      <c r="A154" s="154">
        <v>177</v>
      </c>
      <c r="B154" s="641" t="s">
        <v>3552</v>
      </c>
      <c r="C154" s="642"/>
      <c r="D154" s="643">
        <v>114</v>
      </c>
      <c r="E154" s="668" t="s">
        <v>3549</v>
      </c>
      <c r="F154" s="668" t="s">
        <v>1438</v>
      </c>
      <c r="G154" s="646" t="s">
        <v>1439</v>
      </c>
      <c r="H154" s="646"/>
      <c r="I154" s="647" t="str">
        <f t="shared" ref="I154:I185" si="9">RIGHT(H154,4)</f>
        <v/>
      </c>
      <c r="J154" s="647"/>
      <c r="K154" s="647"/>
      <c r="M154" s="648" t="str">
        <f t="shared" si="8"/>
        <v>К</v>
      </c>
      <c r="N154" s="649" t="s">
        <v>3637</v>
      </c>
      <c r="O154" s="650" t="s">
        <v>1422</v>
      </c>
      <c r="U154" s="1"/>
      <c r="V154" s="4"/>
      <c r="W154" s="3"/>
    </row>
    <row r="155" spans="1:23" x14ac:dyDescent="0.25">
      <c r="A155" s="158">
        <v>178</v>
      </c>
      <c r="B155" s="641" t="s">
        <v>3552</v>
      </c>
      <c r="C155" s="642"/>
      <c r="D155" s="643">
        <v>115</v>
      </c>
      <c r="E155" s="668" t="s">
        <v>3549</v>
      </c>
      <c r="F155" s="645" t="s">
        <v>1440</v>
      </c>
      <c r="G155" s="646" t="s">
        <v>1441</v>
      </c>
      <c r="H155" s="646"/>
      <c r="I155" s="647" t="str">
        <f t="shared" si="9"/>
        <v/>
      </c>
      <c r="J155" s="647"/>
      <c r="K155" s="647"/>
      <c r="M155" s="648" t="str">
        <f t="shared" si="8"/>
        <v>К</v>
      </c>
      <c r="N155" s="649" t="s">
        <v>3637</v>
      </c>
      <c r="O155" s="650" t="s">
        <v>1422</v>
      </c>
      <c r="U155" s="1"/>
      <c r="V155" s="4"/>
      <c r="W155" s="3"/>
    </row>
    <row r="156" spans="1:23" x14ac:dyDescent="0.25">
      <c r="A156" s="154">
        <v>179</v>
      </c>
      <c r="B156" s="641" t="s">
        <v>3552</v>
      </c>
      <c r="C156" s="642"/>
      <c r="D156" s="643">
        <v>116</v>
      </c>
      <c r="E156" s="668" t="s">
        <v>3549</v>
      </c>
      <c r="F156" s="668" t="s">
        <v>1442</v>
      </c>
      <c r="G156" s="646" t="s">
        <v>1443</v>
      </c>
      <c r="H156" s="646"/>
      <c r="I156" s="647" t="str">
        <f t="shared" si="9"/>
        <v/>
      </c>
      <c r="J156" s="647"/>
      <c r="K156" s="647"/>
      <c r="M156" s="648" t="str">
        <f t="shared" si="8"/>
        <v>К</v>
      </c>
      <c r="N156" s="649" t="s">
        <v>3637</v>
      </c>
      <c r="O156" s="650" t="s">
        <v>1422</v>
      </c>
      <c r="U156" s="1"/>
      <c r="V156" s="4"/>
      <c r="W156" s="3"/>
    </row>
    <row r="157" spans="1:23" x14ac:dyDescent="0.25">
      <c r="A157" s="158">
        <v>180</v>
      </c>
      <c r="B157" s="641" t="s">
        <v>3552</v>
      </c>
      <c r="C157" s="642"/>
      <c r="D157" s="643">
        <v>117</v>
      </c>
      <c r="E157" s="668" t="s">
        <v>3549</v>
      </c>
      <c r="F157" s="645" t="s">
        <v>1442</v>
      </c>
      <c r="G157" s="646" t="s">
        <v>1444</v>
      </c>
      <c r="H157" s="646"/>
      <c r="I157" s="647" t="str">
        <f t="shared" si="9"/>
        <v/>
      </c>
      <c r="J157" s="647"/>
      <c r="K157" s="647"/>
      <c r="M157" s="648" t="str">
        <f t="shared" si="8"/>
        <v>К</v>
      </c>
      <c r="N157" s="649" t="s">
        <v>3637</v>
      </c>
      <c r="O157" s="650" t="s">
        <v>1422</v>
      </c>
      <c r="U157" s="1"/>
      <c r="V157" s="4"/>
      <c r="W157" s="3"/>
    </row>
    <row r="158" spans="1:23" x14ac:dyDescent="0.25">
      <c r="A158" s="154">
        <v>181</v>
      </c>
      <c r="B158" s="641" t="s">
        <v>3552</v>
      </c>
      <c r="C158" s="642"/>
      <c r="D158" s="643">
        <v>118</v>
      </c>
      <c r="E158" s="668" t="s">
        <v>3549</v>
      </c>
      <c r="F158" s="645" t="s">
        <v>1442</v>
      </c>
      <c r="G158" s="646" t="s">
        <v>1445</v>
      </c>
      <c r="H158" s="646"/>
      <c r="I158" s="647" t="str">
        <f t="shared" si="9"/>
        <v/>
      </c>
      <c r="J158" s="647"/>
      <c r="K158" s="647"/>
      <c r="M158" s="648" t="str">
        <f t="shared" si="8"/>
        <v>К</v>
      </c>
      <c r="N158" s="649" t="s">
        <v>3637</v>
      </c>
      <c r="O158" s="650" t="s">
        <v>1422</v>
      </c>
      <c r="U158" s="1"/>
      <c r="V158" s="4"/>
      <c r="W158" s="3"/>
    </row>
    <row r="159" spans="1:23" x14ac:dyDescent="0.25">
      <c r="A159" s="158">
        <v>182</v>
      </c>
      <c r="B159" s="641" t="s">
        <v>3552</v>
      </c>
      <c r="C159" s="642"/>
      <c r="D159" s="643">
        <v>119</v>
      </c>
      <c r="E159" s="668" t="s">
        <v>3549</v>
      </c>
      <c r="F159" s="645" t="s">
        <v>1442</v>
      </c>
      <c r="G159" s="646" t="s">
        <v>1446</v>
      </c>
      <c r="H159" s="646"/>
      <c r="I159" s="647" t="str">
        <f t="shared" si="9"/>
        <v/>
      </c>
      <c r="J159" s="647"/>
      <c r="K159" s="647"/>
      <c r="M159" s="648" t="str">
        <f t="shared" si="8"/>
        <v>К</v>
      </c>
      <c r="N159" s="649" t="s">
        <v>3637</v>
      </c>
      <c r="O159" s="650" t="s">
        <v>1422</v>
      </c>
      <c r="U159" s="1"/>
      <c r="V159" s="4"/>
      <c r="W159" s="3"/>
    </row>
    <row r="160" spans="1:23" x14ac:dyDescent="0.25">
      <c r="A160" s="154">
        <v>183</v>
      </c>
      <c r="B160" s="641" t="s">
        <v>3552</v>
      </c>
      <c r="C160" s="642"/>
      <c r="D160" s="643">
        <v>120</v>
      </c>
      <c r="E160" s="668" t="s">
        <v>3549</v>
      </c>
      <c r="F160" s="645" t="s">
        <v>1442</v>
      </c>
      <c r="G160" s="646" t="s">
        <v>1447</v>
      </c>
      <c r="H160" s="646"/>
      <c r="I160" s="647" t="str">
        <f t="shared" si="9"/>
        <v/>
      </c>
      <c r="J160" s="647"/>
      <c r="K160" s="647"/>
      <c r="M160" s="648" t="str">
        <f t="shared" si="8"/>
        <v>К</v>
      </c>
      <c r="N160" s="649" t="s">
        <v>3637</v>
      </c>
      <c r="O160" s="650" t="s">
        <v>1422</v>
      </c>
      <c r="U160" s="1"/>
      <c r="V160" s="4"/>
      <c r="W160" s="3"/>
    </row>
    <row r="161" spans="1:23" x14ac:dyDescent="0.25">
      <c r="A161" s="158">
        <v>184</v>
      </c>
      <c r="B161" s="641" t="s">
        <v>3552</v>
      </c>
      <c r="C161" s="642"/>
      <c r="D161" s="643">
        <v>121</v>
      </c>
      <c r="E161" s="668" t="s">
        <v>3549</v>
      </c>
      <c r="F161" s="645" t="s">
        <v>1448</v>
      </c>
      <c r="G161" s="646" t="s">
        <v>1449</v>
      </c>
      <c r="H161" s="646"/>
      <c r="I161" s="647" t="str">
        <f t="shared" si="9"/>
        <v/>
      </c>
      <c r="J161" s="647"/>
      <c r="K161" s="647"/>
      <c r="M161" s="648" t="str">
        <f t="shared" si="8"/>
        <v>К</v>
      </c>
      <c r="N161" s="649" t="s">
        <v>3637</v>
      </c>
      <c r="O161" s="650" t="s">
        <v>1422</v>
      </c>
      <c r="U161" s="1"/>
      <c r="V161" s="4"/>
      <c r="W161" s="3"/>
    </row>
    <row r="162" spans="1:23" x14ac:dyDescent="0.25">
      <c r="A162" s="154">
        <v>185</v>
      </c>
      <c r="B162" s="641" t="s">
        <v>3552</v>
      </c>
      <c r="C162" s="642"/>
      <c r="D162" s="643">
        <v>122</v>
      </c>
      <c r="E162" s="668" t="s">
        <v>3549</v>
      </c>
      <c r="F162" s="668" t="s">
        <v>3464</v>
      </c>
      <c r="G162" s="646" t="s">
        <v>1450</v>
      </c>
      <c r="H162" s="646"/>
      <c r="I162" s="647" t="str">
        <f t="shared" si="9"/>
        <v/>
      </c>
      <c r="J162" s="647"/>
      <c r="K162" s="647"/>
      <c r="M162" s="648" t="str">
        <f t="shared" si="8"/>
        <v>К</v>
      </c>
      <c r="N162" s="649" t="s">
        <v>3637</v>
      </c>
      <c r="O162" s="650" t="s">
        <v>1422</v>
      </c>
      <c r="U162" s="1"/>
      <c r="V162" s="4"/>
      <c r="W162" s="3"/>
    </row>
    <row r="163" spans="1:23" x14ac:dyDescent="0.25">
      <c r="A163" s="158">
        <v>186</v>
      </c>
      <c r="B163" s="641" t="s">
        <v>3552</v>
      </c>
      <c r="C163" s="642"/>
      <c r="D163" s="643">
        <v>123</v>
      </c>
      <c r="E163" s="668" t="s">
        <v>3549</v>
      </c>
      <c r="F163" s="669" t="s">
        <v>1451</v>
      </c>
      <c r="G163" s="646" t="s">
        <v>1452</v>
      </c>
      <c r="H163" s="646"/>
      <c r="I163" s="647" t="str">
        <f t="shared" si="9"/>
        <v/>
      </c>
      <c r="J163" s="647"/>
      <c r="K163" s="647"/>
      <c r="M163" s="648" t="str">
        <f t="shared" si="8"/>
        <v>К</v>
      </c>
      <c r="N163" s="649" t="s">
        <v>3637</v>
      </c>
      <c r="O163" s="650" t="s">
        <v>1422</v>
      </c>
      <c r="U163" s="1"/>
      <c r="V163" s="4"/>
      <c r="W163" s="3"/>
    </row>
    <row r="164" spans="1:23" x14ac:dyDescent="0.25">
      <c r="A164" s="154">
        <v>199</v>
      </c>
      <c r="B164" s="641" t="s">
        <v>3552</v>
      </c>
      <c r="C164" s="642"/>
      <c r="D164" s="643">
        <v>124</v>
      </c>
      <c r="E164" s="668" t="s">
        <v>3549</v>
      </c>
      <c r="F164" s="645" t="s">
        <v>1451</v>
      </c>
      <c r="G164" s="646" t="s">
        <v>1453</v>
      </c>
      <c r="H164" s="646"/>
      <c r="I164" s="647" t="str">
        <f t="shared" si="9"/>
        <v/>
      </c>
      <c r="J164" s="647"/>
      <c r="K164" s="647"/>
      <c r="M164" s="648" t="str">
        <f t="shared" si="8"/>
        <v>К</v>
      </c>
      <c r="N164" s="649" t="s">
        <v>3637</v>
      </c>
      <c r="O164" s="650" t="s">
        <v>1422</v>
      </c>
      <c r="U164" s="1"/>
      <c r="V164" s="4"/>
      <c r="W164" s="3"/>
    </row>
    <row r="165" spans="1:23" x14ac:dyDescent="0.25">
      <c r="A165" s="154">
        <v>211</v>
      </c>
      <c r="B165" s="641" t="s">
        <v>3552</v>
      </c>
      <c r="C165" s="642"/>
      <c r="D165" s="643">
        <v>125</v>
      </c>
      <c r="E165" s="668" t="s">
        <v>3549</v>
      </c>
      <c r="F165" s="645" t="s">
        <v>1451</v>
      </c>
      <c r="G165" s="646" t="s">
        <v>1454</v>
      </c>
      <c r="H165" s="646"/>
      <c r="I165" s="647" t="str">
        <f t="shared" si="9"/>
        <v/>
      </c>
      <c r="J165" s="647"/>
      <c r="K165" s="647"/>
      <c r="M165" s="648" t="str">
        <f t="shared" si="8"/>
        <v>К</v>
      </c>
      <c r="N165" s="649" t="s">
        <v>3637</v>
      </c>
      <c r="O165" s="650" t="s">
        <v>1422</v>
      </c>
      <c r="U165" s="1"/>
      <c r="V165" s="4"/>
      <c r="W165" s="3"/>
    </row>
    <row r="166" spans="1:23" x14ac:dyDescent="0.25">
      <c r="A166" s="158">
        <v>212</v>
      </c>
      <c r="B166" s="641" t="s">
        <v>3552</v>
      </c>
      <c r="C166" s="642"/>
      <c r="D166" s="643">
        <v>126</v>
      </c>
      <c r="E166" s="668" t="s">
        <v>3549</v>
      </c>
      <c r="F166" s="645" t="s">
        <v>1513</v>
      </c>
      <c r="G166" s="646" t="s">
        <v>1514</v>
      </c>
      <c r="H166" s="646"/>
      <c r="I166" s="647" t="str">
        <f t="shared" si="9"/>
        <v/>
      </c>
      <c r="J166" s="647"/>
      <c r="K166" s="647"/>
      <c r="M166" s="648" t="str">
        <f t="shared" si="8"/>
        <v>К</v>
      </c>
      <c r="N166" s="649" t="s">
        <v>3637</v>
      </c>
      <c r="O166" s="650" t="s">
        <v>1508</v>
      </c>
      <c r="T166" s="164"/>
      <c r="U166" s="163"/>
      <c r="V166" s="165" t="s">
        <v>746</v>
      </c>
      <c r="W166" s="3"/>
    </row>
    <row r="167" spans="1:23" x14ac:dyDescent="0.25">
      <c r="A167" s="154">
        <v>187</v>
      </c>
      <c r="B167" s="641" t="s">
        <v>3552</v>
      </c>
      <c r="C167" s="642"/>
      <c r="D167" s="643">
        <v>127</v>
      </c>
      <c r="E167" s="668" t="s">
        <v>3549</v>
      </c>
      <c r="F167" s="645" t="s">
        <v>1515</v>
      </c>
      <c r="G167" s="646" t="s">
        <v>1516</v>
      </c>
      <c r="H167" s="646"/>
      <c r="I167" s="647" t="str">
        <f t="shared" si="9"/>
        <v/>
      </c>
      <c r="J167" s="647"/>
      <c r="K167" s="647"/>
      <c r="M167" s="648" t="str">
        <f t="shared" si="8"/>
        <v>К</v>
      </c>
      <c r="N167" s="649" t="s">
        <v>3637</v>
      </c>
      <c r="O167" s="650" t="s">
        <v>1508</v>
      </c>
      <c r="U167" s="1"/>
      <c r="V167" s="4"/>
      <c r="W167" s="3"/>
    </row>
    <row r="168" spans="1:23" x14ac:dyDescent="0.25">
      <c r="A168" s="158">
        <v>142</v>
      </c>
      <c r="B168" s="641" t="s">
        <v>3552</v>
      </c>
      <c r="C168" s="642"/>
      <c r="D168" s="643">
        <v>128</v>
      </c>
      <c r="E168" s="668" t="s">
        <v>3549</v>
      </c>
      <c r="F168" s="645" t="s">
        <v>1515</v>
      </c>
      <c r="G168" s="646" t="s">
        <v>1517</v>
      </c>
      <c r="H168" s="646"/>
      <c r="I168" s="647" t="str">
        <f t="shared" si="9"/>
        <v/>
      </c>
      <c r="J168" s="647"/>
      <c r="K168" s="647"/>
      <c r="M168" s="648" t="str">
        <f t="shared" si="8"/>
        <v>К</v>
      </c>
      <c r="N168" s="649" t="s">
        <v>3637</v>
      </c>
      <c r="O168" s="650" t="s">
        <v>1508</v>
      </c>
      <c r="U168" s="1"/>
      <c r="V168" s="4"/>
      <c r="W168" s="3"/>
    </row>
    <row r="169" spans="1:23" x14ac:dyDescent="0.25">
      <c r="A169" s="154">
        <v>213</v>
      </c>
      <c r="B169" s="641" t="s">
        <v>3552</v>
      </c>
      <c r="C169" s="642"/>
      <c r="D169" s="643">
        <v>129</v>
      </c>
      <c r="E169" s="668" t="s">
        <v>3549</v>
      </c>
      <c r="F169" s="645" t="s">
        <v>1518</v>
      </c>
      <c r="G169" s="646" t="s">
        <v>1519</v>
      </c>
      <c r="H169" s="646"/>
      <c r="I169" s="647" t="str">
        <f t="shared" si="9"/>
        <v/>
      </c>
      <c r="J169" s="647"/>
      <c r="K169" s="647"/>
      <c r="M169" s="648" t="str">
        <f t="shared" si="8"/>
        <v>К</v>
      </c>
      <c r="N169" s="649" t="s">
        <v>3637</v>
      </c>
      <c r="O169" s="650" t="s">
        <v>1508</v>
      </c>
      <c r="U169" s="1"/>
      <c r="V169" s="4"/>
      <c r="W169" s="3"/>
    </row>
    <row r="170" spans="1:23" x14ac:dyDescent="0.25">
      <c r="A170" s="158">
        <v>214</v>
      </c>
      <c r="B170" s="641" t="s">
        <v>3552</v>
      </c>
      <c r="C170" s="642"/>
      <c r="D170" s="643">
        <v>130</v>
      </c>
      <c r="E170" s="668" t="s">
        <v>3549</v>
      </c>
      <c r="F170" s="645" t="s">
        <v>1515</v>
      </c>
      <c r="G170" s="646" t="s">
        <v>1541</v>
      </c>
      <c r="H170" s="646"/>
      <c r="I170" s="647" t="str">
        <f t="shared" si="9"/>
        <v/>
      </c>
      <c r="J170" s="647"/>
      <c r="K170" s="647"/>
      <c r="M170" s="648" t="str">
        <f t="shared" si="8"/>
        <v>К</v>
      </c>
      <c r="N170" s="649" t="s">
        <v>3637</v>
      </c>
      <c r="O170" s="650" t="s">
        <v>1220</v>
      </c>
      <c r="U170" s="1"/>
      <c r="V170" s="4"/>
      <c r="W170" s="3"/>
    </row>
    <row r="171" spans="1:23" x14ac:dyDescent="0.25">
      <c r="A171" s="154">
        <v>197</v>
      </c>
      <c r="B171" s="641" t="s">
        <v>3552</v>
      </c>
      <c r="C171" s="642"/>
      <c r="D171" s="643">
        <v>131</v>
      </c>
      <c r="E171" s="668" t="s">
        <v>3549</v>
      </c>
      <c r="F171" s="645" t="s">
        <v>1515</v>
      </c>
      <c r="G171" s="646" t="s">
        <v>1542</v>
      </c>
      <c r="H171" s="646"/>
      <c r="I171" s="647" t="str">
        <f t="shared" si="9"/>
        <v/>
      </c>
      <c r="J171" s="647"/>
      <c r="K171" s="647"/>
      <c r="M171" s="648" t="str">
        <f t="shared" si="8"/>
        <v>К</v>
      </c>
      <c r="N171" s="649" t="s">
        <v>3637</v>
      </c>
      <c r="O171" s="650" t="s">
        <v>1220</v>
      </c>
      <c r="U171" s="1"/>
      <c r="V171" s="4"/>
      <c r="W171" s="3"/>
    </row>
    <row r="172" spans="1:23" x14ac:dyDescent="0.25">
      <c r="A172" s="158">
        <v>200</v>
      </c>
      <c r="B172" s="641" t="s">
        <v>3552</v>
      </c>
      <c r="C172" s="642"/>
      <c r="D172" s="643">
        <v>132</v>
      </c>
      <c r="E172" s="668" t="s">
        <v>3549</v>
      </c>
      <c r="F172" s="645" t="s">
        <v>1518</v>
      </c>
      <c r="G172" s="646" t="s">
        <v>1543</v>
      </c>
      <c r="H172" s="646"/>
      <c r="I172" s="647" t="str">
        <f t="shared" si="9"/>
        <v/>
      </c>
      <c r="J172" s="647"/>
      <c r="K172" s="647"/>
      <c r="M172" s="648" t="str">
        <f t="shared" si="8"/>
        <v>К</v>
      </c>
      <c r="N172" s="649" t="s">
        <v>3637</v>
      </c>
      <c r="O172" s="650" t="s">
        <v>1220</v>
      </c>
      <c r="U172" s="1"/>
      <c r="V172" s="4"/>
      <c r="W172" s="3"/>
    </row>
    <row r="173" spans="1:23" x14ac:dyDescent="0.25">
      <c r="A173" s="154">
        <v>131</v>
      </c>
      <c r="B173" s="641" t="s">
        <v>3552</v>
      </c>
      <c r="C173" s="642"/>
      <c r="D173" s="643">
        <v>133</v>
      </c>
      <c r="E173" s="668" t="s">
        <v>3549</v>
      </c>
      <c r="F173" s="645" t="s">
        <v>1544</v>
      </c>
      <c r="G173" s="646" t="s">
        <v>1545</v>
      </c>
      <c r="H173" s="646"/>
      <c r="I173" s="647" t="str">
        <f t="shared" si="9"/>
        <v/>
      </c>
      <c r="J173" s="647"/>
      <c r="K173" s="647"/>
      <c r="M173" s="648" t="str">
        <f t="shared" si="8"/>
        <v>К</v>
      </c>
      <c r="N173" s="649" t="s">
        <v>3637</v>
      </c>
      <c r="O173" s="650" t="s">
        <v>1220</v>
      </c>
      <c r="U173" s="1"/>
      <c r="V173" s="4"/>
      <c r="W173" s="3"/>
    </row>
    <row r="174" spans="1:23" x14ac:dyDescent="0.25">
      <c r="A174" s="158">
        <v>132</v>
      </c>
      <c r="B174" s="641" t="s">
        <v>3552</v>
      </c>
      <c r="C174" s="642"/>
      <c r="D174" s="643">
        <v>134</v>
      </c>
      <c r="E174" s="668" t="s">
        <v>3549</v>
      </c>
      <c r="F174" s="645" t="s">
        <v>1581</v>
      </c>
      <c r="G174" s="646" t="s">
        <v>1582</v>
      </c>
      <c r="H174" s="646"/>
      <c r="I174" s="647" t="str">
        <f t="shared" si="9"/>
        <v/>
      </c>
      <c r="J174" s="647"/>
      <c r="K174" s="647"/>
      <c r="M174" s="648" t="str">
        <f t="shared" si="8"/>
        <v>К</v>
      </c>
      <c r="N174" s="649" t="s">
        <v>3637</v>
      </c>
      <c r="O174" s="650" t="s">
        <v>1564</v>
      </c>
      <c r="U174" s="1"/>
      <c r="V174" s="4"/>
      <c r="W174" s="3"/>
    </row>
    <row r="175" spans="1:23" x14ac:dyDescent="0.25">
      <c r="A175" s="154">
        <v>143</v>
      </c>
      <c r="B175" s="641" t="s">
        <v>3552</v>
      </c>
      <c r="C175" s="642"/>
      <c r="D175" s="643">
        <v>135</v>
      </c>
      <c r="E175" s="668" t="s">
        <v>3549</v>
      </c>
      <c r="F175" s="645" t="s">
        <v>1583</v>
      </c>
      <c r="G175" s="646" t="s">
        <v>1584</v>
      </c>
      <c r="H175" s="646"/>
      <c r="I175" s="647" t="str">
        <f t="shared" si="9"/>
        <v/>
      </c>
      <c r="J175" s="647"/>
      <c r="K175" s="647"/>
      <c r="M175" s="648" t="str">
        <f t="shared" si="8"/>
        <v>К</v>
      </c>
      <c r="N175" s="649" t="s">
        <v>3637</v>
      </c>
      <c r="O175" s="650" t="s">
        <v>1564</v>
      </c>
      <c r="U175" s="1"/>
      <c r="V175" s="4"/>
      <c r="W175" s="3"/>
    </row>
    <row r="176" spans="1:23" x14ac:dyDescent="0.25">
      <c r="A176" s="158">
        <v>144</v>
      </c>
      <c r="B176" s="641" t="s">
        <v>3552</v>
      </c>
      <c r="C176" s="642"/>
      <c r="D176" s="643">
        <v>136</v>
      </c>
      <c r="E176" s="668" t="s">
        <v>3549</v>
      </c>
      <c r="F176" s="645" t="s">
        <v>1585</v>
      </c>
      <c r="G176" s="646" t="s">
        <v>1586</v>
      </c>
      <c r="H176" s="646"/>
      <c r="I176" s="647" t="str">
        <f t="shared" si="9"/>
        <v/>
      </c>
      <c r="J176" s="647"/>
      <c r="K176" s="647"/>
      <c r="M176" s="648" t="str">
        <f t="shared" si="8"/>
        <v>К</v>
      </c>
      <c r="N176" s="649" t="s">
        <v>3637</v>
      </c>
      <c r="O176" s="650" t="s">
        <v>1564</v>
      </c>
      <c r="U176" s="153" t="s">
        <v>3646</v>
      </c>
      <c r="V176" s="4"/>
      <c r="W176" s="3"/>
    </row>
    <row r="177" spans="1:23" x14ac:dyDescent="0.25">
      <c r="A177" s="158">
        <v>102</v>
      </c>
      <c r="B177" s="641" t="s">
        <v>3552</v>
      </c>
      <c r="C177" s="642"/>
      <c r="D177" s="643">
        <v>137</v>
      </c>
      <c r="E177" s="668" t="s">
        <v>3549</v>
      </c>
      <c r="F177" s="645" t="s">
        <v>1587</v>
      </c>
      <c r="G177" s="646" t="s">
        <v>1588</v>
      </c>
      <c r="H177" s="646"/>
      <c r="I177" s="647" t="str">
        <f t="shared" si="9"/>
        <v/>
      </c>
      <c r="J177" s="647"/>
      <c r="K177" s="647"/>
      <c r="M177" s="648" t="str">
        <f t="shared" si="8"/>
        <v>К</v>
      </c>
      <c r="N177" s="649" t="s">
        <v>3637</v>
      </c>
      <c r="O177" s="650" t="s">
        <v>1564</v>
      </c>
      <c r="U177" s="153" t="s">
        <v>3646</v>
      </c>
      <c r="V177" s="4"/>
      <c r="W177" s="3"/>
    </row>
    <row r="178" spans="1:23" x14ac:dyDescent="0.25">
      <c r="A178" s="158">
        <v>108</v>
      </c>
      <c r="B178" s="641" t="s">
        <v>3552</v>
      </c>
      <c r="C178" s="642"/>
      <c r="D178" s="643">
        <v>138</v>
      </c>
      <c r="E178" s="668" t="s">
        <v>3549</v>
      </c>
      <c r="F178" s="645" t="s">
        <v>1587</v>
      </c>
      <c r="G178" s="646" t="s">
        <v>1589</v>
      </c>
      <c r="H178" s="646"/>
      <c r="I178" s="647" t="str">
        <f t="shared" si="9"/>
        <v/>
      </c>
      <c r="J178" s="647"/>
      <c r="K178" s="647"/>
      <c r="M178" s="648" t="str">
        <f t="shared" ref="M178:M209" si="10">CONCATENATE("К",L178)</f>
        <v>К</v>
      </c>
      <c r="N178" s="649" t="s">
        <v>3637</v>
      </c>
      <c r="O178" s="650" t="s">
        <v>1564</v>
      </c>
      <c r="U178" s="153" t="s">
        <v>3646</v>
      </c>
      <c r="V178" s="4"/>
      <c r="W178" s="3"/>
    </row>
    <row r="179" spans="1:23" x14ac:dyDescent="0.25">
      <c r="A179" s="154">
        <v>117</v>
      </c>
      <c r="B179" s="641" t="s">
        <v>3552</v>
      </c>
      <c r="C179" s="642"/>
      <c r="D179" s="643">
        <v>139</v>
      </c>
      <c r="E179" s="668" t="s">
        <v>3549</v>
      </c>
      <c r="F179" s="645" t="s">
        <v>1513</v>
      </c>
      <c r="G179" s="646" t="s">
        <v>1590</v>
      </c>
      <c r="H179" s="646"/>
      <c r="I179" s="647" t="str">
        <f t="shared" si="9"/>
        <v/>
      </c>
      <c r="J179" s="647"/>
      <c r="K179" s="647"/>
      <c r="M179" s="648" t="str">
        <f t="shared" si="10"/>
        <v>К</v>
      </c>
      <c r="N179" s="649" t="s">
        <v>3637</v>
      </c>
      <c r="O179" s="650" t="s">
        <v>1564</v>
      </c>
      <c r="U179" s="153" t="s">
        <v>3646</v>
      </c>
      <c r="V179" s="4"/>
      <c r="W179" s="3"/>
    </row>
    <row r="180" spans="1:23" x14ac:dyDescent="0.25">
      <c r="A180" s="158">
        <v>118</v>
      </c>
      <c r="B180" s="641" t="s">
        <v>3552</v>
      </c>
      <c r="C180" s="642"/>
      <c r="D180" s="643">
        <v>140</v>
      </c>
      <c r="E180" s="668" t="s">
        <v>3549</v>
      </c>
      <c r="F180" s="645" t="s">
        <v>1513</v>
      </c>
      <c r="G180" s="646" t="s">
        <v>1591</v>
      </c>
      <c r="H180" s="646"/>
      <c r="I180" s="647" t="str">
        <f t="shared" si="9"/>
        <v/>
      </c>
      <c r="J180" s="647"/>
      <c r="K180" s="647"/>
      <c r="M180" s="648" t="str">
        <f t="shared" si="10"/>
        <v>К</v>
      </c>
      <c r="N180" s="649" t="s">
        <v>3637</v>
      </c>
      <c r="O180" s="650" t="s">
        <v>1564</v>
      </c>
      <c r="U180" s="153" t="s">
        <v>3646</v>
      </c>
      <c r="V180" s="4"/>
      <c r="W180" s="3"/>
    </row>
    <row r="181" spans="1:23" x14ac:dyDescent="0.25">
      <c r="A181" s="154">
        <v>133</v>
      </c>
      <c r="B181" s="641" t="s">
        <v>3552</v>
      </c>
      <c r="C181" s="642"/>
      <c r="D181" s="643">
        <v>141</v>
      </c>
      <c r="E181" s="668" t="s">
        <v>3549</v>
      </c>
      <c r="F181" s="645" t="s">
        <v>1513</v>
      </c>
      <c r="G181" s="646" t="s">
        <v>1592</v>
      </c>
      <c r="H181" s="646"/>
      <c r="I181" s="647" t="str">
        <f t="shared" si="9"/>
        <v/>
      </c>
      <c r="J181" s="647"/>
      <c r="K181" s="647"/>
      <c r="M181" s="648" t="str">
        <f t="shared" si="10"/>
        <v>К</v>
      </c>
      <c r="N181" s="649" t="s">
        <v>3637</v>
      </c>
      <c r="O181" s="650" t="s">
        <v>1564</v>
      </c>
      <c r="U181" s="153" t="s">
        <v>3646</v>
      </c>
      <c r="V181" s="4"/>
      <c r="W181" s="3"/>
    </row>
    <row r="182" spans="1:23" x14ac:dyDescent="0.25">
      <c r="A182" s="158">
        <v>134</v>
      </c>
      <c r="B182" s="641" t="s">
        <v>3552</v>
      </c>
      <c r="C182" s="642"/>
      <c r="D182" s="643">
        <v>142</v>
      </c>
      <c r="E182" s="668" t="s">
        <v>3549</v>
      </c>
      <c r="F182" s="645" t="s">
        <v>1513</v>
      </c>
      <c r="G182" s="646" t="s">
        <v>1593</v>
      </c>
      <c r="H182" s="646"/>
      <c r="I182" s="647" t="str">
        <f t="shared" si="9"/>
        <v/>
      </c>
      <c r="J182" s="647"/>
      <c r="K182" s="647"/>
      <c r="M182" s="648" t="str">
        <f t="shared" si="10"/>
        <v>К</v>
      </c>
      <c r="N182" s="649" t="s">
        <v>3637</v>
      </c>
      <c r="O182" s="650" t="s">
        <v>1564</v>
      </c>
      <c r="U182" s="153" t="s">
        <v>3646</v>
      </c>
      <c r="V182" s="4"/>
      <c r="W182" s="3"/>
    </row>
    <row r="183" spans="1:23" x14ac:dyDescent="0.25">
      <c r="A183" s="154">
        <v>145</v>
      </c>
      <c r="B183" s="641" t="s">
        <v>3552</v>
      </c>
      <c r="C183" s="642"/>
      <c r="D183" s="643">
        <v>143</v>
      </c>
      <c r="E183" s="668" t="s">
        <v>3549</v>
      </c>
      <c r="F183" s="645" t="s">
        <v>1513</v>
      </c>
      <c r="G183" s="646" t="s">
        <v>1594</v>
      </c>
      <c r="H183" s="646"/>
      <c r="I183" s="647" t="str">
        <f t="shared" si="9"/>
        <v/>
      </c>
      <c r="J183" s="647"/>
      <c r="K183" s="647"/>
      <c r="M183" s="648" t="str">
        <f t="shared" si="10"/>
        <v>К</v>
      </c>
      <c r="N183" s="649" t="s">
        <v>3637</v>
      </c>
      <c r="O183" s="650" t="s">
        <v>1564</v>
      </c>
      <c r="U183" s="153" t="s">
        <v>3646</v>
      </c>
      <c r="V183" s="4"/>
      <c r="W183" s="3"/>
    </row>
    <row r="184" spans="1:23" x14ac:dyDescent="0.25">
      <c r="A184" s="158">
        <v>146</v>
      </c>
      <c r="B184" s="641" t="s">
        <v>3552</v>
      </c>
      <c r="C184" s="642"/>
      <c r="D184" s="643">
        <v>144</v>
      </c>
      <c r="E184" s="668" t="s">
        <v>3549</v>
      </c>
      <c r="F184" s="645" t="s">
        <v>1595</v>
      </c>
      <c r="G184" s="646" t="s">
        <v>1596</v>
      </c>
      <c r="H184" s="646"/>
      <c r="I184" s="647" t="str">
        <f t="shared" si="9"/>
        <v/>
      </c>
      <c r="J184" s="647"/>
      <c r="K184" s="647"/>
      <c r="M184" s="648" t="str">
        <f t="shared" si="10"/>
        <v>К</v>
      </c>
      <c r="N184" s="649" t="s">
        <v>3637</v>
      </c>
      <c r="O184" s="650" t="s">
        <v>1564</v>
      </c>
      <c r="U184" s="153" t="s">
        <v>3646</v>
      </c>
      <c r="V184" s="4"/>
      <c r="W184" s="3"/>
    </row>
    <row r="185" spans="1:23" x14ac:dyDescent="0.25">
      <c r="A185" s="158">
        <v>188</v>
      </c>
      <c r="B185" s="641" t="s">
        <v>3552</v>
      </c>
      <c r="C185" s="642"/>
      <c r="D185" s="643">
        <v>145</v>
      </c>
      <c r="E185" s="668" t="s">
        <v>3549</v>
      </c>
      <c r="F185" s="645" t="s">
        <v>1595</v>
      </c>
      <c r="G185" s="646" t="s">
        <v>1597</v>
      </c>
      <c r="H185" s="646"/>
      <c r="I185" s="647" t="str">
        <f t="shared" si="9"/>
        <v/>
      </c>
      <c r="J185" s="647"/>
      <c r="K185" s="647"/>
      <c r="M185" s="648" t="str">
        <f t="shared" si="10"/>
        <v>К</v>
      </c>
      <c r="N185" s="649" t="s">
        <v>3637</v>
      </c>
      <c r="O185" s="650" t="s">
        <v>1564</v>
      </c>
      <c r="U185" s="153" t="s">
        <v>3646</v>
      </c>
      <c r="V185" s="4"/>
      <c r="W185" s="3"/>
    </row>
    <row r="186" spans="1:23" x14ac:dyDescent="0.25">
      <c r="A186" s="154">
        <v>189</v>
      </c>
      <c r="B186" s="641" t="s">
        <v>3552</v>
      </c>
      <c r="C186" s="642"/>
      <c r="D186" s="643">
        <v>146</v>
      </c>
      <c r="E186" s="668" t="s">
        <v>3549</v>
      </c>
      <c r="F186" s="645" t="s">
        <v>1598</v>
      </c>
      <c r="G186" s="646" t="s">
        <v>1599</v>
      </c>
      <c r="H186" s="646"/>
      <c r="I186" s="647" t="str">
        <f t="shared" ref="I186:I217" si="11">RIGHT(H186,4)</f>
        <v/>
      </c>
      <c r="J186" s="647"/>
      <c r="K186" s="647"/>
      <c r="M186" s="648" t="str">
        <f t="shared" si="10"/>
        <v>К</v>
      </c>
      <c r="N186" s="649" t="s">
        <v>3637</v>
      </c>
      <c r="O186" s="650" t="s">
        <v>1564</v>
      </c>
      <c r="U186" s="153" t="s">
        <v>3646</v>
      </c>
      <c r="V186" s="4"/>
      <c r="W186" s="3"/>
    </row>
    <row r="187" spans="1:23" x14ac:dyDescent="0.25">
      <c r="A187" s="158">
        <v>190</v>
      </c>
      <c r="B187" s="641" t="s">
        <v>3552</v>
      </c>
      <c r="C187" s="642"/>
      <c r="D187" s="643">
        <v>147</v>
      </c>
      <c r="E187" s="668" t="s">
        <v>3549</v>
      </c>
      <c r="F187" s="645" t="s">
        <v>1598</v>
      </c>
      <c r="G187" s="646" t="s">
        <v>1600</v>
      </c>
      <c r="H187" s="646"/>
      <c r="I187" s="647" t="str">
        <f t="shared" si="11"/>
        <v/>
      </c>
      <c r="J187" s="647"/>
      <c r="K187" s="647"/>
      <c r="M187" s="648" t="str">
        <f t="shared" si="10"/>
        <v>К</v>
      </c>
      <c r="N187" s="649" t="s">
        <v>3637</v>
      </c>
      <c r="O187" s="650" t="s">
        <v>1564</v>
      </c>
      <c r="U187" s="153" t="s">
        <v>3646</v>
      </c>
      <c r="V187" s="4"/>
      <c r="W187" s="3"/>
    </row>
    <row r="188" spans="1:23" x14ac:dyDescent="0.25">
      <c r="A188" s="158">
        <v>198</v>
      </c>
      <c r="B188" s="641" t="s">
        <v>3552</v>
      </c>
      <c r="C188" s="642"/>
      <c r="D188" s="643">
        <v>148</v>
      </c>
      <c r="E188" s="668" t="s">
        <v>3549</v>
      </c>
      <c r="F188" s="645" t="s">
        <v>1598</v>
      </c>
      <c r="G188" s="646" t="s">
        <v>1601</v>
      </c>
      <c r="H188" s="646"/>
      <c r="I188" s="647" t="str">
        <f t="shared" si="11"/>
        <v/>
      </c>
      <c r="J188" s="647"/>
      <c r="K188" s="647"/>
      <c r="M188" s="648" t="str">
        <f t="shared" si="10"/>
        <v>К</v>
      </c>
      <c r="N188" s="649" t="s">
        <v>3637</v>
      </c>
      <c r="O188" s="650" t="s">
        <v>1564</v>
      </c>
      <c r="U188" s="153" t="s">
        <v>3646</v>
      </c>
      <c r="V188" s="4"/>
      <c r="W188" s="3"/>
    </row>
    <row r="189" spans="1:23" x14ac:dyDescent="0.25">
      <c r="A189" s="154">
        <v>201</v>
      </c>
      <c r="B189" s="641" t="s">
        <v>3552</v>
      </c>
      <c r="C189" s="642"/>
      <c r="D189" s="643">
        <v>149</v>
      </c>
      <c r="E189" s="668" t="s">
        <v>3549</v>
      </c>
      <c r="F189" s="645" t="s">
        <v>1598</v>
      </c>
      <c r="G189" s="646" t="s">
        <v>1602</v>
      </c>
      <c r="H189" s="646"/>
      <c r="I189" s="647" t="str">
        <f t="shared" si="11"/>
        <v/>
      </c>
      <c r="J189" s="647"/>
      <c r="K189" s="647"/>
      <c r="M189" s="648" t="str">
        <f t="shared" si="10"/>
        <v>К</v>
      </c>
      <c r="N189" s="649" t="s">
        <v>3637</v>
      </c>
      <c r="O189" s="650" t="s">
        <v>1564</v>
      </c>
      <c r="U189" s="153" t="s">
        <v>3646</v>
      </c>
      <c r="V189" s="4"/>
      <c r="W189" s="3"/>
    </row>
    <row r="190" spans="1:23" x14ac:dyDescent="0.25">
      <c r="A190" s="154">
        <v>203</v>
      </c>
      <c r="B190" s="641" t="s">
        <v>3552</v>
      </c>
      <c r="C190" s="642"/>
      <c r="D190" s="643">
        <v>150</v>
      </c>
      <c r="E190" s="668" t="s">
        <v>3549</v>
      </c>
      <c r="F190" s="645" t="s">
        <v>1515</v>
      </c>
      <c r="G190" s="646" t="s">
        <v>1603</v>
      </c>
      <c r="H190" s="646"/>
      <c r="I190" s="647" t="str">
        <f t="shared" si="11"/>
        <v/>
      </c>
      <c r="J190" s="647"/>
      <c r="K190" s="647"/>
      <c r="M190" s="648" t="str">
        <f t="shared" si="10"/>
        <v>К</v>
      </c>
      <c r="N190" s="649" t="s">
        <v>3637</v>
      </c>
      <c r="O190" s="650" t="s">
        <v>1564</v>
      </c>
      <c r="U190" s="153" t="s">
        <v>3646</v>
      </c>
      <c r="V190" s="4"/>
      <c r="W190" s="3"/>
    </row>
    <row r="191" spans="1:23" x14ac:dyDescent="0.25">
      <c r="A191" s="154">
        <v>215</v>
      </c>
      <c r="B191" s="641" t="s">
        <v>3552</v>
      </c>
      <c r="C191" s="642"/>
      <c r="D191" s="643">
        <v>151</v>
      </c>
      <c r="E191" s="668" t="s">
        <v>3549</v>
      </c>
      <c r="F191" s="645" t="s">
        <v>1515</v>
      </c>
      <c r="G191" s="646" t="s">
        <v>1604</v>
      </c>
      <c r="H191" s="646"/>
      <c r="I191" s="647" t="str">
        <f t="shared" si="11"/>
        <v/>
      </c>
      <c r="J191" s="647"/>
      <c r="K191" s="647"/>
      <c r="M191" s="648" t="str">
        <f t="shared" si="10"/>
        <v>К</v>
      </c>
      <c r="N191" s="649" t="s">
        <v>3637</v>
      </c>
      <c r="O191" s="650" t="s">
        <v>1564</v>
      </c>
      <c r="U191" s="153" t="s">
        <v>3646</v>
      </c>
      <c r="V191" s="4"/>
      <c r="W191" s="3"/>
    </row>
    <row r="192" spans="1:23" x14ac:dyDescent="0.25">
      <c r="A192" s="158">
        <v>216</v>
      </c>
      <c r="B192" s="641" t="s">
        <v>3552</v>
      </c>
      <c r="C192" s="642"/>
      <c r="D192" s="643">
        <v>152</v>
      </c>
      <c r="E192" s="668" t="s">
        <v>3549</v>
      </c>
      <c r="F192" s="645" t="s">
        <v>1515</v>
      </c>
      <c r="G192" s="646" t="s">
        <v>1605</v>
      </c>
      <c r="H192" s="646"/>
      <c r="I192" s="647" t="str">
        <f t="shared" si="11"/>
        <v/>
      </c>
      <c r="J192" s="647"/>
      <c r="K192" s="647"/>
      <c r="M192" s="648" t="str">
        <f t="shared" si="10"/>
        <v>К</v>
      </c>
      <c r="N192" s="649" t="s">
        <v>3637</v>
      </c>
      <c r="O192" s="650" t="s">
        <v>1564</v>
      </c>
      <c r="U192" s="1"/>
      <c r="V192" s="4"/>
      <c r="W192" s="3"/>
    </row>
    <row r="193" spans="1:23" x14ac:dyDescent="0.25">
      <c r="A193" s="154">
        <v>109</v>
      </c>
      <c r="B193" s="641" t="s">
        <v>3552</v>
      </c>
      <c r="C193" s="642"/>
      <c r="D193" s="643">
        <v>153</v>
      </c>
      <c r="E193" s="668" t="s">
        <v>3549</v>
      </c>
      <c r="F193" s="645" t="s">
        <v>1515</v>
      </c>
      <c r="G193" s="646" t="s">
        <v>1606</v>
      </c>
      <c r="H193" s="646"/>
      <c r="I193" s="647" t="str">
        <f t="shared" si="11"/>
        <v/>
      </c>
      <c r="J193" s="647"/>
      <c r="K193" s="647"/>
      <c r="M193" s="648" t="str">
        <f t="shared" si="10"/>
        <v>К</v>
      </c>
      <c r="N193" s="649" t="s">
        <v>3637</v>
      </c>
      <c r="O193" s="650" t="s">
        <v>1564</v>
      </c>
      <c r="U193" s="1"/>
      <c r="V193" s="4"/>
      <c r="W193" s="3"/>
    </row>
    <row r="194" spans="1:23" x14ac:dyDescent="0.25">
      <c r="A194" s="158">
        <v>110</v>
      </c>
      <c r="B194" s="641" t="s">
        <v>3552</v>
      </c>
      <c r="C194" s="642"/>
      <c r="D194" s="643">
        <v>154</v>
      </c>
      <c r="E194" s="668" t="s">
        <v>3549</v>
      </c>
      <c r="F194" s="645" t="s">
        <v>1515</v>
      </c>
      <c r="G194" s="646" t="s">
        <v>1607</v>
      </c>
      <c r="H194" s="646"/>
      <c r="I194" s="647" t="str">
        <f t="shared" si="11"/>
        <v/>
      </c>
      <c r="J194" s="647"/>
      <c r="K194" s="647"/>
      <c r="M194" s="648" t="str">
        <f t="shared" si="10"/>
        <v>К</v>
      </c>
      <c r="N194" s="649" t="s">
        <v>3637</v>
      </c>
      <c r="O194" s="650" t="s">
        <v>1564</v>
      </c>
      <c r="U194" s="1"/>
      <c r="V194" s="4"/>
      <c r="W194" s="3"/>
    </row>
    <row r="195" spans="1:23" x14ac:dyDescent="0.25">
      <c r="A195" s="154">
        <v>223</v>
      </c>
      <c r="B195" s="641" t="s">
        <v>3552</v>
      </c>
      <c r="C195" s="642"/>
      <c r="D195" s="643">
        <v>155</v>
      </c>
      <c r="E195" s="668" t="s">
        <v>3549</v>
      </c>
      <c r="F195" s="645" t="s">
        <v>1515</v>
      </c>
      <c r="G195" s="646" t="s">
        <v>1608</v>
      </c>
      <c r="H195" s="646"/>
      <c r="I195" s="647" t="str">
        <f t="shared" si="11"/>
        <v/>
      </c>
      <c r="J195" s="647"/>
      <c r="K195" s="647"/>
      <c r="M195" s="648" t="str">
        <f t="shared" si="10"/>
        <v>К</v>
      </c>
      <c r="N195" s="649" t="s">
        <v>3637</v>
      </c>
      <c r="O195" s="650" t="s">
        <v>1564</v>
      </c>
      <c r="U195" s="1"/>
      <c r="V195" s="4"/>
      <c r="W195" s="3"/>
    </row>
    <row r="196" spans="1:23" x14ac:dyDescent="0.25">
      <c r="A196" s="158">
        <v>224</v>
      </c>
      <c r="B196" s="641" t="s">
        <v>3552</v>
      </c>
      <c r="C196" s="642"/>
      <c r="D196" s="643">
        <v>156</v>
      </c>
      <c r="E196" s="668" t="s">
        <v>3549</v>
      </c>
      <c r="F196" s="645" t="s">
        <v>1515</v>
      </c>
      <c r="G196" s="646" t="s">
        <v>1609</v>
      </c>
      <c r="H196" s="646"/>
      <c r="I196" s="647" t="str">
        <f t="shared" si="11"/>
        <v/>
      </c>
      <c r="J196" s="647"/>
      <c r="K196" s="647"/>
      <c r="M196" s="648" t="str">
        <f t="shared" si="10"/>
        <v>К</v>
      </c>
      <c r="N196" s="649" t="s">
        <v>3637</v>
      </c>
      <c r="O196" s="650" t="s">
        <v>1564</v>
      </c>
      <c r="U196" s="1"/>
      <c r="V196" s="4"/>
      <c r="W196" s="3"/>
    </row>
    <row r="197" spans="1:23" x14ac:dyDescent="0.25">
      <c r="A197" s="154">
        <v>225</v>
      </c>
      <c r="B197" s="641" t="s">
        <v>3552</v>
      </c>
      <c r="C197" s="642"/>
      <c r="D197" s="643">
        <v>157</v>
      </c>
      <c r="E197" s="668" t="s">
        <v>3549</v>
      </c>
      <c r="F197" s="645" t="s">
        <v>1610</v>
      </c>
      <c r="G197" s="646" t="s">
        <v>1611</v>
      </c>
      <c r="H197" s="646"/>
      <c r="I197" s="647" t="str">
        <f t="shared" si="11"/>
        <v/>
      </c>
      <c r="J197" s="647"/>
      <c r="K197" s="647"/>
      <c r="M197" s="648" t="str">
        <f t="shared" si="10"/>
        <v>К</v>
      </c>
      <c r="N197" s="649" t="s">
        <v>3637</v>
      </c>
      <c r="O197" s="650" t="s">
        <v>1564</v>
      </c>
      <c r="U197" s="1"/>
      <c r="V197" s="4"/>
      <c r="W197" s="3"/>
    </row>
    <row r="198" spans="1:23" x14ac:dyDescent="0.25">
      <c r="A198" s="154">
        <v>111</v>
      </c>
      <c r="B198" s="641" t="s">
        <v>3552</v>
      </c>
      <c r="C198" s="642"/>
      <c r="D198" s="643">
        <v>158</v>
      </c>
      <c r="E198" s="668" t="s">
        <v>3549</v>
      </c>
      <c r="F198" s="645" t="s">
        <v>1610</v>
      </c>
      <c r="G198" s="646" t="s">
        <v>1612</v>
      </c>
      <c r="H198" s="646"/>
      <c r="I198" s="647" t="str">
        <f t="shared" si="11"/>
        <v/>
      </c>
      <c r="J198" s="647"/>
      <c r="K198" s="647"/>
      <c r="M198" s="648" t="str">
        <f t="shared" si="10"/>
        <v>К</v>
      </c>
      <c r="N198" s="649" t="s">
        <v>3637</v>
      </c>
      <c r="O198" s="650" t="s">
        <v>1564</v>
      </c>
      <c r="U198" s="1"/>
      <c r="V198" s="4"/>
      <c r="W198" s="3"/>
    </row>
    <row r="199" spans="1:23" x14ac:dyDescent="0.25">
      <c r="A199" s="154">
        <v>191</v>
      </c>
      <c r="B199" s="641" t="s">
        <v>3552</v>
      </c>
      <c r="C199" s="642"/>
      <c r="D199" s="643">
        <v>159</v>
      </c>
      <c r="E199" s="668" t="s">
        <v>3549</v>
      </c>
      <c r="F199" s="645" t="s">
        <v>1610</v>
      </c>
      <c r="G199" s="646" t="s">
        <v>1613</v>
      </c>
      <c r="H199" s="646"/>
      <c r="I199" s="647" t="str">
        <f t="shared" si="11"/>
        <v/>
      </c>
      <c r="J199" s="647"/>
      <c r="K199" s="647"/>
      <c r="M199" s="648" t="str">
        <f t="shared" si="10"/>
        <v>К</v>
      </c>
      <c r="N199" s="649" t="s">
        <v>3637</v>
      </c>
      <c r="O199" s="650" t="s">
        <v>1564</v>
      </c>
      <c r="U199" s="1"/>
      <c r="V199" s="4"/>
      <c r="W199" s="3"/>
    </row>
    <row r="200" spans="1:23" x14ac:dyDescent="0.25">
      <c r="A200" s="154">
        <v>217</v>
      </c>
      <c r="B200" s="641" t="s">
        <v>3552</v>
      </c>
      <c r="C200" s="642"/>
      <c r="D200" s="643">
        <v>160</v>
      </c>
      <c r="E200" s="668" t="s">
        <v>3549</v>
      </c>
      <c r="F200" s="645" t="s">
        <v>1614</v>
      </c>
      <c r="G200" s="646" t="s">
        <v>1615</v>
      </c>
      <c r="H200" s="646"/>
      <c r="I200" s="647" t="str">
        <f t="shared" si="11"/>
        <v/>
      </c>
      <c r="J200" s="647"/>
      <c r="K200" s="647"/>
      <c r="M200" s="648" t="str">
        <f t="shared" si="10"/>
        <v>К</v>
      </c>
      <c r="N200" s="649" t="s">
        <v>3637</v>
      </c>
      <c r="O200" s="650" t="s">
        <v>1564</v>
      </c>
      <c r="U200" s="1"/>
      <c r="V200" s="4"/>
      <c r="W200" s="3"/>
    </row>
    <row r="201" spans="1:23" x14ac:dyDescent="0.25">
      <c r="A201" s="158">
        <v>112</v>
      </c>
      <c r="B201" s="641" t="s">
        <v>3552</v>
      </c>
      <c r="C201" s="642"/>
      <c r="D201" s="643">
        <v>161</v>
      </c>
      <c r="E201" s="668" t="s">
        <v>3549</v>
      </c>
      <c r="F201" s="645" t="s">
        <v>1614</v>
      </c>
      <c r="G201" s="646" t="s">
        <v>1616</v>
      </c>
      <c r="H201" s="646"/>
      <c r="I201" s="647" t="str">
        <f t="shared" si="11"/>
        <v/>
      </c>
      <c r="J201" s="647"/>
      <c r="K201" s="647"/>
      <c r="M201" s="648" t="str">
        <f t="shared" si="10"/>
        <v>К</v>
      </c>
      <c r="N201" s="649" t="s">
        <v>3637</v>
      </c>
      <c r="O201" s="650" t="s">
        <v>1564</v>
      </c>
      <c r="U201" s="1"/>
      <c r="V201" s="4"/>
      <c r="W201" s="3"/>
    </row>
    <row r="202" spans="1:23" x14ac:dyDescent="0.25">
      <c r="A202" s="154">
        <v>113</v>
      </c>
      <c r="B202" s="641" t="s">
        <v>3552</v>
      </c>
      <c r="C202" s="642"/>
      <c r="D202" s="643">
        <v>162</v>
      </c>
      <c r="E202" s="668" t="s">
        <v>3549</v>
      </c>
      <c r="F202" s="645" t="s">
        <v>1614</v>
      </c>
      <c r="G202" s="646" t="s">
        <v>1617</v>
      </c>
      <c r="H202" s="646"/>
      <c r="I202" s="647" t="str">
        <f t="shared" si="11"/>
        <v/>
      </c>
      <c r="J202" s="647"/>
      <c r="K202" s="647"/>
      <c r="M202" s="648" t="str">
        <f t="shared" si="10"/>
        <v>К</v>
      </c>
      <c r="N202" s="649" t="s">
        <v>3637</v>
      </c>
      <c r="O202" s="650" t="s">
        <v>1564</v>
      </c>
      <c r="U202" s="1"/>
      <c r="V202" s="4"/>
      <c r="W202" s="3"/>
    </row>
    <row r="203" spans="1:23" x14ac:dyDescent="0.25">
      <c r="A203" s="158">
        <v>204</v>
      </c>
      <c r="B203" s="641" t="s">
        <v>3552</v>
      </c>
      <c r="C203" s="642"/>
      <c r="D203" s="643">
        <v>163</v>
      </c>
      <c r="E203" s="668" t="s">
        <v>3549</v>
      </c>
      <c r="F203" s="645" t="s">
        <v>1544</v>
      </c>
      <c r="G203" s="646" t="s">
        <v>1618</v>
      </c>
      <c r="H203" s="646"/>
      <c r="I203" s="647" t="str">
        <f t="shared" si="11"/>
        <v/>
      </c>
      <c r="J203" s="647"/>
      <c r="K203" s="647"/>
      <c r="M203" s="648" t="str">
        <f t="shared" si="10"/>
        <v>К</v>
      </c>
      <c r="N203" s="649" t="s">
        <v>3637</v>
      </c>
      <c r="O203" s="650" t="s">
        <v>1564</v>
      </c>
      <c r="U203" s="1"/>
      <c r="V203" s="4"/>
      <c r="W203" s="3"/>
    </row>
    <row r="204" spans="1:23" x14ac:dyDescent="0.25">
      <c r="A204" s="158">
        <v>202</v>
      </c>
      <c r="B204" s="641" t="s">
        <v>3552</v>
      </c>
      <c r="C204" s="642"/>
      <c r="D204" s="643">
        <v>164</v>
      </c>
      <c r="E204" s="668" t="s">
        <v>3549</v>
      </c>
      <c r="F204" s="645" t="s">
        <v>1544</v>
      </c>
      <c r="G204" s="646" t="s">
        <v>1619</v>
      </c>
      <c r="H204" s="646"/>
      <c r="I204" s="647" t="str">
        <f t="shared" si="11"/>
        <v/>
      </c>
      <c r="J204" s="647"/>
      <c r="K204" s="647"/>
      <c r="M204" s="648" t="str">
        <f t="shared" si="10"/>
        <v>К</v>
      </c>
      <c r="N204" s="649" t="s">
        <v>3637</v>
      </c>
      <c r="O204" s="650" t="s">
        <v>1564</v>
      </c>
      <c r="U204" s="1"/>
      <c r="V204" s="4"/>
      <c r="W204" s="3"/>
    </row>
    <row r="205" spans="1:23" x14ac:dyDescent="0.25">
      <c r="A205" s="154">
        <v>135</v>
      </c>
      <c r="B205" s="641" t="s">
        <v>3552</v>
      </c>
      <c r="C205" s="642"/>
      <c r="D205" s="643">
        <v>165</v>
      </c>
      <c r="E205" s="668" t="s">
        <v>3549</v>
      </c>
      <c r="F205" s="645" t="s">
        <v>1595</v>
      </c>
      <c r="G205" s="646" t="s">
        <v>1659</v>
      </c>
      <c r="H205" s="646"/>
      <c r="I205" s="647" t="str">
        <f t="shared" si="11"/>
        <v/>
      </c>
      <c r="J205" s="647"/>
      <c r="K205" s="647"/>
      <c r="M205" s="648" t="str">
        <f t="shared" si="10"/>
        <v>К</v>
      </c>
      <c r="N205" s="649" t="s">
        <v>3637</v>
      </c>
      <c r="O205" s="650" t="s">
        <v>1660</v>
      </c>
      <c r="U205" s="1"/>
      <c r="V205" s="4"/>
      <c r="W205" s="3"/>
    </row>
    <row r="206" spans="1:23" x14ac:dyDescent="0.25">
      <c r="A206" s="154">
        <v>147</v>
      </c>
      <c r="B206" s="641" t="s">
        <v>3552</v>
      </c>
      <c r="C206" s="642"/>
      <c r="D206" s="643">
        <v>166</v>
      </c>
      <c r="E206" s="668" t="s">
        <v>3549</v>
      </c>
      <c r="F206" s="645" t="s">
        <v>1598</v>
      </c>
      <c r="H206" s="646"/>
      <c r="I206" s="647" t="str">
        <f t="shared" si="11"/>
        <v/>
      </c>
      <c r="J206" s="647"/>
      <c r="K206" s="647"/>
      <c r="L206" s="646" t="s">
        <v>1690</v>
      </c>
      <c r="M206" s="648" t="str">
        <f t="shared" si="10"/>
        <v>К14510513</v>
      </c>
      <c r="N206" s="649" t="s">
        <v>3637</v>
      </c>
      <c r="O206" s="650" t="s">
        <v>1679</v>
      </c>
      <c r="U206" s="1"/>
      <c r="V206" s="4"/>
      <c r="W206" s="3"/>
    </row>
    <row r="207" spans="1:23" x14ac:dyDescent="0.25">
      <c r="A207" s="158">
        <v>114</v>
      </c>
      <c r="B207" s="641" t="s">
        <v>3552</v>
      </c>
      <c r="C207" s="642"/>
      <c r="D207" s="643">
        <v>167</v>
      </c>
      <c r="E207" s="668" t="s">
        <v>3549</v>
      </c>
      <c r="F207" s="645" t="s">
        <v>1442</v>
      </c>
      <c r="H207" s="646"/>
      <c r="I207" s="647" t="str">
        <f t="shared" si="11"/>
        <v/>
      </c>
      <c r="J207" s="647"/>
      <c r="K207" s="647"/>
      <c r="L207" s="646" t="s">
        <v>1689</v>
      </c>
      <c r="M207" s="648" t="str">
        <f t="shared" si="10"/>
        <v>К18022690</v>
      </c>
      <c r="N207" s="649" t="s">
        <v>3637</v>
      </c>
      <c r="O207" s="650" t="s">
        <v>1679</v>
      </c>
      <c r="U207" s="1"/>
      <c r="V207" s="4"/>
      <c r="W207" s="3"/>
    </row>
    <row r="208" spans="1:23" x14ac:dyDescent="0.25">
      <c r="A208" s="158">
        <v>192</v>
      </c>
      <c r="B208" s="670"/>
      <c r="C208" s="671"/>
      <c r="D208" s="632">
        <v>168</v>
      </c>
      <c r="E208" s="672" t="s">
        <v>1620</v>
      </c>
      <c r="F208" s="672" t="s">
        <v>1621</v>
      </c>
      <c r="G208" s="673" t="s">
        <v>1622</v>
      </c>
      <c r="H208" s="673"/>
      <c r="I208" s="635" t="str">
        <f t="shared" si="11"/>
        <v/>
      </c>
      <c r="J208" s="635"/>
      <c r="K208" s="635"/>
      <c r="L208" s="673" t="s">
        <v>1623</v>
      </c>
      <c r="M208" s="636" t="str">
        <f t="shared" si="10"/>
        <v>К2360000242</v>
      </c>
      <c r="N208" s="672" t="s">
        <v>3637</v>
      </c>
      <c r="O208" s="674" t="s">
        <v>1564</v>
      </c>
      <c r="P208" s="675"/>
      <c r="U208" s="1"/>
      <c r="V208" s="4"/>
      <c r="W208" s="3"/>
    </row>
    <row r="209" spans="1:23" x14ac:dyDescent="0.25">
      <c r="A209" s="154">
        <v>193</v>
      </c>
      <c r="B209" s="1"/>
      <c r="C209" s="1"/>
      <c r="D209" s="567">
        <v>169</v>
      </c>
      <c r="E209" s="3" t="s">
        <v>1546</v>
      </c>
      <c r="F209" s="3" t="s">
        <v>1547</v>
      </c>
      <c r="G209" s="2" t="s">
        <v>1548</v>
      </c>
      <c r="H209" s="2"/>
      <c r="I209" s="156" t="str">
        <f t="shared" si="11"/>
        <v/>
      </c>
      <c r="J209" s="156"/>
      <c r="K209" s="156"/>
      <c r="L209" s="2" t="s">
        <v>1549</v>
      </c>
      <c r="M209" s="157" t="str">
        <f t="shared" si="10"/>
        <v>К41012400128</v>
      </c>
      <c r="N209" s="161" t="s">
        <v>3637</v>
      </c>
      <c r="O209" s="4" t="s">
        <v>1220</v>
      </c>
      <c r="P209" s="1"/>
      <c r="U209" s="1"/>
      <c r="V209" s="4"/>
      <c r="W209" s="3"/>
    </row>
    <row r="210" spans="1:23" x14ac:dyDescent="0.25">
      <c r="A210" s="158">
        <v>194</v>
      </c>
      <c r="B210" s="1"/>
      <c r="C210" s="1"/>
      <c r="D210" s="567">
        <v>170</v>
      </c>
      <c r="E210" s="3" t="s">
        <v>1546</v>
      </c>
      <c r="F210" s="3" t="s">
        <v>1691</v>
      </c>
      <c r="G210" s="2" t="s">
        <v>1692</v>
      </c>
      <c r="H210" s="2"/>
      <c r="I210" s="156" t="str">
        <f t="shared" si="11"/>
        <v/>
      </c>
      <c r="J210" s="156"/>
      <c r="K210" s="156"/>
      <c r="L210" s="2" t="s">
        <v>1693</v>
      </c>
      <c r="M210" s="157" t="str">
        <f t="shared" ref="M210:M241" si="12">CONCATENATE("К",L210)</f>
        <v>К0450004</v>
      </c>
      <c r="N210" s="161" t="s">
        <v>3637</v>
      </c>
      <c r="O210" s="4" t="s">
        <v>1679</v>
      </c>
      <c r="P210" s="1"/>
      <c r="U210" s="1"/>
      <c r="V210" s="4"/>
      <c r="W210" s="3"/>
    </row>
    <row r="211" spans="1:23" x14ac:dyDescent="0.25">
      <c r="A211" s="154">
        <v>103</v>
      </c>
      <c r="B211" s="1"/>
      <c r="C211" s="1"/>
      <c r="D211" s="567">
        <v>172</v>
      </c>
      <c r="E211" s="468" t="s">
        <v>2373</v>
      </c>
      <c r="F211" s="3" t="s">
        <v>1656</v>
      </c>
      <c r="G211" s="2" t="s">
        <v>1657</v>
      </c>
      <c r="H211" s="2"/>
      <c r="I211" s="156" t="str">
        <f t="shared" si="11"/>
        <v/>
      </c>
      <c r="J211" s="156"/>
      <c r="K211" s="156"/>
      <c r="L211" s="2" t="s">
        <v>1658</v>
      </c>
      <c r="M211" s="157" t="str">
        <f t="shared" si="12"/>
        <v>К08104613</v>
      </c>
      <c r="N211" s="161" t="s">
        <v>3637</v>
      </c>
      <c r="O211" s="4" t="s">
        <v>1653</v>
      </c>
      <c r="P211" s="1"/>
      <c r="U211" s="1"/>
      <c r="V211" s="4"/>
      <c r="W211" s="3"/>
    </row>
    <row r="212" spans="1:23" x14ac:dyDescent="0.25">
      <c r="A212" s="158">
        <v>104</v>
      </c>
      <c r="B212" s="1"/>
      <c r="C212" s="1"/>
      <c r="D212" s="567">
        <v>173</v>
      </c>
      <c r="E212" s="468" t="s">
        <v>2373</v>
      </c>
      <c r="F212" s="3" t="s">
        <v>1656</v>
      </c>
      <c r="G212" s="2" t="s">
        <v>1667</v>
      </c>
      <c r="H212" s="2"/>
      <c r="I212" s="156" t="str">
        <f t="shared" si="11"/>
        <v/>
      </c>
      <c r="J212" s="156"/>
      <c r="K212" s="156"/>
      <c r="L212" s="2" t="s">
        <v>1668</v>
      </c>
      <c r="M212" s="157" t="str">
        <f t="shared" si="12"/>
        <v>К08104612</v>
      </c>
      <c r="N212" s="161" t="s">
        <v>3637</v>
      </c>
      <c r="O212" s="4" t="s">
        <v>1660</v>
      </c>
      <c r="P212" s="1"/>
      <c r="U212" s="1"/>
      <c r="V212" s="4"/>
      <c r="W212" s="3"/>
    </row>
    <row r="213" spans="1:23" x14ac:dyDescent="0.25">
      <c r="A213" s="154">
        <v>205</v>
      </c>
      <c r="B213" s="1"/>
      <c r="C213" s="1"/>
      <c r="D213" s="567">
        <v>174</v>
      </c>
      <c r="E213" s="3" t="s">
        <v>1520</v>
      </c>
      <c r="F213" s="3" t="s">
        <v>1521</v>
      </c>
      <c r="G213" s="2" t="s">
        <v>1522</v>
      </c>
      <c r="H213" s="2"/>
      <c r="I213" s="156" t="str">
        <f t="shared" si="11"/>
        <v/>
      </c>
      <c r="J213" s="156"/>
      <c r="K213" s="156"/>
      <c r="L213" s="2" t="s">
        <v>1523</v>
      </c>
      <c r="M213" s="157" t="str">
        <f t="shared" si="12"/>
        <v>К04500015</v>
      </c>
      <c r="N213" s="161" t="s">
        <v>3637</v>
      </c>
      <c r="O213" s="4" t="s">
        <v>1508</v>
      </c>
      <c r="P213" s="1"/>
      <c r="U213" s="1"/>
      <c r="V213" s="4"/>
      <c r="W213" s="3"/>
    </row>
    <row r="214" spans="1:23" x14ac:dyDescent="0.25">
      <c r="A214" s="154">
        <v>115</v>
      </c>
      <c r="B214" s="1"/>
      <c r="C214" s="1"/>
      <c r="D214" s="567">
        <v>175</v>
      </c>
      <c r="E214" s="3" t="s">
        <v>1520</v>
      </c>
      <c r="F214" s="3" t="s">
        <v>1524</v>
      </c>
      <c r="G214" s="2" t="s">
        <v>1525</v>
      </c>
      <c r="H214" s="2"/>
      <c r="I214" s="156" t="str">
        <f t="shared" si="11"/>
        <v/>
      </c>
      <c r="J214" s="156"/>
      <c r="K214" s="156"/>
      <c r="L214" s="2" t="s">
        <v>1523</v>
      </c>
      <c r="M214" s="157" t="str">
        <f t="shared" si="12"/>
        <v>К04500015</v>
      </c>
      <c r="N214" s="161" t="s">
        <v>3637</v>
      </c>
      <c r="O214" s="4" t="s">
        <v>1508</v>
      </c>
      <c r="P214" s="1"/>
      <c r="U214" s="1"/>
      <c r="V214" s="4"/>
      <c r="W214" s="3"/>
    </row>
    <row r="215" spans="1:23" x14ac:dyDescent="0.25">
      <c r="A215" s="154"/>
      <c r="B215" s="1"/>
      <c r="C215" s="1"/>
      <c r="D215" s="567">
        <v>176</v>
      </c>
      <c r="E215" s="3" t="s">
        <v>1520</v>
      </c>
      <c r="F215" s="3" t="s">
        <v>1524</v>
      </c>
      <c r="G215" s="2" t="s">
        <v>1552</v>
      </c>
      <c r="H215" s="2"/>
      <c r="I215" s="156" t="str">
        <f t="shared" si="11"/>
        <v/>
      </c>
      <c r="J215" s="156"/>
      <c r="K215" s="156"/>
      <c r="L215" s="2" t="s">
        <v>1553</v>
      </c>
      <c r="M215" s="157" t="str">
        <f t="shared" si="12"/>
        <v>К08104154</v>
      </c>
      <c r="N215" s="161" t="s">
        <v>3637</v>
      </c>
      <c r="O215" s="4" t="s">
        <v>1220</v>
      </c>
      <c r="P215" s="1"/>
      <c r="U215" s="1"/>
      <c r="V215" s="4"/>
      <c r="W215" s="3"/>
    </row>
    <row r="216" spans="1:23" x14ac:dyDescent="0.25">
      <c r="A216" s="154"/>
      <c r="B216" s="1"/>
      <c r="C216" s="1"/>
      <c r="D216" s="567">
        <v>177</v>
      </c>
      <c r="E216" s="3" t="s">
        <v>1520</v>
      </c>
      <c r="F216" s="3" t="s">
        <v>1521</v>
      </c>
      <c r="G216" s="2" t="s">
        <v>1550</v>
      </c>
      <c r="H216" s="2"/>
      <c r="I216" s="156" t="str">
        <f t="shared" si="11"/>
        <v/>
      </c>
      <c r="J216" s="156"/>
      <c r="K216" s="156"/>
      <c r="L216" s="2" t="s">
        <v>1551</v>
      </c>
      <c r="M216" s="157" t="str">
        <f t="shared" si="12"/>
        <v>К08104175</v>
      </c>
      <c r="N216" s="161" t="s">
        <v>3637</v>
      </c>
      <c r="O216" s="4" t="s">
        <v>1220</v>
      </c>
      <c r="P216" s="1"/>
      <c r="U216" s="1"/>
      <c r="V216" s="4"/>
      <c r="W216" s="3"/>
    </row>
    <row r="217" spans="1:23" x14ac:dyDescent="0.25">
      <c r="A217" s="154"/>
      <c r="B217" s="1"/>
      <c r="C217" s="1"/>
      <c r="D217" s="567">
        <v>178</v>
      </c>
      <c r="E217" s="3" t="s">
        <v>24</v>
      </c>
      <c r="F217" s="3" t="s">
        <v>37</v>
      </c>
      <c r="G217" s="2" t="s">
        <v>1455</v>
      </c>
      <c r="H217" s="2"/>
      <c r="I217" s="156" t="str">
        <f t="shared" si="11"/>
        <v/>
      </c>
      <c r="J217" s="156"/>
      <c r="K217" s="156"/>
      <c r="L217" s="2" t="s">
        <v>1456</v>
      </c>
      <c r="M217" s="157" t="str">
        <f t="shared" si="12"/>
        <v>К08105172</v>
      </c>
      <c r="N217" s="161" t="s">
        <v>3637</v>
      </c>
      <c r="O217" s="4" t="s">
        <v>1422</v>
      </c>
      <c r="P217" s="1"/>
      <c r="U217" s="1"/>
      <c r="V217" s="4"/>
      <c r="W217" s="3"/>
    </row>
    <row r="218" spans="1:23" x14ac:dyDescent="0.25">
      <c r="A218" s="154"/>
      <c r="B218" s="1"/>
      <c r="C218" s="1"/>
      <c r="D218" s="567">
        <v>194</v>
      </c>
      <c r="E218" s="3" t="s">
        <v>2322</v>
      </c>
      <c r="F218" s="3" t="s">
        <v>1482</v>
      </c>
      <c r="G218" s="2" t="s">
        <v>1478</v>
      </c>
      <c r="H218" s="2"/>
      <c r="I218" s="156" t="str">
        <f t="shared" ref="I218:I248" si="13">RIGHT(H218,4)</f>
        <v/>
      </c>
      <c r="J218" s="156"/>
      <c r="K218" s="156"/>
      <c r="L218" s="2" t="s">
        <v>1483</v>
      </c>
      <c r="M218" s="157" t="str">
        <f t="shared" si="12"/>
        <v>К08102608_2</v>
      </c>
      <c r="N218" s="161" t="s">
        <v>3637</v>
      </c>
      <c r="O218" s="4" t="s">
        <v>1468</v>
      </c>
      <c r="P218" s="1"/>
      <c r="U218" s="1"/>
      <c r="V218" s="4"/>
      <c r="W218" s="3"/>
    </row>
    <row r="219" spans="1:23" x14ac:dyDescent="0.25">
      <c r="A219" s="154"/>
      <c r="B219" s="1"/>
      <c r="C219" s="1"/>
      <c r="D219" s="567">
        <v>195</v>
      </c>
      <c r="E219" s="3" t="s">
        <v>2322</v>
      </c>
      <c r="F219" s="3" t="s">
        <v>1482</v>
      </c>
      <c r="G219" s="2" t="s">
        <v>1484</v>
      </c>
      <c r="H219" s="2"/>
      <c r="I219" s="156" t="str">
        <f t="shared" si="13"/>
        <v/>
      </c>
      <c r="J219" s="156"/>
      <c r="K219" s="156"/>
      <c r="L219" s="2"/>
      <c r="M219" s="157" t="str">
        <f t="shared" si="12"/>
        <v>К</v>
      </c>
      <c r="N219" s="161" t="s">
        <v>3637</v>
      </c>
      <c r="O219" s="4" t="s">
        <v>1468</v>
      </c>
      <c r="P219" s="1"/>
      <c r="U219" s="1"/>
      <c r="V219" s="4"/>
      <c r="W219" s="3"/>
    </row>
    <row r="220" spans="1:23" x14ac:dyDescent="0.25">
      <c r="A220" s="154"/>
      <c r="B220" s="153" t="s">
        <v>3552</v>
      </c>
      <c r="C220" s="153"/>
      <c r="D220" s="567">
        <v>196</v>
      </c>
      <c r="E220" s="161" t="s">
        <v>3632</v>
      </c>
      <c r="F220" s="3"/>
      <c r="G220" s="2"/>
      <c r="H220" s="2"/>
      <c r="I220" s="156" t="str">
        <f t="shared" si="13"/>
        <v/>
      </c>
      <c r="J220" s="156"/>
      <c r="K220" s="156"/>
      <c r="L220" s="2"/>
      <c r="M220" s="157" t="str">
        <f t="shared" si="12"/>
        <v>К</v>
      </c>
      <c r="N220" s="161" t="s">
        <v>3637</v>
      </c>
      <c r="O220" s="4"/>
      <c r="P220" s="1"/>
      <c r="U220" s="1"/>
      <c r="V220" s="4"/>
      <c r="W220" s="3"/>
    </row>
    <row r="221" spans="1:23" x14ac:dyDescent="0.25">
      <c r="A221" s="154"/>
      <c r="B221" s="153" t="s">
        <v>3638</v>
      </c>
      <c r="C221" s="153"/>
      <c r="D221" s="567">
        <v>197</v>
      </c>
      <c r="E221" s="161" t="s">
        <v>3632</v>
      </c>
      <c r="F221" s="3"/>
      <c r="G221" s="2"/>
      <c r="H221" s="2"/>
      <c r="I221" s="156" t="str">
        <f t="shared" si="13"/>
        <v/>
      </c>
      <c r="J221" s="156"/>
      <c r="K221" s="156"/>
      <c r="L221" s="2"/>
      <c r="M221" s="157" t="str">
        <f t="shared" si="12"/>
        <v>К</v>
      </c>
      <c r="N221" s="161" t="s">
        <v>3637</v>
      </c>
      <c r="O221" s="4"/>
      <c r="P221" s="1"/>
      <c r="U221" s="1"/>
      <c r="V221" s="4"/>
      <c r="W221" s="3"/>
    </row>
    <row r="222" spans="1:23" x14ac:dyDescent="0.25">
      <c r="A222" s="154"/>
      <c r="B222" s="153" t="s">
        <v>3639</v>
      </c>
      <c r="C222" s="153"/>
      <c r="D222" s="567">
        <v>198</v>
      </c>
      <c r="E222" s="161" t="s">
        <v>3632</v>
      </c>
      <c r="F222" s="3"/>
      <c r="G222" s="2"/>
      <c r="H222" s="2"/>
      <c r="I222" s="156" t="str">
        <f t="shared" si="13"/>
        <v/>
      </c>
      <c r="J222" s="156"/>
      <c r="K222" s="156"/>
      <c r="L222" s="2"/>
      <c r="M222" s="157" t="str">
        <f t="shared" si="12"/>
        <v>К</v>
      </c>
      <c r="N222" s="161" t="s">
        <v>3637</v>
      </c>
      <c r="O222" s="4"/>
      <c r="P222" s="1"/>
      <c r="U222" s="1"/>
      <c r="V222" s="4"/>
      <c r="W222" s="3"/>
    </row>
    <row r="223" spans="1:23" x14ac:dyDescent="0.25">
      <c r="A223" s="154">
        <v>119</v>
      </c>
      <c r="B223" s="1"/>
      <c r="C223" s="1"/>
      <c r="D223" s="567">
        <v>199</v>
      </c>
      <c r="E223" s="3" t="s">
        <v>1469</v>
      </c>
      <c r="F223" s="3"/>
      <c r="G223" s="2" t="s">
        <v>1470</v>
      </c>
      <c r="H223" s="2"/>
      <c r="I223" s="156" t="str">
        <f t="shared" si="13"/>
        <v/>
      </c>
      <c r="J223" s="156"/>
      <c r="K223" s="156"/>
      <c r="L223" s="2"/>
      <c r="M223" s="157" t="str">
        <f t="shared" si="12"/>
        <v>К</v>
      </c>
      <c r="N223" s="161" t="s">
        <v>3637</v>
      </c>
      <c r="O223" s="4" t="s">
        <v>1468</v>
      </c>
      <c r="P223" s="1">
        <v>22</v>
      </c>
      <c r="U223" s="1"/>
      <c r="V223" s="4"/>
      <c r="W223" s="3"/>
    </row>
    <row r="224" spans="1:23" x14ac:dyDescent="0.25">
      <c r="A224" s="158">
        <v>120</v>
      </c>
      <c r="B224" s="1"/>
      <c r="C224" s="1"/>
      <c r="D224" s="567">
        <v>200</v>
      </c>
      <c r="E224" s="3" t="s">
        <v>1469</v>
      </c>
      <c r="F224" s="3" t="s">
        <v>1565</v>
      </c>
      <c r="G224" s="2" t="s">
        <v>1566</v>
      </c>
      <c r="H224" s="2"/>
      <c r="I224" s="156" t="str">
        <f t="shared" si="13"/>
        <v/>
      </c>
      <c r="J224" s="156"/>
      <c r="K224" s="156"/>
      <c r="L224" s="2"/>
      <c r="M224" s="157" t="str">
        <f t="shared" si="12"/>
        <v>К</v>
      </c>
      <c r="N224" s="161" t="s">
        <v>3637</v>
      </c>
      <c r="O224" s="4" t="s">
        <v>1564</v>
      </c>
      <c r="P224" s="1">
        <v>24</v>
      </c>
      <c r="U224" s="1"/>
      <c r="V224" s="4"/>
      <c r="W224" s="3"/>
    </row>
    <row r="225" spans="1:23" x14ac:dyDescent="0.25">
      <c r="A225" s="154">
        <v>121</v>
      </c>
      <c r="B225" s="1"/>
      <c r="C225" s="1"/>
      <c r="D225" s="567">
        <v>201</v>
      </c>
      <c r="E225" s="3" t="s">
        <v>1469</v>
      </c>
      <c r="F225" s="3" t="s">
        <v>1680</v>
      </c>
      <c r="G225" s="2" t="s">
        <v>1681</v>
      </c>
      <c r="H225" s="2"/>
      <c r="I225" s="156" t="str">
        <f t="shared" si="13"/>
        <v/>
      </c>
      <c r="J225" s="156"/>
      <c r="K225" s="156"/>
      <c r="L225" s="2"/>
      <c r="M225" s="157" t="str">
        <f t="shared" si="12"/>
        <v>К</v>
      </c>
      <c r="N225" s="161" t="s">
        <v>3637</v>
      </c>
      <c r="O225" s="4" t="s">
        <v>1679</v>
      </c>
      <c r="P225" s="1">
        <v>23</v>
      </c>
      <c r="U225" s="1"/>
      <c r="V225" s="4"/>
      <c r="W225" s="3"/>
    </row>
    <row r="226" spans="1:23" x14ac:dyDescent="0.25">
      <c r="A226" s="158">
        <v>122</v>
      </c>
      <c r="B226" s="1"/>
      <c r="C226" s="1"/>
      <c r="D226" s="567">
        <v>202</v>
      </c>
      <c r="E226" s="3" t="s">
        <v>1476</v>
      </c>
      <c r="F226" s="3" t="s">
        <v>1477</v>
      </c>
      <c r="G226" s="2" t="s">
        <v>1478</v>
      </c>
      <c r="H226" s="2"/>
      <c r="I226" s="156" t="str">
        <f t="shared" si="13"/>
        <v/>
      </c>
      <c r="J226" s="156"/>
      <c r="K226" s="156"/>
      <c r="L226" s="2"/>
      <c r="M226" s="157" t="str">
        <f t="shared" si="12"/>
        <v>К</v>
      </c>
      <c r="N226" s="161" t="s">
        <v>3637</v>
      </c>
      <c r="O226" s="4" t="s">
        <v>1468</v>
      </c>
      <c r="P226" s="1"/>
      <c r="U226" s="1"/>
      <c r="V226" s="4"/>
      <c r="W226" s="3"/>
    </row>
    <row r="227" spans="1:23" x14ac:dyDescent="0.25">
      <c r="A227" s="154">
        <v>123</v>
      </c>
      <c r="B227" s="1"/>
      <c r="C227" s="1"/>
      <c r="D227" s="567">
        <v>203</v>
      </c>
      <c r="E227" s="3" t="s">
        <v>1476</v>
      </c>
      <c r="F227" s="3" t="s">
        <v>1477</v>
      </c>
      <c r="G227" s="2">
        <v>822536</v>
      </c>
      <c r="H227" s="2"/>
      <c r="I227" s="156" t="str">
        <f t="shared" si="13"/>
        <v/>
      </c>
      <c r="J227" s="156"/>
      <c r="K227" s="156"/>
      <c r="L227" s="2"/>
      <c r="M227" s="157" t="str">
        <f t="shared" si="12"/>
        <v>К</v>
      </c>
      <c r="N227" s="161" t="s">
        <v>3637</v>
      </c>
      <c r="O227" s="4" t="s">
        <v>1468</v>
      </c>
      <c r="P227" s="1"/>
      <c r="U227" s="1"/>
      <c r="V227" s="4"/>
      <c r="W227" s="3"/>
    </row>
    <row r="228" spans="1:23" x14ac:dyDescent="0.25">
      <c r="A228" s="158">
        <v>218</v>
      </c>
      <c r="B228" s="1"/>
      <c r="C228" s="1"/>
      <c r="D228" s="567">
        <v>206</v>
      </c>
      <c r="E228" s="3" t="s">
        <v>1530</v>
      </c>
      <c r="F228" s="3" t="s">
        <v>1531</v>
      </c>
      <c r="G228" s="2" t="s">
        <v>1532</v>
      </c>
      <c r="H228" s="2"/>
      <c r="I228" s="156" t="str">
        <f t="shared" si="13"/>
        <v/>
      </c>
      <c r="J228" s="156"/>
      <c r="K228" s="156"/>
      <c r="L228" s="2" t="s">
        <v>1533</v>
      </c>
      <c r="M228" s="157" t="str">
        <f t="shared" si="12"/>
        <v>К08102425_3</v>
      </c>
      <c r="N228" s="161" t="s">
        <v>3637</v>
      </c>
      <c r="O228" s="4" t="s">
        <v>1508</v>
      </c>
      <c r="P228" s="1"/>
      <c r="U228" s="1"/>
      <c r="V228" s="4"/>
      <c r="W228" s="3"/>
    </row>
    <row r="229" spans="1:23" x14ac:dyDescent="0.25">
      <c r="A229" s="154">
        <v>219</v>
      </c>
      <c r="B229" s="1"/>
      <c r="C229" s="1"/>
      <c r="D229" s="567">
        <v>209</v>
      </c>
      <c r="E229" s="3" t="s">
        <v>1629</v>
      </c>
      <c r="F229" s="3" t="s">
        <v>1635</v>
      </c>
      <c r="G229" s="2" t="s">
        <v>1636</v>
      </c>
      <c r="H229" s="2"/>
      <c r="I229" s="156" t="str">
        <f t="shared" si="13"/>
        <v/>
      </c>
      <c r="J229" s="156"/>
      <c r="K229" s="156"/>
      <c r="L229" s="2" t="s">
        <v>1637</v>
      </c>
      <c r="M229" s="157" t="str">
        <f t="shared" si="12"/>
        <v>К0450025</v>
      </c>
      <c r="N229" s="161" t="s">
        <v>3637</v>
      </c>
      <c r="O229" s="4" t="s">
        <v>1564</v>
      </c>
      <c r="P229" s="1"/>
      <c r="U229" s="1"/>
      <c r="V229" s="4"/>
      <c r="W229" s="3"/>
    </row>
    <row r="230" spans="1:23" x14ac:dyDescent="0.25">
      <c r="A230" s="158">
        <v>220</v>
      </c>
      <c r="B230" s="1"/>
      <c r="C230" s="1"/>
      <c r="D230" s="567">
        <v>214</v>
      </c>
      <c r="E230" s="3" t="s">
        <v>1457</v>
      </c>
      <c r="F230" s="3" t="s">
        <v>1461</v>
      </c>
      <c r="G230" s="2"/>
      <c r="H230" s="2"/>
      <c r="I230" s="156" t="str">
        <f t="shared" si="13"/>
        <v/>
      </c>
      <c r="J230" s="156"/>
      <c r="K230" s="156"/>
      <c r="L230" s="2"/>
      <c r="M230" s="157" t="str">
        <f t="shared" si="12"/>
        <v>К</v>
      </c>
      <c r="N230" s="161" t="s">
        <v>3637</v>
      </c>
      <c r="O230" s="4" t="s">
        <v>1671</v>
      </c>
      <c r="P230" s="1"/>
      <c r="U230" s="1"/>
      <c r="V230" s="4"/>
      <c r="W230" s="3"/>
    </row>
    <row r="231" spans="1:23" x14ac:dyDescent="0.25">
      <c r="A231" s="154">
        <v>221</v>
      </c>
      <c r="B231" s="1"/>
      <c r="C231" s="1"/>
      <c r="D231" s="567">
        <v>228</v>
      </c>
      <c r="E231" s="3" t="s">
        <v>503</v>
      </c>
      <c r="F231" s="3" t="s">
        <v>1499</v>
      </c>
      <c r="G231" s="2" t="s">
        <v>1500</v>
      </c>
      <c r="H231" s="2"/>
      <c r="I231" s="156" t="str">
        <f t="shared" si="13"/>
        <v/>
      </c>
      <c r="J231" s="156"/>
      <c r="K231" s="156"/>
      <c r="L231" s="2"/>
      <c r="M231" s="157" t="str">
        <f t="shared" si="12"/>
        <v>К</v>
      </c>
      <c r="N231" s="161" t="s">
        <v>3637</v>
      </c>
      <c r="O231" s="4" t="s">
        <v>1489</v>
      </c>
      <c r="P231" s="1"/>
      <c r="U231" s="1"/>
      <c r="V231" s="4"/>
      <c r="W231" s="3"/>
    </row>
    <row r="232" spans="1:23" x14ac:dyDescent="0.25">
      <c r="A232" s="158">
        <v>222</v>
      </c>
      <c r="B232" s="1"/>
      <c r="C232" s="1"/>
      <c r="D232" s="567">
        <v>231</v>
      </c>
      <c r="E232" s="3" t="s">
        <v>503</v>
      </c>
      <c r="F232" s="3" t="s">
        <v>1499</v>
      </c>
      <c r="G232" s="2" t="s">
        <v>1705</v>
      </c>
      <c r="H232" s="2"/>
      <c r="I232" s="156" t="str">
        <f t="shared" si="13"/>
        <v/>
      </c>
      <c r="J232" s="156"/>
      <c r="K232" s="156"/>
      <c r="L232" s="2" t="s">
        <v>1706</v>
      </c>
      <c r="M232" s="157" t="str">
        <f t="shared" si="12"/>
        <v>К08102625_2</v>
      </c>
      <c r="N232" s="161" t="s">
        <v>3637</v>
      </c>
      <c r="O232" s="4" t="s">
        <v>1679</v>
      </c>
      <c r="P232" s="1"/>
      <c r="U232" s="1"/>
      <c r="V232" s="4"/>
      <c r="W232" s="3"/>
    </row>
    <row r="233" spans="1:23" x14ac:dyDescent="0.25">
      <c r="A233" s="158">
        <v>124</v>
      </c>
      <c r="B233" s="1"/>
      <c r="C233" s="1"/>
      <c r="D233" s="567">
        <v>233</v>
      </c>
      <c r="E233" s="3" t="s">
        <v>503</v>
      </c>
      <c r="F233" s="3" t="s">
        <v>1499</v>
      </c>
      <c r="G233" s="2" t="s">
        <v>1707</v>
      </c>
      <c r="H233" s="2"/>
      <c r="I233" s="156" t="str">
        <f t="shared" si="13"/>
        <v/>
      </c>
      <c r="J233" s="156"/>
      <c r="K233" s="156"/>
      <c r="L233" s="2" t="s">
        <v>1708</v>
      </c>
      <c r="M233" s="157" t="str">
        <f t="shared" si="12"/>
        <v>К7240000611</v>
      </c>
      <c r="N233" s="161" t="s">
        <v>3637</v>
      </c>
      <c r="O233" s="4" t="s">
        <v>1679</v>
      </c>
      <c r="P233" s="1"/>
      <c r="U233" s="1"/>
      <c r="V233" s="4"/>
      <c r="W233" s="3"/>
    </row>
    <row r="234" spans="1:23" x14ac:dyDescent="0.25">
      <c r="A234" s="154">
        <v>195</v>
      </c>
      <c r="B234" s="1"/>
      <c r="C234" s="1"/>
      <c r="D234" s="567">
        <v>234</v>
      </c>
      <c r="E234" s="3"/>
      <c r="F234" s="468" t="s">
        <v>2365</v>
      </c>
      <c r="G234" s="2" t="s">
        <v>1490</v>
      </c>
      <c r="H234" s="2"/>
      <c r="I234" s="156" t="str">
        <f t="shared" si="13"/>
        <v/>
      </c>
      <c r="J234" s="156"/>
      <c r="K234" s="156"/>
      <c r="L234" s="2"/>
      <c r="M234" s="157" t="str">
        <f t="shared" si="12"/>
        <v>К</v>
      </c>
      <c r="N234" s="161" t="s">
        <v>3637</v>
      </c>
      <c r="O234" s="4" t="s">
        <v>1489</v>
      </c>
      <c r="P234" s="1">
        <v>25</v>
      </c>
      <c r="U234" s="1"/>
      <c r="V234" s="4"/>
      <c r="W234" s="3"/>
    </row>
    <row r="235" spans="1:23" x14ac:dyDescent="0.25">
      <c r="A235" s="158">
        <v>230</v>
      </c>
      <c r="B235" s="1"/>
      <c r="C235" s="1"/>
      <c r="D235" s="567">
        <v>235</v>
      </c>
      <c r="E235" s="3"/>
      <c r="F235" s="468" t="s">
        <v>1648</v>
      </c>
      <c r="G235" s="2" t="s">
        <v>1649</v>
      </c>
      <c r="H235" s="2"/>
      <c r="I235" s="156" t="str">
        <f t="shared" si="13"/>
        <v/>
      </c>
      <c r="J235" s="156"/>
      <c r="K235" s="156"/>
      <c r="L235" s="2" t="s">
        <v>1650</v>
      </c>
      <c r="M235" s="157" t="str">
        <f t="shared" si="12"/>
        <v>К01350021</v>
      </c>
      <c r="N235" s="161" t="s">
        <v>3637</v>
      </c>
      <c r="O235" s="4" t="s">
        <v>1564</v>
      </c>
      <c r="P235" s="1"/>
      <c r="U235" s="1"/>
      <c r="V235" s="4"/>
      <c r="W235" s="3"/>
    </row>
    <row r="236" spans="1:23" x14ac:dyDescent="0.25">
      <c r="A236" s="154">
        <v>227</v>
      </c>
      <c r="B236" s="136" t="s">
        <v>3552</v>
      </c>
      <c r="C236" s="136"/>
      <c r="D236" s="567">
        <v>236</v>
      </c>
      <c r="E236" s="137" t="s">
        <v>3572</v>
      </c>
      <c r="F236" s="137" t="s">
        <v>5534</v>
      </c>
      <c r="G236" s="461" t="s">
        <v>5535</v>
      </c>
      <c r="H236" s="461" t="s">
        <v>90</v>
      </c>
      <c r="I236" s="156" t="str">
        <f t="shared" si="13"/>
        <v>2008</v>
      </c>
      <c r="J236" s="156"/>
      <c r="K236" s="156"/>
      <c r="L236" s="2"/>
      <c r="M236" s="157" t="str">
        <f t="shared" si="12"/>
        <v>К</v>
      </c>
      <c r="N236" s="3" t="s">
        <v>1716</v>
      </c>
      <c r="O236" s="483" t="s">
        <v>5537</v>
      </c>
      <c r="P236" s="1"/>
      <c r="U236" s="1"/>
      <c r="V236" s="4"/>
      <c r="W236" s="3"/>
    </row>
    <row r="237" spans="1:23" x14ac:dyDescent="0.25">
      <c r="A237" s="158">
        <v>228</v>
      </c>
      <c r="B237" s="1"/>
      <c r="C237" s="457" t="s">
        <v>3034</v>
      </c>
      <c r="D237" s="567">
        <v>237</v>
      </c>
      <c r="E237" s="3" t="s">
        <v>499</v>
      </c>
      <c r="F237" s="468" t="s">
        <v>5534</v>
      </c>
      <c r="G237" s="2" t="s">
        <v>5535</v>
      </c>
      <c r="H237" s="2" t="s">
        <v>90</v>
      </c>
      <c r="I237" s="156" t="str">
        <f t="shared" si="13"/>
        <v>2008</v>
      </c>
      <c r="J237" s="156">
        <v>2008</v>
      </c>
      <c r="K237" s="156"/>
      <c r="L237" s="2" t="s">
        <v>1722</v>
      </c>
      <c r="M237" s="157" t="str">
        <f t="shared" si="12"/>
        <v>К04700253</v>
      </c>
      <c r="N237" s="3" t="s">
        <v>1716</v>
      </c>
      <c r="O237" s="4" t="s">
        <v>985</v>
      </c>
      <c r="P237" s="1"/>
      <c r="U237" s="1"/>
      <c r="V237" s="4"/>
      <c r="W237" s="3"/>
    </row>
    <row r="238" spans="1:23" x14ac:dyDescent="0.25">
      <c r="A238" s="158">
        <v>226</v>
      </c>
      <c r="B238" s="1"/>
      <c r="C238" s="457" t="s">
        <v>3034</v>
      </c>
      <c r="D238" s="567">
        <v>238</v>
      </c>
      <c r="E238" s="3" t="s">
        <v>499</v>
      </c>
      <c r="F238" s="468" t="s">
        <v>2061</v>
      </c>
      <c r="G238" s="2" t="s">
        <v>1724</v>
      </c>
      <c r="H238" s="469" t="s">
        <v>159</v>
      </c>
      <c r="I238" s="156" t="str">
        <f t="shared" si="13"/>
        <v>2012</v>
      </c>
      <c r="J238" s="156">
        <v>2012</v>
      </c>
      <c r="K238" s="156"/>
      <c r="L238" s="2" t="s">
        <v>1725</v>
      </c>
      <c r="M238" s="157" t="str">
        <f t="shared" si="12"/>
        <v>К101350023</v>
      </c>
      <c r="N238" s="3" t="s">
        <v>1716</v>
      </c>
      <c r="O238" s="4" t="s">
        <v>985</v>
      </c>
      <c r="P238" s="1"/>
      <c r="U238" s="1"/>
      <c r="V238" s="4"/>
      <c r="W238" s="3"/>
    </row>
    <row r="239" spans="1:23" x14ac:dyDescent="0.25">
      <c r="A239" s="154">
        <v>229</v>
      </c>
      <c r="B239" s="456" t="s">
        <v>3552</v>
      </c>
      <c r="C239" s="457" t="s">
        <v>3693</v>
      </c>
      <c r="D239" s="154">
        <v>255</v>
      </c>
      <c r="E239" s="3" t="s">
        <v>444</v>
      </c>
      <c r="F239" s="170" t="s">
        <v>445</v>
      </c>
      <c r="G239" s="2" t="s">
        <v>672</v>
      </c>
      <c r="H239" s="171" t="s">
        <v>464</v>
      </c>
      <c r="I239" s="156" t="str">
        <f t="shared" si="13"/>
        <v>2006</v>
      </c>
      <c r="J239" s="156">
        <v>2006</v>
      </c>
      <c r="K239" s="156"/>
      <c r="L239" s="2" t="s">
        <v>673</v>
      </c>
      <c r="M239" s="157" t="str">
        <f t="shared" si="12"/>
        <v>К04700164</v>
      </c>
      <c r="N239" s="482" t="s">
        <v>1186</v>
      </c>
      <c r="O239" s="4" t="s">
        <v>515</v>
      </c>
      <c r="P239" s="1"/>
      <c r="R239" s="170" t="s">
        <v>3740</v>
      </c>
      <c r="S239" s="455" t="s">
        <v>3741</v>
      </c>
      <c r="U239" s="1"/>
      <c r="V239" s="4" t="s">
        <v>732</v>
      </c>
      <c r="W239" s="3"/>
    </row>
    <row r="240" spans="1:23" x14ac:dyDescent="0.25">
      <c r="B240" s="457" t="s">
        <v>3687</v>
      </c>
      <c r="C240" s="457" t="s">
        <v>3034</v>
      </c>
      <c r="D240" s="567">
        <v>239</v>
      </c>
      <c r="E240" s="3" t="s">
        <v>2010</v>
      </c>
      <c r="F240" s="3" t="s">
        <v>1713</v>
      </c>
      <c r="G240" s="2" t="s">
        <v>1714</v>
      </c>
      <c r="H240" s="470" t="s">
        <v>159</v>
      </c>
      <c r="I240" s="156" t="str">
        <f t="shared" si="13"/>
        <v>2012</v>
      </c>
      <c r="J240" s="156">
        <v>2012</v>
      </c>
      <c r="K240" s="169" t="s">
        <v>3680</v>
      </c>
      <c r="L240" s="2" t="s">
        <v>1715</v>
      </c>
      <c r="M240" s="157" t="str">
        <f t="shared" si="12"/>
        <v>К08104052</v>
      </c>
      <c r="N240" s="3" t="s">
        <v>1716</v>
      </c>
      <c r="O240" s="4" t="s">
        <v>1717</v>
      </c>
      <c r="P240" s="1"/>
    </row>
    <row r="241" spans="1:23" x14ac:dyDescent="0.25">
      <c r="A241" s="154">
        <v>741</v>
      </c>
      <c r="B241" s="456" t="s">
        <v>3552</v>
      </c>
      <c r="C241" s="457" t="s">
        <v>3034</v>
      </c>
      <c r="D241" s="158">
        <v>284</v>
      </c>
      <c r="E241" s="494" t="s">
        <v>325</v>
      </c>
      <c r="F241" s="494" t="s">
        <v>1936</v>
      </c>
      <c r="G241" s="2"/>
      <c r="H241" s="583" t="s">
        <v>90</v>
      </c>
      <c r="I241" s="156" t="str">
        <f t="shared" si="13"/>
        <v>2008</v>
      </c>
      <c r="J241" s="156">
        <v>2008</v>
      </c>
      <c r="K241" s="156"/>
      <c r="L241" s="589" t="s">
        <v>5627</v>
      </c>
      <c r="M241" s="157" t="str">
        <f t="shared" si="12"/>
        <v>К08102395_3</v>
      </c>
      <c r="N241" s="482" t="s">
        <v>1186</v>
      </c>
      <c r="O241" s="177" t="s">
        <v>1076</v>
      </c>
      <c r="P241" s="1"/>
      <c r="U241" s="1"/>
      <c r="V241" s="4"/>
      <c r="W241" s="3"/>
    </row>
    <row r="242" spans="1:23" x14ac:dyDescent="0.25">
      <c r="A242" s="154">
        <v>475</v>
      </c>
      <c r="B242" s="457"/>
      <c r="C242" s="457" t="s">
        <v>3034</v>
      </c>
      <c r="D242" s="567">
        <v>240</v>
      </c>
      <c r="E242" s="3" t="s">
        <v>2010</v>
      </c>
      <c r="F242" s="3" t="s">
        <v>1713</v>
      </c>
      <c r="G242" s="2" t="s">
        <v>1718</v>
      </c>
      <c r="H242" s="2">
        <v>2016</v>
      </c>
      <c r="I242" s="156" t="str">
        <f t="shared" si="13"/>
        <v>2016</v>
      </c>
      <c r="J242" s="156">
        <v>2016</v>
      </c>
      <c r="K242" s="169" t="s">
        <v>3682</v>
      </c>
      <c r="L242" s="2" t="s">
        <v>1719</v>
      </c>
      <c r="M242" s="157" t="str">
        <f t="shared" ref="M242:M261" si="14">CONCATENATE("К",L242)</f>
        <v>К7360000339</v>
      </c>
      <c r="N242" s="3" t="s">
        <v>1716</v>
      </c>
      <c r="O242" s="4" t="s">
        <v>985</v>
      </c>
      <c r="P242" s="1"/>
      <c r="T242" s="491" t="s">
        <v>3673</v>
      </c>
      <c r="W242" s="3"/>
    </row>
    <row r="243" spans="1:23" x14ac:dyDescent="0.25">
      <c r="A243" s="154">
        <v>469</v>
      </c>
      <c r="B243" s="1"/>
      <c r="C243" s="457" t="s">
        <v>3693</v>
      </c>
      <c r="D243" s="154">
        <v>239</v>
      </c>
      <c r="E243" s="3" t="s">
        <v>512</v>
      </c>
      <c r="F243" s="3" t="s">
        <v>514</v>
      </c>
      <c r="G243" s="545" t="s">
        <v>730</v>
      </c>
      <c r="H243" s="469" t="s">
        <v>79</v>
      </c>
      <c r="I243" s="156" t="str">
        <f t="shared" si="13"/>
        <v>2009</v>
      </c>
      <c r="J243" s="156">
        <v>2009</v>
      </c>
      <c r="K243" s="156"/>
      <c r="L243" s="2" t="s">
        <v>731</v>
      </c>
      <c r="M243" s="157" t="str">
        <f t="shared" si="14"/>
        <v>К08103088_2</v>
      </c>
      <c r="N243" s="482" t="s">
        <v>1186</v>
      </c>
      <c r="O243" s="483" t="s">
        <v>3767</v>
      </c>
      <c r="P243" s="1"/>
      <c r="R243" s="295" t="s">
        <v>3971</v>
      </c>
      <c r="S243" s="310">
        <v>40525</v>
      </c>
      <c r="T243" s="492" t="s">
        <v>3672</v>
      </c>
      <c r="W243" s="3"/>
    </row>
    <row r="244" spans="1:23" x14ac:dyDescent="0.25">
      <c r="A244" s="158">
        <v>470</v>
      </c>
      <c r="B244" s="456" t="s">
        <v>3552</v>
      </c>
      <c r="C244" s="457" t="s">
        <v>3693</v>
      </c>
      <c r="D244" s="158">
        <v>246</v>
      </c>
      <c r="E244" s="3" t="s">
        <v>370</v>
      </c>
      <c r="F244" s="3" t="s">
        <v>608</v>
      </c>
      <c r="G244" s="469" t="s">
        <v>5572</v>
      </c>
      <c r="H244" s="471" t="s">
        <v>47</v>
      </c>
      <c r="I244" s="156" t="str">
        <f t="shared" si="13"/>
        <v>2010</v>
      </c>
      <c r="J244" s="156">
        <v>2010</v>
      </c>
      <c r="K244" s="156"/>
      <c r="L244" s="2"/>
      <c r="M244" s="157" t="str">
        <f t="shared" si="14"/>
        <v>К</v>
      </c>
      <c r="N244" s="482" t="s">
        <v>1186</v>
      </c>
      <c r="O244" s="4" t="s">
        <v>515</v>
      </c>
      <c r="P244" s="1"/>
      <c r="U244" s="1"/>
      <c r="V244" s="4"/>
      <c r="W244" s="3"/>
    </row>
    <row r="245" spans="1:23" x14ac:dyDescent="0.25">
      <c r="A245" s="158">
        <v>490</v>
      </c>
      <c r="B245" s="1"/>
      <c r="C245" s="457" t="s">
        <v>3034</v>
      </c>
      <c r="D245" s="154">
        <v>267</v>
      </c>
      <c r="E245" s="3" t="s">
        <v>24</v>
      </c>
      <c r="F245" s="3" t="s">
        <v>37</v>
      </c>
      <c r="G245" s="2" t="s">
        <v>1831</v>
      </c>
      <c r="H245" s="583" t="s">
        <v>47</v>
      </c>
      <c r="I245" s="156" t="str">
        <f t="shared" si="13"/>
        <v>2010</v>
      </c>
      <c r="J245" s="156"/>
      <c r="K245" s="156"/>
      <c r="L245" s="2"/>
      <c r="M245" s="157" t="str">
        <f t="shared" si="14"/>
        <v>К</v>
      </c>
      <c r="N245" s="482" t="s">
        <v>1186</v>
      </c>
      <c r="O245" s="4" t="s">
        <v>515</v>
      </c>
      <c r="P245" s="1"/>
      <c r="U245" s="1"/>
      <c r="V245" s="4"/>
      <c r="W245" s="3"/>
    </row>
    <row r="246" spans="1:23" x14ac:dyDescent="0.25">
      <c r="A246" s="158">
        <v>476</v>
      </c>
      <c r="B246" s="1"/>
      <c r="C246" s="457" t="s">
        <v>3034</v>
      </c>
      <c r="D246" s="158">
        <v>276</v>
      </c>
      <c r="E246" s="3" t="s">
        <v>499</v>
      </c>
      <c r="F246" s="43" t="s">
        <v>2025</v>
      </c>
      <c r="G246" s="2" t="s">
        <v>2040</v>
      </c>
      <c r="H246" s="171" t="s">
        <v>283</v>
      </c>
      <c r="I246" s="156" t="str">
        <f t="shared" si="13"/>
        <v>2011</v>
      </c>
      <c r="J246" s="156">
        <v>2011</v>
      </c>
      <c r="K246" s="156"/>
      <c r="L246" s="2" t="s">
        <v>2041</v>
      </c>
      <c r="M246" s="157" t="str">
        <f t="shared" si="14"/>
        <v>К08103026_2</v>
      </c>
      <c r="N246" s="482" t="s">
        <v>1186</v>
      </c>
      <c r="O246" s="4" t="s">
        <v>766</v>
      </c>
      <c r="P246" s="1"/>
    </row>
    <row r="247" spans="1:23" x14ac:dyDescent="0.25">
      <c r="A247" s="154">
        <v>1501</v>
      </c>
      <c r="B247" s="1"/>
      <c r="C247" s="577" t="s">
        <v>5608</v>
      </c>
      <c r="D247" s="158">
        <v>240</v>
      </c>
      <c r="E247" s="170" t="s">
        <v>3735</v>
      </c>
      <c r="F247" s="170" t="s">
        <v>1821</v>
      </c>
      <c r="G247" s="2" t="s">
        <v>1822</v>
      </c>
      <c r="H247" s="171" t="s">
        <v>1823</v>
      </c>
      <c r="I247" s="156" t="str">
        <f t="shared" si="13"/>
        <v>2012</v>
      </c>
      <c r="J247" s="156">
        <v>2012</v>
      </c>
      <c r="K247" s="156"/>
      <c r="L247" s="2">
        <v>8103870</v>
      </c>
      <c r="M247" s="157" t="str">
        <f t="shared" si="14"/>
        <v>К8103870</v>
      </c>
      <c r="N247" s="482" t="s">
        <v>1186</v>
      </c>
      <c r="O247" s="4" t="s">
        <v>515</v>
      </c>
      <c r="P247" s="1" t="s">
        <v>1817</v>
      </c>
      <c r="R247" s="170" t="s">
        <v>3736</v>
      </c>
      <c r="S247" s="455" t="s">
        <v>3737</v>
      </c>
      <c r="W247" s="3"/>
    </row>
    <row r="248" spans="1:23" x14ac:dyDescent="0.25">
      <c r="A248" s="158">
        <v>854</v>
      </c>
      <c r="B248" s="1"/>
      <c r="C248" s="457" t="s">
        <v>3693</v>
      </c>
      <c r="D248" s="154">
        <v>245</v>
      </c>
      <c r="E248" s="3" t="s">
        <v>526</v>
      </c>
      <c r="F248" s="482" t="s">
        <v>3725</v>
      </c>
      <c r="G248" s="469" t="s">
        <v>5554</v>
      </c>
      <c r="H248" s="471" t="s">
        <v>159</v>
      </c>
      <c r="I248" s="156" t="str">
        <f t="shared" si="13"/>
        <v>2012</v>
      </c>
      <c r="J248" s="156">
        <v>2012</v>
      </c>
      <c r="K248" s="173"/>
      <c r="L248" s="2"/>
      <c r="M248" s="157" t="str">
        <f t="shared" si="14"/>
        <v>К</v>
      </c>
      <c r="N248" s="170" t="s">
        <v>1186</v>
      </c>
      <c r="O248" s="4" t="s">
        <v>515</v>
      </c>
      <c r="P248" s="1"/>
      <c r="U248" s="1"/>
      <c r="V248" s="4"/>
      <c r="W248" s="3"/>
    </row>
    <row r="249" spans="1:23" x14ac:dyDescent="0.25">
      <c r="A249" s="154">
        <v>495</v>
      </c>
      <c r="B249" s="1"/>
      <c r="C249" s="457" t="s">
        <v>3696</v>
      </c>
      <c r="D249" s="158">
        <v>254</v>
      </c>
      <c r="E249" s="486" t="s">
        <v>3660</v>
      </c>
      <c r="F249" s="486" t="s">
        <v>3661</v>
      </c>
      <c r="G249" s="493" t="s">
        <v>3662</v>
      </c>
      <c r="H249" s="171"/>
      <c r="I249" s="173">
        <v>2012</v>
      </c>
      <c r="J249" s="173">
        <v>2012</v>
      </c>
      <c r="K249" s="173"/>
      <c r="L249" s="2"/>
      <c r="M249" s="157" t="str">
        <f t="shared" si="14"/>
        <v>К</v>
      </c>
      <c r="N249" s="482" t="s">
        <v>1186</v>
      </c>
      <c r="O249" s="4" t="s">
        <v>515</v>
      </c>
      <c r="P249" s="1"/>
      <c r="U249" s="1"/>
      <c r="V249" s="4"/>
      <c r="W249" s="3"/>
    </row>
    <row r="250" spans="1:23" x14ac:dyDescent="0.25">
      <c r="A250" s="158">
        <v>496</v>
      </c>
      <c r="B250" s="1"/>
      <c r="C250" s="1"/>
      <c r="D250" s="154">
        <v>257</v>
      </c>
      <c r="E250" s="3" t="s">
        <v>141</v>
      </c>
      <c r="F250" s="3"/>
      <c r="G250" s="2"/>
      <c r="H250" s="583" t="s">
        <v>159</v>
      </c>
      <c r="I250" s="156" t="str">
        <f t="shared" ref="I250:I256" si="15">RIGHT(H250,4)</f>
        <v>2012</v>
      </c>
      <c r="J250" s="156">
        <v>2012</v>
      </c>
      <c r="K250" s="156"/>
      <c r="L250" s="2" t="s">
        <v>1825</v>
      </c>
      <c r="M250" s="157" t="str">
        <f t="shared" si="14"/>
        <v>К08104776</v>
      </c>
      <c r="N250" s="482" t="s">
        <v>1186</v>
      </c>
      <c r="O250" s="4" t="s">
        <v>515</v>
      </c>
      <c r="P250" s="1"/>
      <c r="U250" s="1"/>
      <c r="V250" s="4"/>
      <c r="W250" s="3"/>
    </row>
    <row r="251" spans="1:23" ht="30" x14ac:dyDescent="0.25">
      <c r="A251" s="154">
        <v>497</v>
      </c>
      <c r="B251" s="1"/>
      <c r="C251" s="1"/>
      <c r="D251" s="154">
        <v>273</v>
      </c>
      <c r="E251" s="468" t="s">
        <v>2362</v>
      </c>
      <c r="F251" s="468" t="s">
        <v>2361</v>
      </c>
      <c r="G251" s="2" t="s">
        <v>1824</v>
      </c>
      <c r="H251" s="583" t="s">
        <v>5624</v>
      </c>
      <c r="I251" s="156" t="str">
        <f t="shared" si="15"/>
        <v>2012</v>
      </c>
      <c r="J251" s="156">
        <v>2012</v>
      </c>
      <c r="K251" s="156"/>
      <c r="L251" s="589" t="s">
        <v>5623</v>
      </c>
      <c r="M251" s="157" t="str">
        <f t="shared" si="14"/>
        <v>К08104870</v>
      </c>
      <c r="N251" s="482" t="s">
        <v>1186</v>
      </c>
      <c r="O251" s="4" t="s">
        <v>515</v>
      </c>
      <c r="P251" s="1" t="s">
        <v>1817</v>
      </c>
      <c r="U251" s="1"/>
      <c r="V251" s="4"/>
      <c r="W251" s="3"/>
    </row>
    <row r="252" spans="1:23" x14ac:dyDescent="0.25">
      <c r="A252" s="158">
        <v>498</v>
      </c>
      <c r="B252" s="1"/>
      <c r="C252" s="457" t="s">
        <v>3034</v>
      </c>
      <c r="D252" s="158">
        <v>278</v>
      </c>
      <c r="E252" s="486" t="s">
        <v>3677</v>
      </c>
      <c r="F252" s="43" t="s">
        <v>2037</v>
      </c>
      <c r="G252" s="2" t="s">
        <v>2038</v>
      </c>
      <c r="H252" s="171" t="s">
        <v>159</v>
      </c>
      <c r="I252" s="156" t="str">
        <f t="shared" si="15"/>
        <v>2012</v>
      </c>
      <c r="J252" s="156">
        <v>2012</v>
      </c>
      <c r="K252" s="156"/>
      <c r="L252" s="2" t="s">
        <v>2039</v>
      </c>
      <c r="M252" s="157" t="str">
        <f t="shared" si="14"/>
        <v>К081105395</v>
      </c>
      <c r="N252" s="482" t="s">
        <v>1186</v>
      </c>
      <c r="O252" s="4" t="s">
        <v>766</v>
      </c>
      <c r="P252" s="1"/>
      <c r="U252" s="1"/>
      <c r="V252" s="4"/>
      <c r="W252" s="3"/>
    </row>
    <row r="253" spans="1:23" x14ac:dyDescent="0.25">
      <c r="A253" s="154">
        <v>499</v>
      </c>
      <c r="B253" s="1"/>
      <c r="C253" s="457"/>
      <c r="D253" s="154">
        <v>279</v>
      </c>
      <c r="E253" s="3" t="s">
        <v>395</v>
      </c>
      <c r="F253" s="3" t="s">
        <v>909</v>
      </c>
      <c r="G253" s="2" t="s">
        <v>1818</v>
      </c>
      <c r="H253" s="583" t="s">
        <v>5624</v>
      </c>
      <c r="I253" s="156" t="str">
        <f t="shared" si="15"/>
        <v>2012</v>
      </c>
      <c r="J253" s="156">
        <v>2012</v>
      </c>
      <c r="K253" s="156"/>
      <c r="L253" s="2">
        <v>8104870</v>
      </c>
      <c r="M253" s="157" t="str">
        <f t="shared" si="14"/>
        <v>К8104870</v>
      </c>
      <c r="N253" s="482" t="s">
        <v>1186</v>
      </c>
      <c r="O253" s="4" t="s">
        <v>515</v>
      </c>
      <c r="P253" s="1" t="s">
        <v>1817</v>
      </c>
      <c r="U253" s="1"/>
      <c r="V253" s="4"/>
      <c r="W253" s="3"/>
    </row>
    <row r="254" spans="1:23" x14ac:dyDescent="0.25">
      <c r="A254" s="158">
        <v>500</v>
      </c>
      <c r="B254" s="136" t="s">
        <v>3552</v>
      </c>
      <c r="C254" s="136"/>
      <c r="D254" s="154">
        <v>243</v>
      </c>
      <c r="E254" s="138" t="s">
        <v>3555</v>
      </c>
      <c r="F254" s="3" t="s">
        <v>455</v>
      </c>
      <c r="G254" s="2" t="s">
        <v>1785</v>
      </c>
      <c r="H254" s="171" t="s">
        <v>59</v>
      </c>
      <c r="I254" s="156" t="str">
        <f t="shared" si="15"/>
        <v>2013</v>
      </c>
      <c r="J254" s="156"/>
      <c r="K254" s="156"/>
      <c r="L254" s="2"/>
      <c r="M254" s="157" t="str">
        <f t="shared" si="14"/>
        <v>К</v>
      </c>
      <c r="N254" s="482" t="s">
        <v>1186</v>
      </c>
      <c r="O254" s="4" t="s">
        <v>1076</v>
      </c>
      <c r="P254" s="1"/>
      <c r="U254" s="1"/>
      <c r="V254" s="4"/>
      <c r="W254" s="3"/>
    </row>
    <row r="255" spans="1:23" x14ac:dyDescent="0.25">
      <c r="A255" s="158">
        <v>478</v>
      </c>
      <c r="B255" s="1"/>
      <c r="C255" s="457" t="s">
        <v>3034</v>
      </c>
      <c r="D255" s="158">
        <v>274</v>
      </c>
      <c r="E255" s="3" t="s">
        <v>499</v>
      </c>
      <c r="F255" s="459" t="s">
        <v>2025</v>
      </c>
      <c r="G255" s="2" t="s">
        <v>2032</v>
      </c>
      <c r="H255" s="171" t="s">
        <v>59</v>
      </c>
      <c r="I255" s="156" t="str">
        <f t="shared" si="15"/>
        <v>2013</v>
      </c>
      <c r="J255" s="156">
        <v>2013</v>
      </c>
      <c r="K255" s="156"/>
      <c r="L255" s="2" t="s">
        <v>2033</v>
      </c>
      <c r="M255" s="157" t="str">
        <f t="shared" si="14"/>
        <v>К08105330</v>
      </c>
      <c r="N255" s="482" t="s">
        <v>1186</v>
      </c>
      <c r="O255" s="4" t="s">
        <v>2034</v>
      </c>
      <c r="P255" s="1"/>
      <c r="W255" s="3"/>
    </row>
    <row r="256" spans="1:23" x14ac:dyDescent="0.25">
      <c r="A256" s="154">
        <v>479</v>
      </c>
      <c r="B256" s="1"/>
      <c r="C256" s="457" t="s">
        <v>3034</v>
      </c>
      <c r="D256" s="154">
        <v>275</v>
      </c>
      <c r="E256" s="3" t="s">
        <v>499</v>
      </c>
      <c r="F256" s="43" t="s">
        <v>2025</v>
      </c>
      <c r="G256" s="2" t="s">
        <v>2035</v>
      </c>
      <c r="H256" s="171" t="s">
        <v>59</v>
      </c>
      <c r="I256" s="156" t="str">
        <f t="shared" si="15"/>
        <v>2013</v>
      </c>
      <c r="J256" s="156">
        <v>2013</v>
      </c>
      <c r="K256" s="156"/>
      <c r="L256" s="2" t="s">
        <v>2036</v>
      </c>
      <c r="M256" s="157" t="str">
        <f t="shared" si="14"/>
        <v>К08105331</v>
      </c>
      <c r="N256" s="482" t="s">
        <v>1186</v>
      </c>
      <c r="O256" s="4" t="s">
        <v>2000</v>
      </c>
      <c r="P256" s="1"/>
      <c r="U256" s="1"/>
      <c r="V256" s="4"/>
      <c r="W256" s="3"/>
    </row>
    <row r="257" spans="1:24" x14ac:dyDescent="0.25">
      <c r="A257" s="154">
        <v>791</v>
      </c>
      <c r="B257" s="456" t="s">
        <v>3552</v>
      </c>
      <c r="C257" s="457"/>
      <c r="D257" s="154">
        <v>241</v>
      </c>
      <c r="E257" s="486" t="s">
        <v>3665</v>
      </c>
      <c r="F257" s="486" t="s">
        <v>3666</v>
      </c>
      <c r="G257" s="2"/>
      <c r="H257" s="488" t="s">
        <v>51</v>
      </c>
      <c r="I257" s="156">
        <v>2014</v>
      </c>
      <c r="J257" s="156">
        <v>2014</v>
      </c>
      <c r="K257" s="169" t="s">
        <v>3676</v>
      </c>
      <c r="L257" s="534">
        <v>2360000445</v>
      </c>
      <c r="M257" s="157" t="str">
        <f t="shared" si="14"/>
        <v>К2360000445</v>
      </c>
      <c r="N257" s="482" t="s">
        <v>1186</v>
      </c>
      <c r="O257" s="177" t="s">
        <v>2621</v>
      </c>
      <c r="P257" s="1"/>
      <c r="R257" s="172" t="s">
        <v>3669</v>
      </c>
      <c r="S257" s="490" t="s">
        <v>3670</v>
      </c>
      <c r="U257" s="1"/>
      <c r="V257" s="4"/>
      <c r="W257" s="3"/>
    </row>
    <row r="258" spans="1:24" x14ac:dyDescent="0.25">
      <c r="A258" s="154">
        <v>481</v>
      </c>
      <c r="B258" s="456" t="s">
        <v>3552</v>
      </c>
      <c r="C258" s="456"/>
      <c r="D258" s="158">
        <v>242</v>
      </c>
      <c r="E258" s="486" t="s">
        <v>3664</v>
      </c>
      <c r="F258" s="486" t="s">
        <v>3667</v>
      </c>
      <c r="G258" s="464" t="s">
        <v>3650</v>
      </c>
      <c r="H258" s="488" t="s">
        <v>51</v>
      </c>
      <c r="I258" s="156">
        <v>2014</v>
      </c>
      <c r="J258" s="156">
        <v>2014</v>
      </c>
      <c r="K258" s="169" t="s">
        <v>3676</v>
      </c>
      <c r="L258" s="534">
        <v>2360000446</v>
      </c>
      <c r="M258" s="157" t="str">
        <f t="shared" si="14"/>
        <v>К2360000446</v>
      </c>
      <c r="N258" s="482" t="s">
        <v>1186</v>
      </c>
      <c r="O258" s="177" t="s">
        <v>2621</v>
      </c>
      <c r="P258" s="1"/>
      <c r="R258" s="486" t="s">
        <v>3674</v>
      </c>
      <c r="S258" s="490" t="s">
        <v>3675</v>
      </c>
      <c r="U258" s="1"/>
      <c r="V258" s="4"/>
      <c r="W258" s="3"/>
    </row>
    <row r="259" spans="1:24" x14ac:dyDescent="0.25">
      <c r="A259" s="158">
        <v>482</v>
      </c>
      <c r="B259" s="1"/>
      <c r="C259" s="1"/>
      <c r="D259" s="158">
        <v>256</v>
      </c>
      <c r="E259" s="3" t="s">
        <v>1826</v>
      </c>
      <c r="F259" s="166" t="s">
        <v>1827</v>
      </c>
      <c r="G259" s="2" t="s">
        <v>1828</v>
      </c>
      <c r="H259" s="171" t="s">
        <v>1829</v>
      </c>
      <c r="I259" s="156" t="str">
        <f t="shared" ref="I259:I290" si="16">RIGHT(H259,4)</f>
        <v>2015</v>
      </c>
      <c r="J259" s="156">
        <v>2015</v>
      </c>
      <c r="K259" s="156"/>
      <c r="L259" s="2" t="s">
        <v>1830</v>
      </c>
      <c r="M259" s="157" t="str">
        <f t="shared" si="14"/>
        <v>К7240000128</v>
      </c>
      <c r="N259" s="482" t="s">
        <v>1186</v>
      </c>
      <c r="O259" s="4" t="s">
        <v>515</v>
      </c>
      <c r="P259" s="1"/>
      <c r="U259" s="1"/>
      <c r="V259" s="4"/>
      <c r="W259" s="3"/>
    </row>
    <row r="260" spans="1:24" x14ac:dyDescent="0.25">
      <c r="A260" s="158">
        <v>460</v>
      </c>
      <c r="B260" s="1"/>
      <c r="C260" s="457" t="s">
        <v>3034</v>
      </c>
      <c r="D260" s="154">
        <v>277</v>
      </c>
      <c r="E260" s="3" t="s">
        <v>499</v>
      </c>
      <c r="F260" s="3" t="s">
        <v>1774</v>
      </c>
      <c r="G260" s="2" t="s">
        <v>1775</v>
      </c>
      <c r="H260" s="171" t="s">
        <v>41</v>
      </c>
      <c r="I260" s="156" t="str">
        <f t="shared" si="16"/>
        <v>2015</v>
      </c>
      <c r="J260" s="156">
        <v>2015</v>
      </c>
      <c r="K260" s="156"/>
      <c r="L260" s="2" t="s">
        <v>1776</v>
      </c>
      <c r="M260" s="157" t="str">
        <f t="shared" si="14"/>
        <v>К7360000053</v>
      </c>
      <c r="N260" s="482" t="s">
        <v>1186</v>
      </c>
      <c r="O260" s="4" t="s">
        <v>1773</v>
      </c>
      <c r="P260" s="1"/>
      <c r="U260" s="153" t="s">
        <v>3646</v>
      </c>
      <c r="V260" s="4"/>
      <c r="W260" s="3"/>
    </row>
    <row r="261" spans="1:24" x14ac:dyDescent="0.25">
      <c r="A261" s="154">
        <v>461</v>
      </c>
      <c r="B261" s="456" t="s">
        <v>3552</v>
      </c>
      <c r="C261" s="457" t="s">
        <v>3034</v>
      </c>
      <c r="D261" s="154">
        <v>283</v>
      </c>
      <c r="E261" s="494" t="s">
        <v>325</v>
      </c>
      <c r="F261" s="494" t="s">
        <v>1147</v>
      </c>
      <c r="G261" s="2"/>
      <c r="H261" s="583" t="s">
        <v>5626</v>
      </c>
      <c r="I261" s="156" t="str">
        <f t="shared" si="16"/>
        <v>2015</v>
      </c>
      <c r="J261" s="156">
        <v>2015</v>
      </c>
      <c r="K261" s="156"/>
      <c r="L261" s="589" t="s">
        <v>5625</v>
      </c>
      <c r="M261" s="157" t="str">
        <f t="shared" si="14"/>
        <v>К7240000052</v>
      </c>
      <c r="N261" s="482" t="s">
        <v>1186</v>
      </c>
      <c r="O261" s="177" t="s">
        <v>1076</v>
      </c>
      <c r="P261" s="1"/>
      <c r="U261" s="153" t="s">
        <v>3646</v>
      </c>
      <c r="V261" s="4"/>
      <c r="W261" s="3"/>
    </row>
    <row r="262" spans="1:24" x14ac:dyDescent="0.25">
      <c r="A262" s="158">
        <v>462</v>
      </c>
      <c r="B262" s="1"/>
      <c r="C262" s="457"/>
      <c r="D262" s="158"/>
      <c r="E262" s="3" t="s">
        <v>24</v>
      </c>
      <c r="F262" s="3" t="s">
        <v>37</v>
      </c>
      <c r="G262" s="579" t="s">
        <v>5610</v>
      </c>
      <c r="H262" s="2" t="s">
        <v>969</v>
      </c>
      <c r="I262" s="156" t="str">
        <f t="shared" si="16"/>
        <v>2017</v>
      </c>
      <c r="J262" s="156"/>
      <c r="K262" s="156"/>
      <c r="L262" s="2">
        <v>7240000928</v>
      </c>
      <c r="M262" s="157"/>
      <c r="N262" s="482" t="s">
        <v>1186</v>
      </c>
      <c r="O262" s="4"/>
      <c r="P262" s="1"/>
      <c r="U262" s="153" t="s">
        <v>3646</v>
      </c>
      <c r="V262" s="4"/>
      <c r="W262" s="3"/>
    </row>
    <row r="263" spans="1:24" s="164" customFormat="1" x14ac:dyDescent="0.25">
      <c r="A263" s="154">
        <v>463</v>
      </c>
      <c r="B263" s="1"/>
      <c r="C263" s="457" t="s">
        <v>3034</v>
      </c>
      <c r="D263" s="158">
        <v>262</v>
      </c>
      <c r="E263" s="3" t="s">
        <v>24</v>
      </c>
      <c r="F263" s="3" t="s">
        <v>37</v>
      </c>
      <c r="G263" s="2" t="s">
        <v>1795</v>
      </c>
      <c r="H263" s="171" t="s">
        <v>124</v>
      </c>
      <c r="I263" s="156" t="str">
        <f t="shared" si="16"/>
        <v>2018</v>
      </c>
      <c r="J263" s="156"/>
      <c r="K263" s="156"/>
      <c r="L263" s="2" t="s">
        <v>1796</v>
      </c>
      <c r="M263" s="157" t="str">
        <f t="shared" ref="M263:M272" si="17">CONCATENATE("К",L263)</f>
        <v>К71012400248</v>
      </c>
      <c r="N263" s="482" t="s">
        <v>1186</v>
      </c>
      <c r="O263" s="4" t="s">
        <v>1797</v>
      </c>
      <c r="P263" s="1"/>
      <c r="Q263" s="1"/>
      <c r="R263" s="3"/>
      <c r="S263" s="1"/>
      <c r="T263" s="3"/>
      <c r="U263" s="153" t="s">
        <v>3646</v>
      </c>
      <c r="V263" s="4"/>
      <c r="W263" s="3"/>
      <c r="X263" s="3"/>
    </row>
    <row r="264" spans="1:24" x14ac:dyDescent="0.25">
      <c r="A264" s="158">
        <v>464</v>
      </c>
      <c r="B264" s="1"/>
      <c r="C264" s="457"/>
      <c r="D264" s="158">
        <v>258</v>
      </c>
      <c r="E264" s="3" t="s">
        <v>880</v>
      </c>
      <c r="F264" s="3" t="s">
        <v>1082</v>
      </c>
      <c r="G264" s="2"/>
      <c r="H264" s="171" t="s">
        <v>1803</v>
      </c>
      <c r="I264" s="156" t="str">
        <f t="shared" si="16"/>
        <v>2019</v>
      </c>
      <c r="J264" s="156"/>
      <c r="K264" s="156"/>
      <c r="L264" s="2"/>
      <c r="M264" s="157" t="str">
        <f t="shared" si="17"/>
        <v>К</v>
      </c>
      <c r="N264" s="482" t="s">
        <v>1186</v>
      </c>
      <c r="O264" s="4" t="s">
        <v>1804</v>
      </c>
      <c r="P264" s="1"/>
      <c r="U264" s="153" t="s">
        <v>3646</v>
      </c>
      <c r="V264" s="4"/>
      <c r="W264" s="3"/>
    </row>
    <row r="265" spans="1:24" s="162" customFormat="1" x14ac:dyDescent="0.25">
      <c r="A265" s="154">
        <v>465</v>
      </c>
      <c r="B265" s="1"/>
      <c r="C265" s="457" t="s">
        <v>3034</v>
      </c>
      <c r="D265" s="158">
        <v>260</v>
      </c>
      <c r="E265" s="3" t="s">
        <v>24</v>
      </c>
      <c r="F265" s="3" t="s">
        <v>37</v>
      </c>
      <c r="G265" s="2" t="s">
        <v>1800</v>
      </c>
      <c r="H265" s="171" t="s">
        <v>66</v>
      </c>
      <c r="I265" s="156" t="str">
        <f t="shared" si="16"/>
        <v>2019</v>
      </c>
      <c r="J265" s="156"/>
      <c r="K265" s="156"/>
      <c r="L265" s="2" t="s">
        <v>1801</v>
      </c>
      <c r="M265" s="157" t="str">
        <f t="shared" si="17"/>
        <v>К71012400247</v>
      </c>
      <c r="N265" s="482" t="s">
        <v>1186</v>
      </c>
      <c r="O265" s="4" t="s">
        <v>1802</v>
      </c>
      <c r="P265" s="1"/>
      <c r="Q265" s="1"/>
      <c r="R265" s="3"/>
      <c r="S265" s="1"/>
      <c r="T265" s="3"/>
      <c r="U265" s="153" t="s">
        <v>3646</v>
      </c>
      <c r="V265" s="4"/>
      <c r="W265" s="3"/>
      <c r="X265" s="3"/>
    </row>
    <row r="266" spans="1:24" x14ac:dyDescent="0.25">
      <c r="A266" s="158">
        <v>466</v>
      </c>
      <c r="B266" s="1"/>
      <c r="C266" s="457" t="s">
        <v>3034</v>
      </c>
      <c r="D266" s="154">
        <v>261</v>
      </c>
      <c r="E266" s="3" t="s">
        <v>24</v>
      </c>
      <c r="F266" s="3" t="s">
        <v>37</v>
      </c>
      <c r="G266" s="2" t="s">
        <v>1798</v>
      </c>
      <c r="H266" s="171" t="s">
        <v>66</v>
      </c>
      <c r="I266" s="156" t="str">
        <f t="shared" si="16"/>
        <v>2019</v>
      </c>
      <c r="J266" s="156"/>
      <c r="K266" s="156"/>
      <c r="L266" s="2"/>
      <c r="M266" s="157" t="str">
        <f t="shared" si="17"/>
        <v>К</v>
      </c>
      <c r="N266" s="482" t="s">
        <v>1186</v>
      </c>
      <c r="O266" s="4" t="s">
        <v>1799</v>
      </c>
      <c r="P266" s="1"/>
      <c r="U266" s="153" t="s">
        <v>3646</v>
      </c>
      <c r="V266" s="4"/>
      <c r="W266" s="3"/>
    </row>
    <row r="267" spans="1:24" x14ac:dyDescent="0.25">
      <c r="A267" s="154">
        <v>467</v>
      </c>
      <c r="B267" s="1"/>
      <c r="C267" s="457" t="s">
        <v>3034</v>
      </c>
      <c r="D267" s="158">
        <v>266</v>
      </c>
      <c r="E267" s="3" t="s">
        <v>24</v>
      </c>
      <c r="F267" s="3" t="s">
        <v>37</v>
      </c>
      <c r="G267" s="2" t="s">
        <v>1786</v>
      </c>
      <c r="H267" s="171" t="s">
        <v>66</v>
      </c>
      <c r="I267" s="156" t="str">
        <f t="shared" si="16"/>
        <v>2019</v>
      </c>
      <c r="J267" s="156"/>
      <c r="K267" s="156"/>
      <c r="L267" s="2" t="s">
        <v>1787</v>
      </c>
      <c r="M267" s="157" t="str">
        <f t="shared" si="17"/>
        <v>К71012400253</v>
      </c>
      <c r="N267" s="482" t="s">
        <v>1186</v>
      </c>
      <c r="O267" s="4" t="s">
        <v>1788</v>
      </c>
      <c r="P267" s="1"/>
      <c r="U267" s="153" t="s">
        <v>3646</v>
      </c>
      <c r="V267" s="4"/>
      <c r="W267" s="3"/>
    </row>
    <row r="268" spans="1:24" x14ac:dyDescent="0.25">
      <c r="A268" s="158">
        <v>468</v>
      </c>
      <c r="B268" s="1"/>
      <c r="C268" s="457" t="s">
        <v>3034</v>
      </c>
      <c r="D268" s="154">
        <v>269</v>
      </c>
      <c r="E268" s="3" t="s">
        <v>24</v>
      </c>
      <c r="F268" s="3" t="s">
        <v>37</v>
      </c>
      <c r="G268" s="2" t="s">
        <v>1789</v>
      </c>
      <c r="H268" s="171" t="s">
        <v>66</v>
      </c>
      <c r="I268" s="156" t="str">
        <f t="shared" si="16"/>
        <v>2019</v>
      </c>
      <c r="J268" s="156"/>
      <c r="K268" s="156"/>
      <c r="L268" s="2" t="s">
        <v>1790</v>
      </c>
      <c r="M268" s="157" t="str">
        <f t="shared" si="17"/>
        <v>К71012400252</v>
      </c>
      <c r="N268" s="482" t="s">
        <v>1186</v>
      </c>
      <c r="O268" s="4" t="s">
        <v>1791</v>
      </c>
      <c r="P268" s="1"/>
      <c r="U268" s="153" t="s">
        <v>3646</v>
      </c>
      <c r="V268" s="4"/>
      <c r="W268" s="3"/>
    </row>
    <row r="269" spans="1:24" x14ac:dyDescent="0.25">
      <c r="A269" s="158"/>
      <c r="B269" s="1"/>
      <c r="C269" s="457" t="s">
        <v>3034</v>
      </c>
      <c r="D269" s="158">
        <v>270</v>
      </c>
      <c r="E269" s="3" t="s">
        <v>24</v>
      </c>
      <c r="F269" s="3" t="s">
        <v>37</v>
      </c>
      <c r="G269" s="2" t="s">
        <v>1771</v>
      </c>
      <c r="H269" s="171" t="s">
        <v>66</v>
      </c>
      <c r="I269" s="156" t="str">
        <f t="shared" si="16"/>
        <v>2019</v>
      </c>
      <c r="J269" s="156"/>
      <c r="K269" s="156"/>
      <c r="L269" s="2" t="s">
        <v>1772</v>
      </c>
      <c r="M269" s="157" t="str">
        <f t="shared" si="17"/>
        <v>К71012400255</v>
      </c>
      <c r="N269" s="482" t="s">
        <v>1186</v>
      </c>
      <c r="O269" s="4" t="s">
        <v>1773</v>
      </c>
      <c r="P269" s="1"/>
      <c r="U269" s="153"/>
      <c r="V269" s="4"/>
      <c r="W269" s="3"/>
    </row>
    <row r="270" spans="1:24" x14ac:dyDescent="0.25">
      <c r="A270" s="158"/>
      <c r="B270" s="1"/>
      <c r="C270" s="457" t="s">
        <v>3034</v>
      </c>
      <c r="D270" s="154">
        <v>271</v>
      </c>
      <c r="E270" s="3" t="s">
        <v>24</v>
      </c>
      <c r="F270" s="3" t="s">
        <v>37</v>
      </c>
      <c r="G270" s="2" t="s">
        <v>1783</v>
      </c>
      <c r="H270" s="171" t="s">
        <v>66</v>
      </c>
      <c r="I270" s="156" t="str">
        <f t="shared" si="16"/>
        <v>2019</v>
      </c>
      <c r="J270" s="156"/>
      <c r="K270" s="156"/>
      <c r="L270" s="2" t="s">
        <v>1784</v>
      </c>
      <c r="M270" s="157" t="str">
        <f t="shared" si="17"/>
        <v>К71012400254</v>
      </c>
      <c r="N270" s="482" t="s">
        <v>1186</v>
      </c>
      <c r="O270" s="4" t="s">
        <v>1076</v>
      </c>
      <c r="P270" s="1"/>
      <c r="U270" s="153"/>
      <c r="V270" s="4"/>
      <c r="W270" s="3"/>
    </row>
    <row r="271" spans="1:24" x14ac:dyDescent="0.25">
      <c r="A271" s="158"/>
      <c r="B271" s="1"/>
      <c r="C271" s="452" t="s">
        <v>3640</v>
      </c>
      <c r="D271" s="154">
        <v>281</v>
      </c>
      <c r="E271" s="3" t="s">
        <v>2320</v>
      </c>
      <c r="F271" s="3" t="s">
        <v>1214</v>
      </c>
      <c r="G271" s="2" t="s">
        <v>1781</v>
      </c>
      <c r="H271" s="171" t="s">
        <v>1216</v>
      </c>
      <c r="I271" s="156" t="str">
        <f t="shared" si="16"/>
        <v>2019</v>
      </c>
      <c r="J271" s="156"/>
      <c r="K271" s="156"/>
      <c r="L271" s="2" t="s">
        <v>1782</v>
      </c>
      <c r="M271" s="157" t="str">
        <f t="shared" si="17"/>
        <v>К71012400289</v>
      </c>
      <c r="N271" s="482" t="s">
        <v>1186</v>
      </c>
      <c r="O271" s="4" t="s">
        <v>1076</v>
      </c>
      <c r="P271" s="1"/>
      <c r="R271" s="170" t="s">
        <v>3754</v>
      </c>
      <c r="S271" s="455" t="s">
        <v>3755</v>
      </c>
      <c r="U271" s="153"/>
      <c r="V271" s="4"/>
      <c r="W271" s="3"/>
    </row>
    <row r="272" spans="1:24" x14ac:dyDescent="0.25">
      <c r="A272" s="158"/>
      <c r="B272" s="1"/>
      <c r="C272" s="452" t="s">
        <v>3640</v>
      </c>
      <c r="D272" s="158">
        <v>282</v>
      </c>
      <c r="E272" s="3" t="s">
        <v>2320</v>
      </c>
      <c r="F272" s="3" t="s">
        <v>1214</v>
      </c>
      <c r="G272" s="2" t="s">
        <v>1810</v>
      </c>
      <c r="H272" s="171" t="s">
        <v>1216</v>
      </c>
      <c r="I272" s="156" t="str">
        <f t="shared" si="16"/>
        <v>2019</v>
      </c>
      <c r="J272" s="156"/>
      <c r="K272" s="156"/>
      <c r="L272" s="2" t="s">
        <v>1811</v>
      </c>
      <c r="M272" s="157" t="str">
        <f t="shared" si="17"/>
        <v>К71012400288</v>
      </c>
      <c r="N272" s="482" t="s">
        <v>1186</v>
      </c>
      <c r="O272" s="4" t="s">
        <v>706</v>
      </c>
      <c r="P272" s="1"/>
      <c r="R272" s="170" t="s">
        <v>3754</v>
      </c>
      <c r="S272" s="455" t="s">
        <v>3755</v>
      </c>
      <c r="U272" s="153"/>
      <c r="V272" s="4"/>
      <c r="W272" s="3"/>
    </row>
    <row r="273" spans="1:23" x14ac:dyDescent="0.25">
      <c r="A273" s="154">
        <v>483</v>
      </c>
      <c r="B273" s="1"/>
      <c r="C273" s="457"/>
      <c r="D273" s="158"/>
      <c r="E273" s="3" t="s">
        <v>24</v>
      </c>
      <c r="F273" s="3" t="s">
        <v>37</v>
      </c>
      <c r="G273" s="579" t="s">
        <v>5611</v>
      </c>
      <c r="H273" s="580" t="s">
        <v>66</v>
      </c>
      <c r="I273" s="156" t="str">
        <f t="shared" si="16"/>
        <v>2019</v>
      </c>
      <c r="J273" s="156"/>
      <c r="K273" s="156"/>
      <c r="L273" s="2">
        <v>71012400256</v>
      </c>
      <c r="M273" s="157"/>
      <c r="N273" s="482" t="s">
        <v>1186</v>
      </c>
      <c r="O273" s="4"/>
      <c r="P273" s="1"/>
      <c r="U273" s="153" t="s">
        <v>3646</v>
      </c>
      <c r="V273" s="4"/>
      <c r="W273" s="3"/>
    </row>
    <row r="274" spans="1:23" x14ac:dyDescent="0.25">
      <c r="A274" s="158">
        <v>486</v>
      </c>
      <c r="B274" s="1"/>
      <c r="C274" s="457"/>
      <c r="D274" s="158"/>
      <c r="E274" s="3" t="s">
        <v>24</v>
      </c>
      <c r="F274" s="3" t="s">
        <v>37</v>
      </c>
      <c r="G274" s="579" t="s">
        <v>5612</v>
      </c>
      <c r="H274" s="580" t="s">
        <v>66</v>
      </c>
      <c r="I274" s="156" t="str">
        <f t="shared" si="16"/>
        <v>2019</v>
      </c>
      <c r="J274" s="156"/>
      <c r="K274" s="156"/>
      <c r="L274" s="2">
        <v>71012400257</v>
      </c>
      <c r="M274" s="157"/>
      <c r="N274" s="482" t="s">
        <v>1186</v>
      </c>
      <c r="O274" s="4"/>
      <c r="P274" s="1"/>
      <c r="U274" s="153" t="s">
        <v>3646</v>
      </c>
      <c r="V274" s="4"/>
      <c r="W274" s="3"/>
    </row>
    <row r="275" spans="1:23" x14ac:dyDescent="0.25">
      <c r="A275" s="154">
        <v>487</v>
      </c>
      <c r="B275" s="1"/>
      <c r="C275" s="457" t="s">
        <v>3034</v>
      </c>
      <c r="D275" s="154">
        <v>259</v>
      </c>
      <c r="E275" s="3" t="s">
        <v>24</v>
      </c>
      <c r="F275" s="3" t="s">
        <v>1105</v>
      </c>
      <c r="G275" s="2" t="s">
        <v>1808</v>
      </c>
      <c r="H275" s="171" t="s">
        <v>1107</v>
      </c>
      <c r="I275" s="156" t="str">
        <f t="shared" si="16"/>
        <v>2020</v>
      </c>
      <c r="J275" s="156"/>
      <c r="K275" s="156"/>
      <c r="L275" s="2" t="s">
        <v>1809</v>
      </c>
      <c r="M275" s="157" t="str">
        <f t="shared" ref="M275:M282" si="18">CONCATENATE("К",L275)</f>
        <v>К41012412323</v>
      </c>
      <c r="N275" s="482" t="s">
        <v>1186</v>
      </c>
      <c r="O275" s="4" t="s">
        <v>1804</v>
      </c>
      <c r="P275" s="1"/>
      <c r="U275" s="153" t="s">
        <v>3646</v>
      </c>
      <c r="V275" s="4"/>
      <c r="W275" s="3"/>
    </row>
    <row r="276" spans="1:23" x14ac:dyDescent="0.25">
      <c r="A276" s="158">
        <v>488</v>
      </c>
      <c r="B276" s="1"/>
      <c r="C276" s="457" t="s">
        <v>3034</v>
      </c>
      <c r="D276" s="154">
        <v>263</v>
      </c>
      <c r="E276" s="3" t="s">
        <v>24</v>
      </c>
      <c r="F276" s="3" t="s">
        <v>1105</v>
      </c>
      <c r="G276" s="2" t="s">
        <v>1792</v>
      </c>
      <c r="H276" s="171" t="s">
        <v>1107</v>
      </c>
      <c r="I276" s="156" t="str">
        <f t="shared" si="16"/>
        <v>2020</v>
      </c>
      <c r="J276" s="156"/>
      <c r="K276" s="156"/>
      <c r="L276" s="2" t="s">
        <v>1793</v>
      </c>
      <c r="M276" s="157" t="str">
        <f t="shared" si="18"/>
        <v>К41012412327</v>
      </c>
      <c r="N276" s="482" t="s">
        <v>1186</v>
      </c>
      <c r="O276" s="4" t="s">
        <v>1794</v>
      </c>
      <c r="P276" s="1"/>
      <c r="U276" s="153" t="s">
        <v>3646</v>
      </c>
      <c r="V276" s="4"/>
      <c r="W276" s="3"/>
    </row>
    <row r="277" spans="1:23" x14ac:dyDescent="0.25">
      <c r="A277" s="154">
        <v>491</v>
      </c>
      <c r="B277" s="1"/>
      <c r="C277" s="457" t="s">
        <v>3034</v>
      </c>
      <c r="D277" s="158">
        <v>264</v>
      </c>
      <c r="E277" s="3" t="s">
        <v>24</v>
      </c>
      <c r="F277" s="3" t="s">
        <v>1105</v>
      </c>
      <c r="G277" s="2" t="s">
        <v>1777</v>
      </c>
      <c r="H277" s="171" t="s">
        <v>1107</v>
      </c>
      <c r="I277" s="156" t="str">
        <f t="shared" si="16"/>
        <v>2020</v>
      </c>
      <c r="J277" s="156"/>
      <c r="K277" s="156"/>
      <c r="L277" s="2" t="s">
        <v>1778</v>
      </c>
      <c r="M277" s="157" t="str">
        <f t="shared" si="18"/>
        <v>К41012412325</v>
      </c>
      <c r="N277" s="482" t="s">
        <v>1186</v>
      </c>
      <c r="O277" s="4" t="s">
        <v>1770</v>
      </c>
      <c r="P277" s="1"/>
      <c r="U277" s="153" t="s">
        <v>3646</v>
      </c>
      <c r="V277" s="4"/>
      <c r="W277" s="3"/>
    </row>
    <row r="278" spans="1:23" x14ac:dyDescent="0.25">
      <c r="A278" s="154">
        <v>501</v>
      </c>
      <c r="B278" s="1"/>
      <c r="C278" s="457" t="s">
        <v>3034</v>
      </c>
      <c r="D278" s="154">
        <v>265</v>
      </c>
      <c r="E278" s="3" t="s">
        <v>24</v>
      </c>
      <c r="F278" s="3" t="s">
        <v>1105</v>
      </c>
      <c r="G278" s="2" t="s">
        <v>1768</v>
      </c>
      <c r="H278" s="171" t="s">
        <v>1107</v>
      </c>
      <c r="I278" s="156" t="str">
        <f t="shared" si="16"/>
        <v>2020</v>
      </c>
      <c r="J278" s="156"/>
      <c r="K278" s="156"/>
      <c r="L278" s="2" t="s">
        <v>1769</v>
      </c>
      <c r="M278" s="157" t="str">
        <f t="shared" si="18"/>
        <v>К41012412326</v>
      </c>
      <c r="N278" s="482" t="s">
        <v>1186</v>
      </c>
      <c r="O278" s="4" t="s">
        <v>1770</v>
      </c>
      <c r="P278" s="1"/>
      <c r="U278" s="1"/>
      <c r="V278" s="4"/>
      <c r="W278" s="3"/>
    </row>
    <row r="279" spans="1:23" x14ac:dyDescent="0.25">
      <c r="A279" s="158">
        <v>484</v>
      </c>
      <c r="B279" s="1"/>
      <c r="C279" s="457" t="s">
        <v>3034</v>
      </c>
      <c r="D279" s="158">
        <v>268</v>
      </c>
      <c r="E279" s="3" t="s">
        <v>24</v>
      </c>
      <c r="F279" s="3" t="s">
        <v>1105</v>
      </c>
      <c r="G279" s="2" t="s">
        <v>1805</v>
      </c>
      <c r="H279" s="171" t="s">
        <v>1107</v>
      </c>
      <c r="I279" s="156" t="str">
        <f t="shared" si="16"/>
        <v>2020</v>
      </c>
      <c r="J279" s="156"/>
      <c r="K279" s="156"/>
      <c r="L279" s="2" t="s">
        <v>1806</v>
      </c>
      <c r="M279" s="157" t="str">
        <f t="shared" si="18"/>
        <v>К41012412322</v>
      </c>
      <c r="N279" s="482" t="s">
        <v>1186</v>
      </c>
      <c r="O279" s="4" t="s">
        <v>1807</v>
      </c>
      <c r="P279" s="1"/>
      <c r="U279" s="1"/>
      <c r="V279" s="4"/>
      <c r="W279" s="3"/>
    </row>
    <row r="280" spans="1:23" x14ac:dyDescent="0.25">
      <c r="A280" s="154">
        <v>471</v>
      </c>
      <c r="B280" s="1"/>
      <c r="C280" s="457" t="s">
        <v>3034</v>
      </c>
      <c r="D280" s="158">
        <v>272</v>
      </c>
      <c r="E280" s="3" t="s">
        <v>24</v>
      </c>
      <c r="F280" s="3" t="s">
        <v>1105</v>
      </c>
      <c r="G280" s="2" t="s">
        <v>1812</v>
      </c>
      <c r="H280" s="171" t="s">
        <v>1107</v>
      </c>
      <c r="I280" s="156" t="str">
        <f t="shared" si="16"/>
        <v>2020</v>
      </c>
      <c r="J280" s="156"/>
      <c r="K280" s="156"/>
      <c r="L280" s="2" t="s">
        <v>1813</v>
      </c>
      <c r="M280" s="157" t="str">
        <f t="shared" si="18"/>
        <v>К41012412324</v>
      </c>
      <c r="N280" s="482" t="s">
        <v>1186</v>
      </c>
      <c r="O280" s="4" t="s">
        <v>706</v>
      </c>
      <c r="P280" s="1"/>
      <c r="U280" s="1"/>
      <c r="V280" s="4"/>
      <c r="W280" s="3"/>
    </row>
    <row r="281" spans="1:23" x14ac:dyDescent="0.25">
      <c r="A281" s="158">
        <v>472</v>
      </c>
      <c r="B281" s="1"/>
      <c r="C281" s="1"/>
      <c r="D281" s="158">
        <v>244</v>
      </c>
      <c r="E281" s="468" t="s">
        <v>2363</v>
      </c>
      <c r="F281" s="468" t="s">
        <v>1814</v>
      </c>
      <c r="G281" s="2" t="s">
        <v>1815</v>
      </c>
      <c r="H281" s="171" t="s">
        <v>1816</v>
      </c>
      <c r="I281" s="156" t="str">
        <f t="shared" si="16"/>
        <v>2021</v>
      </c>
      <c r="J281" s="156">
        <v>2021</v>
      </c>
      <c r="K281" s="156"/>
      <c r="L281" s="2"/>
      <c r="M281" s="157" t="str">
        <f t="shared" si="18"/>
        <v>К</v>
      </c>
      <c r="N281" s="482" t="s">
        <v>1186</v>
      </c>
      <c r="O281" s="4" t="s">
        <v>515</v>
      </c>
      <c r="P281" s="1" t="s">
        <v>1817</v>
      </c>
      <c r="U281" s="1"/>
      <c r="V281" s="4"/>
      <c r="W281" s="3"/>
    </row>
    <row r="282" spans="1:23" x14ac:dyDescent="0.25">
      <c r="A282" s="154">
        <v>473</v>
      </c>
      <c r="B282" s="1"/>
      <c r="C282" s="1"/>
      <c r="D282" s="154">
        <v>253</v>
      </c>
      <c r="E282" s="161" t="s">
        <v>3641</v>
      </c>
      <c r="F282" s="472" t="s">
        <v>2338</v>
      </c>
      <c r="G282" s="2" t="s">
        <v>1819</v>
      </c>
      <c r="H282" s="171" t="s">
        <v>1820</v>
      </c>
      <c r="I282" s="156" t="str">
        <f t="shared" si="16"/>
        <v>2021</v>
      </c>
      <c r="J282" s="156">
        <v>2021</v>
      </c>
      <c r="K282" s="156"/>
      <c r="L282" s="2"/>
      <c r="M282" s="157" t="str">
        <f t="shared" si="18"/>
        <v>К</v>
      </c>
      <c r="N282" s="482" t="s">
        <v>1186</v>
      </c>
      <c r="O282" s="4" t="s">
        <v>515</v>
      </c>
      <c r="P282" s="1" t="s">
        <v>1817</v>
      </c>
      <c r="U282" s="1"/>
      <c r="V282" s="4"/>
      <c r="W282" s="3"/>
    </row>
    <row r="283" spans="1:23" x14ac:dyDescent="0.25">
      <c r="A283" s="154">
        <v>489</v>
      </c>
      <c r="B283" s="1"/>
      <c r="C283" s="555" t="s">
        <v>3693</v>
      </c>
      <c r="D283" s="537"/>
      <c r="E283" s="3" t="s">
        <v>516</v>
      </c>
      <c r="F283" s="3" t="s">
        <v>544</v>
      </c>
      <c r="G283" s="556" t="s">
        <v>5587</v>
      </c>
      <c r="H283" s="557" t="s">
        <v>5584</v>
      </c>
      <c r="I283" s="156" t="str">
        <f t="shared" si="16"/>
        <v>2022</v>
      </c>
      <c r="J283" s="156">
        <v>2022</v>
      </c>
      <c r="K283" s="173"/>
      <c r="L283" s="2"/>
      <c r="M283" s="157"/>
      <c r="N283" s="559" t="s">
        <v>1186</v>
      </c>
      <c r="O283" s="4" t="s">
        <v>2831</v>
      </c>
      <c r="P283" s="1"/>
      <c r="R283" s="170" t="s">
        <v>3746</v>
      </c>
      <c r="U283" s="1"/>
      <c r="V283" s="4"/>
      <c r="W283" s="3"/>
    </row>
    <row r="284" spans="1:23" x14ac:dyDescent="0.25">
      <c r="A284" s="158">
        <v>474</v>
      </c>
      <c r="B284" s="456" t="s">
        <v>3552</v>
      </c>
      <c r="C284" s="456"/>
      <c r="D284" s="154">
        <v>247</v>
      </c>
      <c r="E284" s="3" t="s">
        <v>2319</v>
      </c>
      <c r="F284" s="3" t="s">
        <v>54</v>
      </c>
      <c r="G284" s="2" t="s">
        <v>1833</v>
      </c>
      <c r="H284" s="171"/>
      <c r="I284" s="156" t="str">
        <f t="shared" si="16"/>
        <v/>
      </c>
      <c r="J284" s="156"/>
      <c r="K284" s="156"/>
      <c r="L284" s="2"/>
      <c r="M284" s="157" t="str">
        <f t="shared" ref="M284:M315" si="19">CONCATENATE("К",L284)</f>
        <v>К</v>
      </c>
      <c r="N284" s="482" t="s">
        <v>1186</v>
      </c>
      <c r="O284" s="4" t="s">
        <v>706</v>
      </c>
      <c r="P284" s="1"/>
      <c r="U284" s="1"/>
      <c r="V284" s="4"/>
    </row>
    <row r="285" spans="1:23" x14ac:dyDescent="0.25">
      <c r="A285" s="154">
        <v>1493</v>
      </c>
      <c r="B285" s="456" t="s">
        <v>3552</v>
      </c>
      <c r="C285" s="456"/>
      <c r="D285" s="158">
        <v>248</v>
      </c>
      <c r="E285" s="3" t="s">
        <v>2319</v>
      </c>
      <c r="F285" s="138" t="s">
        <v>54</v>
      </c>
      <c r="G285" s="2" t="s">
        <v>1834</v>
      </c>
      <c r="H285" s="171"/>
      <c r="I285" s="156" t="str">
        <f t="shared" si="16"/>
        <v/>
      </c>
      <c r="J285" s="156"/>
      <c r="K285" s="156"/>
      <c r="L285" s="2"/>
      <c r="M285" s="157" t="str">
        <f t="shared" si="19"/>
        <v>К</v>
      </c>
      <c r="N285" s="482" t="s">
        <v>1186</v>
      </c>
      <c r="O285" s="4" t="s">
        <v>706</v>
      </c>
      <c r="P285" s="1"/>
      <c r="U285" s="1"/>
      <c r="V285" s="4"/>
      <c r="W285" s="3"/>
    </row>
    <row r="286" spans="1:23" x14ac:dyDescent="0.25">
      <c r="A286" s="154">
        <v>503</v>
      </c>
      <c r="B286" s="456" t="s">
        <v>3552</v>
      </c>
      <c r="C286" s="456"/>
      <c r="D286" s="154">
        <v>249</v>
      </c>
      <c r="E286" s="3" t="s">
        <v>2319</v>
      </c>
      <c r="F286" s="3" t="s">
        <v>54</v>
      </c>
      <c r="G286" s="2" t="s">
        <v>1835</v>
      </c>
      <c r="H286" s="171"/>
      <c r="I286" s="156" t="str">
        <f t="shared" si="16"/>
        <v/>
      </c>
      <c r="J286" s="156"/>
      <c r="K286" s="156"/>
      <c r="L286" s="2"/>
      <c r="M286" s="157" t="str">
        <f t="shared" si="19"/>
        <v>К</v>
      </c>
      <c r="N286" s="482" t="s">
        <v>1186</v>
      </c>
      <c r="O286" s="4" t="s">
        <v>706</v>
      </c>
      <c r="P286" s="1"/>
      <c r="U286" s="153" t="s">
        <v>3640</v>
      </c>
      <c r="V286" s="4"/>
      <c r="W286" s="3"/>
    </row>
    <row r="287" spans="1:23" x14ac:dyDescent="0.25">
      <c r="A287" s="158">
        <v>492</v>
      </c>
      <c r="B287" s="456" t="s">
        <v>3552</v>
      </c>
      <c r="C287" s="457" t="s">
        <v>3034</v>
      </c>
      <c r="D287" s="158">
        <v>306</v>
      </c>
      <c r="E287" s="3" t="s">
        <v>1326</v>
      </c>
      <c r="F287" s="3" t="s">
        <v>1327</v>
      </c>
      <c r="G287" s="2" t="s">
        <v>1328</v>
      </c>
      <c r="H287" s="2" t="s">
        <v>1329</v>
      </c>
      <c r="I287" s="156" t="str">
        <f t="shared" si="16"/>
        <v>1999</v>
      </c>
      <c r="J287" s="156">
        <v>1999</v>
      </c>
      <c r="K287" s="156"/>
      <c r="L287" s="2" t="s">
        <v>1330</v>
      </c>
      <c r="M287" s="157" t="str">
        <f t="shared" si="19"/>
        <v>К01370138</v>
      </c>
      <c r="N287" s="3" t="s">
        <v>1262</v>
      </c>
      <c r="O287" s="4" t="s">
        <v>1263</v>
      </c>
      <c r="P287" s="1"/>
      <c r="U287" s="153" t="s">
        <v>3640</v>
      </c>
      <c r="V287" s="4"/>
      <c r="W287" s="3"/>
    </row>
    <row r="288" spans="1:23" x14ac:dyDescent="0.25">
      <c r="A288" s="158">
        <v>502</v>
      </c>
      <c r="B288" s="456" t="s">
        <v>3552</v>
      </c>
      <c r="C288" s="457" t="s">
        <v>3034</v>
      </c>
      <c r="D288" s="154">
        <v>325</v>
      </c>
      <c r="E288" s="3" t="s">
        <v>1273</v>
      </c>
      <c r="F288" s="3" t="s">
        <v>1274</v>
      </c>
      <c r="G288" s="2" t="s">
        <v>1369</v>
      </c>
      <c r="H288" s="2" t="s">
        <v>1370</v>
      </c>
      <c r="I288" s="156" t="str">
        <f t="shared" si="16"/>
        <v>2001</v>
      </c>
      <c r="J288" s="156">
        <v>2001</v>
      </c>
      <c r="K288" s="156"/>
      <c r="L288" s="2" t="s">
        <v>1371</v>
      </c>
      <c r="M288" s="157" t="str">
        <f t="shared" si="19"/>
        <v>К01370732</v>
      </c>
      <c r="N288" s="3" t="s">
        <v>1262</v>
      </c>
      <c r="O288" s="4" t="s">
        <v>1263</v>
      </c>
      <c r="P288" s="1"/>
      <c r="W288" s="3"/>
    </row>
    <row r="289" spans="1:23" x14ac:dyDescent="0.25">
      <c r="A289" s="154">
        <v>493</v>
      </c>
      <c r="B289" s="456" t="s">
        <v>3552</v>
      </c>
      <c r="C289" s="457" t="s">
        <v>3034</v>
      </c>
      <c r="D289" s="154">
        <v>285</v>
      </c>
      <c r="E289" s="3" t="s">
        <v>1295</v>
      </c>
      <c r="F289" s="3" t="s">
        <v>1402</v>
      </c>
      <c r="G289" s="2" t="s">
        <v>1354</v>
      </c>
      <c r="H289" s="2" t="s">
        <v>1355</v>
      </c>
      <c r="I289" s="156" t="str">
        <f t="shared" si="16"/>
        <v>2002</v>
      </c>
      <c r="J289" s="156">
        <v>2002</v>
      </c>
      <c r="K289" s="156"/>
      <c r="L289" s="2" t="s">
        <v>1356</v>
      </c>
      <c r="M289" s="157" t="str">
        <f t="shared" si="19"/>
        <v>К08102738_2</v>
      </c>
      <c r="N289" s="3" t="s">
        <v>1262</v>
      </c>
      <c r="O289" s="4" t="s">
        <v>1263</v>
      </c>
      <c r="P289" s="1"/>
      <c r="W289" s="3"/>
    </row>
    <row r="290" spans="1:23" x14ac:dyDescent="0.25">
      <c r="A290" s="158">
        <v>494</v>
      </c>
      <c r="B290" s="456" t="s">
        <v>3552</v>
      </c>
      <c r="C290" s="457" t="s">
        <v>3034</v>
      </c>
      <c r="D290" s="154">
        <v>401</v>
      </c>
      <c r="E290" s="3" t="s">
        <v>1387</v>
      </c>
      <c r="F290" s="3" t="s">
        <v>1388</v>
      </c>
      <c r="G290" s="2" t="s">
        <v>1389</v>
      </c>
      <c r="H290" s="2" t="s">
        <v>1390</v>
      </c>
      <c r="I290" s="156" t="str">
        <f t="shared" si="16"/>
        <v>2004</v>
      </c>
      <c r="J290" s="156">
        <v>2004</v>
      </c>
      <c r="K290" s="156"/>
      <c r="L290" s="2" t="s">
        <v>1391</v>
      </c>
      <c r="M290" s="157" t="str">
        <f t="shared" si="19"/>
        <v>К08104200</v>
      </c>
      <c r="N290" s="3" t="s">
        <v>1262</v>
      </c>
      <c r="O290" s="4" t="s">
        <v>1263</v>
      </c>
      <c r="P290" s="1"/>
      <c r="U290" s="1"/>
      <c r="V290" s="4" t="s">
        <v>1357</v>
      </c>
      <c r="W290" s="3"/>
    </row>
    <row r="291" spans="1:23" x14ac:dyDescent="0.25">
      <c r="A291" s="154">
        <v>287</v>
      </c>
      <c r="B291" s="456" t="s">
        <v>3552</v>
      </c>
      <c r="C291" s="481" t="s">
        <v>3034</v>
      </c>
      <c r="D291" s="158">
        <v>400</v>
      </c>
      <c r="E291" s="3" t="s">
        <v>325</v>
      </c>
      <c r="F291" s="3" t="s">
        <v>1936</v>
      </c>
      <c r="G291" s="2" t="s">
        <v>1937</v>
      </c>
      <c r="H291" s="2" t="s">
        <v>550</v>
      </c>
      <c r="I291" s="156" t="str">
        <f t="shared" ref="I291:I322" si="20">RIGHT(H291,4)</f>
        <v>2005</v>
      </c>
      <c r="J291" s="156">
        <v>2005</v>
      </c>
      <c r="K291" s="156"/>
      <c r="L291" s="2" t="s">
        <v>1938</v>
      </c>
      <c r="M291" s="157" t="str">
        <f t="shared" si="19"/>
        <v>К04700154</v>
      </c>
      <c r="N291" s="3" t="s">
        <v>1262</v>
      </c>
      <c r="O291" s="4" t="s">
        <v>1935</v>
      </c>
      <c r="P291" s="1"/>
      <c r="U291" s="1"/>
      <c r="V291" s="4"/>
      <c r="W291" s="3"/>
    </row>
    <row r="292" spans="1:23" x14ac:dyDescent="0.25">
      <c r="A292" s="158">
        <v>288</v>
      </c>
      <c r="B292" s="456" t="s">
        <v>3552</v>
      </c>
      <c r="C292" s="457" t="s">
        <v>3034</v>
      </c>
      <c r="D292" s="158">
        <v>334</v>
      </c>
      <c r="E292" s="3" t="s">
        <v>1273</v>
      </c>
      <c r="F292" s="3" t="s">
        <v>1274</v>
      </c>
      <c r="G292" s="2" t="s">
        <v>1362</v>
      </c>
      <c r="H292" s="2" t="s">
        <v>90</v>
      </c>
      <c r="I292" s="156" t="str">
        <f t="shared" si="20"/>
        <v>2008</v>
      </c>
      <c r="J292" s="156">
        <v>2008</v>
      </c>
      <c r="K292" s="156"/>
      <c r="L292" s="2"/>
      <c r="M292" s="157" t="str">
        <f t="shared" si="19"/>
        <v>К</v>
      </c>
      <c r="N292" s="3" t="s">
        <v>1262</v>
      </c>
      <c r="O292" s="4" t="s">
        <v>1263</v>
      </c>
      <c r="P292" s="1"/>
      <c r="U292" s="1"/>
      <c r="V292" s="4"/>
      <c r="W292" s="3"/>
    </row>
    <row r="293" spans="1:23" x14ac:dyDescent="0.25">
      <c r="A293" s="154">
        <v>289</v>
      </c>
      <c r="B293" s="456" t="s">
        <v>3552</v>
      </c>
      <c r="C293" s="456"/>
      <c r="D293" s="154">
        <v>373</v>
      </c>
      <c r="E293" s="3" t="s">
        <v>1399</v>
      </c>
      <c r="F293" s="459" t="s">
        <v>2980</v>
      </c>
      <c r="G293" s="2" t="s">
        <v>1400</v>
      </c>
      <c r="H293" s="2" t="s">
        <v>90</v>
      </c>
      <c r="I293" s="156" t="str">
        <f t="shared" si="20"/>
        <v>2008</v>
      </c>
      <c r="J293" s="156">
        <v>2008</v>
      </c>
      <c r="K293" s="156"/>
      <c r="L293" s="2" t="s">
        <v>1401</v>
      </c>
      <c r="M293" s="157" t="str">
        <f t="shared" si="19"/>
        <v>К08102681</v>
      </c>
      <c r="N293" s="3" t="s">
        <v>1262</v>
      </c>
      <c r="O293" s="4" t="s">
        <v>1263</v>
      </c>
      <c r="P293" s="1"/>
      <c r="U293" s="1"/>
      <c r="V293" s="4"/>
      <c r="W293" s="3"/>
    </row>
    <row r="294" spans="1:23" x14ac:dyDescent="0.25">
      <c r="A294" s="158">
        <v>290</v>
      </c>
      <c r="B294" s="456" t="s">
        <v>3552</v>
      </c>
      <c r="C294" s="457" t="s">
        <v>3034</v>
      </c>
      <c r="D294" s="154">
        <v>315</v>
      </c>
      <c r="E294" s="3" t="s">
        <v>1331</v>
      </c>
      <c r="F294" s="3" t="s">
        <v>1332</v>
      </c>
      <c r="G294" s="2" t="s">
        <v>1333</v>
      </c>
      <c r="H294" s="2" t="s">
        <v>288</v>
      </c>
      <c r="I294" s="156" t="str">
        <f t="shared" si="20"/>
        <v>2009</v>
      </c>
      <c r="J294" s="156">
        <v>2009</v>
      </c>
      <c r="K294" s="156"/>
      <c r="L294" s="2" t="s">
        <v>1334</v>
      </c>
      <c r="M294" s="157" t="str">
        <f t="shared" si="19"/>
        <v>К08102607</v>
      </c>
      <c r="N294" s="3" t="s">
        <v>1262</v>
      </c>
      <c r="O294" s="4" t="s">
        <v>1263</v>
      </c>
      <c r="P294" s="1"/>
      <c r="U294" s="1"/>
      <c r="V294" s="4"/>
      <c r="W294" s="3"/>
    </row>
    <row r="295" spans="1:23" x14ac:dyDescent="0.25">
      <c r="A295" s="154">
        <v>291</v>
      </c>
      <c r="B295" s="456" t="s">
        <v>3552</v>
      </c>
      <c r="C295" s="457" t="s">
        <v>3034</v>
      </c>
      <c r="D295" s="158">
        <v>336</v>
      </c>
      <c r="E295" s="3" t="s">
        <v>1408</v>
      </c>
      <c r="F295" s="3" t="s">
        <v>1409</v>
      </c>
      <c r="G295" s="2" t="s">
        <v>1410</v>
      </c>
      <c r="H295" s="2" t="s">
        <v>1411</v>
      </c>
      <c r="I295" s="156" t="str">
        <f t="shared" si="20"/>
        <v>2009</v>
      </c>
      <c r="J295" s="156">
        <v>2009</v>
      </c>
      <c r="K295" s="156"/>
      <c r="L295" s="2" t="s">
        <v>1412</v>
      </c>
      <c r="M295" s="157" t="str">
        <f t="shared" si="19"/>
        <v>К08102603</v>
      </c>
      <c r="N295" s="3" t="s">
        <v>1262</v>
      </c>
      <c r="O295" s="4" t="s">
        <v>1263</v>
      </c>
      <c r="P295" s="1"/>
      <c r="U295" s="1"/>
      <c r="V295" s="4"/>
      <c r="W295" s="3"/>
    </row>
    <row r="296" spans="1:23" x14ac:dyDescent="0.25">
      <c r="A296" s="158">
        <v>292</v>
      </c>
      <c r="B296" s="456" t="s">
        <v>3552</v>
      </c>
      <c r="C296" s="456"/>
      <c r="D296" s="158">
        <v>304</v>
      </c>
      <c r="E296" s="3" t="s">
        <v>1339</v>
      </c>
      <c r="F296" s="3" t="s">
        <v>1340</v>
      </c>
      <c r="G296" s="2" t="s">
        <v>1392</v>
      </c>
      <c r="H296" s="469" t="s">
        <v>5514</v>
      </c>
      <c r="I296" s="156" t="str">
        <f t="shared" si="20"/>
        <v>2010</v>
      </c>
      <c r="J296" s="156">
        <v>2010</v>
      </c>
      <c r="K296" s="156"/>
      <c r="L296" s="2"/>
      <c r="M296" s="157" t="str">
        <f t="shared" si="19"/>
        <v>К</v>
      </c>
      <c r="N296" s="3" t="s">
        <v>1262</v>
      </c>
      <c r="O296" s="4" t="s">
        <v>1263</v>
      </c>
      <c r="P296" s="1"/>
      <c r="U296" s="1"/>
      <c r="V296" s="4"/>
      <c r="W296" s="3"/>
    </row>
    <row r="297" spans="1:23" x14ac:dyDescent="0.25">
      <c r="A297" s="154">
        <v>293</v>
      </c>
      <c r="B297" s="456" t="s">
        <v>3552</v>
      </c>
      <c r="C297" s="457" t="s">
        <v>3034</v>
      </c>
      <c r="D297" s="158">
        <v>316</v>
      </c>
      <c r="E297" s="3" t="s">
        <v>1331</v>
      </c>
      <c r="F297" s="3" t="s">
        <v>1332</v>
      </c>
      <c r="G297" s="2" t="s">
        <v>1363</v>
      </c>
      <c r="H297" s="2" t="s">
        <v>1364</v>
      </c>
      <c r="I297" s="156" t="str">
        <f t="shared" si="20"/>
        <v>2011</v>
      </c>
      <c r="J297" s="156">
        <v>2011</v>
      </c>
      <c r="K297" s="156"/>
      <c r="L297" s="2"/>
      <c r="M297" s="157" t="str">
        <f t="shared" si="19"/>
        <v>К</v>
      </c>
      <c r="N297" s="3" t="s">
        <v>1262</v>
      </c>
      <c r="O297" s="4" t="s">
        <v>1263</v>
      </c>
      <c r="P297" s="1"/>
      <c r="U297" s="1"/>
      <c r="V297" s="4"/>
      <c r="W297" s="3"/>
    </row>
    <row r="298" spans="1:23" x14ac:dyDescent="0.25">
      <c r="A298" s="158">
        <v>294</v>
      </c>
      <c r="B298" s="456" t="s">
        <v>3552</v>
      </c>
      <c r="C298" s="457" t="s">
        <v>3034</v>
      </c>
      <c r="D298" s="158">
        <v>288</v>
      </c>
      <c r="E298" s="3" t="s">
        <v>1287</v>
      </c>
      <c r="F298" s="3" t="s">
        <v>1288</v>
      </c>
      <c r="G298" s="2" t="s">
        <v>1291</v>
      </c>
      <c r="H298" s="2" t="s">
        <v>159</v>
      </c>
      <c r="I298" s="156" t="str">
        <f t="shared" si="20"/>
        <v>2012</v>
      </c>
      <c r="J298" s="156">
        <v>2012</v>
      </c>
      <c r="K298" s="156"/>
      <c r="L298" s="2" t="s">
        <v>1292</v>
      </c>
      <c r="M298" s="157" t="str">
        <f t="shared" si="19"/>
        <v>К08104046</v>
      </c>
      <c r="N298" s="3" t="s">
        <v>1262</v>
      </c>
      <c r="O298" s="4" t="s">
        <v>1263</v>
      </c>
      <c r="P298" s="1"/>
      <c r="U298" s="1"/>
      <c r="V298" s="4"/>
      <c r="W298" s="3"/>
    </row>
    <row r="299" spans="1:23" x14ac:dyDescent="0.25">
      <c r="A299" s="154">
        <v>295</v>
      </c>
      <c r="B299" s="456" t="s">
        <v>3552</v>
      </c>
      <c r="C299" s="457" t="s">
        <v>3034</v>
      </c>
      <c r="D299" s="154">
        <v>293</v>
      </c>
      <c r="E299" s="3" t="s">
        <v>1339</v>
      </c>
      <c r="F299" s="3" t="s">
        <v>1413</v>
      </c>
      <c r="G299" s="2" t="s">
        <v>1414</v>
      </c>
      <c r="H299" s="2" t="s">
        <v>159</v>
      </c>
      <c r="I299" s="156" t="str">
        <f t="shared" si="20"/>
        <v>2012</v>
      </c>
      <c r="J299" s="156">
        <v>2012</v>
      </c>
      <c r="K299" s="156"/>
      <c r="L299" s="2" t="s">
        <v>1415</v>
      </c>
      <c r="M299" s="157" t="str">
        <f t="shared" si="19"/>
        <v>К08104176</v>
      </c>
      <c r="N299" s="3" t="s">
        <v>1262</v>
      </c>
      <c r="O299" s="4" t="s">
        <v>1263</v>
      </c>
      <c r="P299" s="1"/>
      <c r="U299" s="1"/>
      <c r="V299" s="4"/>
      <c r="W299" s="3"/>
    </row>
    <row r="300" spans="1:23" x14ac:dyDescent="0.25">
      <c r="A300" s="158">
        <v>296</v>
      </c>
      <c r="B300" s="456" t="s">
        <v>3552</v>
      </c>
      <c r="C300" s="456"/>
      <c r="D300" s="154">
        <v>301</v>
      </c>
      <c r="E300" s="3" t="s">
        <v>1339</v>
      </c>
      <c r="F300" s="3" t="s">
        <v>1340</v>
      </c>
      <c r="G300" s="2" t="s">
        <v>1350</v>
      </c>
      <c r="H300" s="2" t="s">
        <v>780</v>
      </c>
      <c r="I300" s="156" t="str">
        <f t="shared" si="20"/>
        <v>2012</v>
      </c>
      <c r="J300" s="156">
        <v>2012</v>
      </c>
      <c r="K300" s="156"/>
      <c r="L300" s="2"/>
      <c r="M300" s="157" t="str">
        <f t="shared" si="19"/>
        <v>К</v>
      </c>
      <c r="N300" s="3" t="s">
        <v>1262</v>
      </c>
      <c r="O300" s="4" t="s">
        <v>1263</v>
      </c>
      <c r="P300" s="1"/>
      <c r="U300" s="1"/>
      <c r="V300" s="4"/>
      <c r="W300" s="3"/>
    </row>
    <row r="301" spans="1:23" x14ac:dyDescent="0.25">
      <c r="A301" s="154">
        <v>297</v>
      </c>
      <c r="B301" s="456" t="s">
        <v>3552</v>
      </c>
      <c r="C301" s="456"/>
      <c r="D301" s="158">
        <v>302</v>
      </c>
      <c r="E301" s="3" t="s">
        <v>1339</v>
      </c>
      <c r="F301" s="3" t="s">
        <v>1340</v>
      </c>
      <c r="G301" s="2" t="s">
        <v>1351</v>
      </c>
      <c r="H301" s="2" t="s">
        <v>780</v>
      </c>
      <c r="I301" s="156" t="str">
        <f t="shared" si="20"/>
        <v>2012</v>
      </c>
      <c r="J301" s="156">
        <v>2012</v>
      </c>
      <c r="K301" s="156"/>
      <c r="L301" s="2"/>
      <c r="M301" s="157" t="str">
        <f t="shared" si="19"/>
        <v>К</v>
      </c>
      <c r="N301" s="3" t="s">
        <v>1262</v>
      </c>
      <c r="O301" s="4" t="s">
        <v>1263</v>
      </c>
      <c r="P301" s="1"/>
      <c r="U301" s="1"/>
      <c r="V301" s="4"/>
      <c r="W301" s="3"/>
    </row>
    <row r="302" spans="1:23" x14ac:dyDescent="0.25">
      <c r="A302" s="158">
        <v>298</v>
      </c>
      <c r="B302" s="456" t="s">
        <v>3552</v>
      </c>
      <c r="C302" s="457" t="s">
        <v>3034</v>
      </c>
      <c r="D302" s="158">
        <v>308</v>
      </c>
      <c r="E302" s="3" t="s">
        <v>1311</v>
      </c>
      <c r="F302" s="3" t="s">
        <v>1312</v>
      </c>
      <c r="G302" s="2" t="s">
        <v>1313</v>
      </c>
      <c r="H302" s="589" t="s">
        <v>159</v>
      </c>
      <c r="I302" s="156" t="str">
        <f t="shared" si="20"/>
        <v>2012</v>
      </c>
      <c r="J302" s="156">
        <v>2012</v>
      </c>
      <c r="K302" s="156"/>
      <c r="L302" s="2" t="s">
        <v>1314</v>
      </c>
      <c r="M302" s="157" t="str">
        <f t="shared" si="19"/>
        <v>К08104197</v>
      </c>
      <c r="N302" s="3" t="s">
        <v>1262</v>
      </c>
      <c r="O302" s="4" t="s">
        <v>1263</v>
      </c>
      <c r="P302" s="1"/>
      <c r="U302" s="1"/>
      <c r="V302" s="4"/>
      <c r="W302" s="3"/>
    </row>
    <row r="303" spans="1:23" x14ac:dyDescent="0.25">
      <c r="A303" s="154">
        <v>299</v>
      </c>
      <c r="B303" s="456" t="s">
        <v>3552</v>
      </c>
      <c r="C303" s="457" t="s">
        <v>3034</v>
      </c>
      <c r="D303" s="154">
        <v>309</v>
      </c>
      <c r="E303" s="3" t="s">
        <v>1279</v>
      </c>
      <c r="F303" s="3" t="s">
        <v>1280</v>
      </c>
      <c r="G303" s="2" t="s">
        <v>1374</v>
      </c>
      <c r="H303" s="2" t="s">
        <v>159</v>
      </c>
      <c r="I303" s="156" t="str">
        <f t="shared" si="20"/>
        <v>2012</v>
      </c>
      <c r="J303" s="156">
        <v>2012</v>
      </c>
      <c r="K303" s="156"/>
      <c r="L303" s="2" t="s">
        <v>1375</v>
      </c>
      <c r="M303" s="157" t="str">
        <f t="shared" si="19"/>
        <v>К08104177</v>
      </c>
      <c r="N303" s="3" t="s">
        <v>1262</v>
      </c>
      <c r="O303" s="4" t="s">
        <v>1263</v>
      </c>
      <c r="P303" s="1"/>
      <c r="U303" s="1"/>
      <c r="V303" s="4"/>
      <c r="W303" s="3"/>
    </row>
    <row r="304" spans="1:23" x14ac:dyDescent="0.25">
      <c r="A304" s="158">
        <v>300</v>
      </c>
      <c r="B304" s="456" t="s">
        <v>3552</v>
      </c>
      <c r="C304" s="457" t="s">
        <v>3034</v>
      </c>
      <c r="D304" s="154">
        <v>311</v>
      </c>
      <c r="E304" s="3" t="s">
        <v>1279</v>
      </c>
      <c r="F304" s="3" t="s">
        <v>1280</v>
      </c>
      <c r="G304" s="2" t="s">
        <v>1307</v>
      </c>
      <c r="H304" s="2" t="s">
        <v>159</v>
      </c>
      <c r="I304" s="156" t="str">
        <f t="shared" si="20"/>
        <v>2012</v>
      </c>
      <c r="J304" s="156">
        <v>2012</v>
      </c>
      <c r="K304" s="156"/>
      <c r="L304" s="2" t="s">
        <v>1308</v>
      </c>
      <c r="M304" s="157" t="str">
        <f t="shared" si="19"/>
        <v>К08104250</v>
      </c>
      <c r="N304" s="3" t="s">
        <v>1262</v>
      </c>
      <c r="O304" s="4" t="s">
        <v>1263</v>
      </c>
      <c r="P304" s="1"/>
      <c r="U304" s="1"/>
      <c r="V304" s="4"/>
      <c r="W304" s="3"/>
    </row>
    <row r="305" spans="1:24" x14ac:dyDescent="0.25">
      <c r="A305" s="154">
        <v>301</v>
      </c>
      <c r="B305" s="456" t="s">
        <v>3552</v>
      </c>
      <c r="C305" s="457" t="s">
        <v>3034</v>
      </c>
      <c r="D305" s="154">
        <v>313</v>
      </c>
      <c r="E305" s="3" t="s">
        <v>1279</v>
      </c>
      <c r="F305" s="3" t="s">
        <v>1280</v>
      </c>
      <c r="G305" s="2" t="s">
        <v>1281</v>
      </c>
      <c r="H305" s="2" t="s">
        <v>159</v>
      </c>
      <c r="I305" s="156" t="str">
        <f t="shared" si="20"/>
        <v>2012</v>
      </c>
      <c r="J305" s="156">
        <v>2012</v>
      </c>
      <c r="K305" s="156"/>
      <c r="L305" s="2" t="s">
        <v>1282</v>
      </c>
      <c r="M305" s="157" t="str">
        <f t="shared" si="19"/>
        <v>К7240000473</v>
      </c>
      <c r="N305" s="3" t="s">
        <v>1262</v>
      </c>
      <c r="O305" s="4" t="s">
        <v>1263</v>
      </c>
      <c r="P305" s="1"/>
      <c r="U305" s="1"/>
      <c r="V305" s="4"/>
      <c r="W305" s="3"/>
    </row>
    <row r="306" spans="1:24" x14ac:dyDescent="0.25">
      <c r="A306" s="158">
        <v>302</v>
      </c>
      <c r="B306" s="456" t="s">
        <v>3552</v>
      </c>
      <c r="C306" s="456"/>
      <c r="D306" s="158">
        <v>320</v>
      </c>
      <c r="E306" s="3" t="s">
        <v>1381</v>
      </c>
      <c r="F306" s="3" t="s">
        <v>1382</v>
      </c>
      <c r="G306" s="2" t="s">
        <v>1383</v>
      </c>
      <c r="H306" s="589" t="s">
        <v>159</v>
      </c>
      <c r="I306" s="156" t="str">
        <f t="shared" si="20"/>
        <v>2012</v>
      </c>
      <c r="J306" s="156">
        <v>2012</v>
      </c>
      <c r="K306" s="156"/>
      <c r="L306" s="2" t="s">
        <v>1384</v>
      </c>
      <c r="M306" s="157" t="str">
        <f t="shared" si="19"/>
        <v>К08104196</v>
      </c>
      <c r="N306" s="3" t="s">
        <v>1262</v>
      </c>
      <c r="O306" s="4" t="s">
        <v>1263</v>
      </c>
      <c r="P306" s="1"/>
      <c r="U306" s="1"/>
      <c r="V306" s="4"/>
      <c r="W306" s="3"/>
    </row>
    <row r="307" spans="1:24" x14ac:dyDescent="0.25">
      <c r="A307" s="154">
        <v>303</v>
      </c>
      <c r="B307" s="456" t="s">
        <v>3552</v>
      </c>
      <c r="C307" s="457" t="s">
        <v>3034</v>
      </c>
      <c r="D307" s="158">
        <v>326</v>
      </c>
      <c r="E307" s="3" t="s">
        <v>1273</v>
      </c>
      <c r="F307" s="3" t="s">
        <v>1298</v>
      </c>
      <c r="G307" s="2" t="s">
        <v>1376</v>
      </c>
      <c r="H307" s="2" t="s">
        <v>159</v>
      </c>
      <c r="I307" s="156" t="str">
        <f t="shared" si="20"/>
        <v>2012</v>
      </c>
      <c r="J307" s="156">
        <v>2012</v>
      </c>
      <c r="K307" s="156"/>
      <c r="L307" s="2" t="s">
        <v>1377</v>
      </c>
      <c r="M307" s="157" t="str">
        <f t="shared" si="19"/>
        <v>К08104191</v>
      </c>
      <c r="N307" s="3" t="s">
        <v>1262</v>
      </c>
      <c r="O307" s="4" t="s">
        <v>1263</v>
      </c>
      <c r="P307" s="1"/>
      <c r="U307" s="1"/>
      <c r="V307" s="4"/>
      <c r="W307" s="3"/>
    </row>
    <row r="308" spans="1:24" x14ac:dyDescent="0.25">
      <c r="A308" s="158">
        <v>304</v>
      </c>
      <c r="B308" s="456" t="s">
        <v>3552</v>
      </c>
      <c r="C308" s="457" t="s">
        <v>3034</v>
      </c>
      <c r="D308" s="154">
        <v>327</v>
      </c>
      <c r="E308" s="3" t="s">
        <v>1273</v>
      </c>
      <c r="F308" s="3" t="s">
        <v>1274</v>
      </c>
      <c r="G308" s="2" t="s">
        <v>1275</v>
      </c>
      <c r="H308" s="2" t="s">
        <v>159</v>
      </c>
      <c r="I308" s="156" t="str">
        <f t="shared" si="20"/>
        <v>2012</v>
      </c>
      <c r="J308" s="156">
        <v>2012</v>
      </c>
      <c r="K308" s="156"/>
      <c r="L308" s="2" t="s">
        <v>1276</v>
      </c>
      <c r="M308" s="157" t="str">
        <f t="shared" si="19"/>
        <v>К08104192</v>
      </c>
      <c r="N308" s="3" t="s">
        <v>1262</v>
      </c>
      <c r="O308" s="4" t="s">
        <v>1263</v>
      </c>
      <c r="P308" s="1"/>
      <c r="U308" s="1"/>
      <c r="V308" s="4"/>
      <c r="W308" s="3"/>
    </row>
    <row r="309" spans="1:24" x14ac:dyDescent="0.25">
      <c r="A309" s="154">
        <v>305</v>
      </c>
      <c r="B309" s="456" t="s">
        <v>3552</v>
      </c>
      <c r="C309" s="457" t="s">
        <v>3034</v>
      </c>
      <c r="D309" s="158">
        <v>328</v>
      </c>
      <c r="E309" s="3" t="s">
        <v>1273</v>
      </c>
      <c r="F309" s="3" t="s">
        <v>1274</v>
      </c>
      <c r="G309" s="2" t="s">
        <v>1277</v>
      </c>
      <c r="H309" s="2" t="s">
        <v>159</v>
      </c>
      <c r="I309" s="156" t="str">
        <f t="shared" si="20"/>
        <v>2012</v>
      </c>
      <c r="J309" s="156">
        <v>2012</v>
      </c>
      <c r="K309" s="156"/>
      <c r="L309" s="2" t="s">
        <v>1278</v>
      </c>
      <c r="M309" s="157" t="str">
        <f t="shared" si="19"/>
        <v>К08104202</v>
      </c>
      <c r="N309" s="3" t="s">
        <v>1262</v>
      </c>
      <c r="O309" s="4" t="s">
        <v>1263</v>
      </c>
      <c r="P309" s="1"/>
      <c r="U309" s="1"/>
      <c r="V309" s="4"/>
      <c r="W309" s="3"/>
    </row>
    <row r="310" spans="1:24" x14ac:dyDescent="0.25">
      <c r="A310" s="158">
        <v>306</v>
      </c>
      <c r="B310" s="456" t="s">
        <v>3552</v>
      </c>
      <c r="C310" s="457" t="s">
        <v>3034</v>
      </c>
      <c r="D310" s="154">
        <v>335</v>
      </c>
      <c r="E310" s="3" t="s">
        <v>1315</v>
      </c>
      <c r="F310" s="3" t="s">
        <v>1316</v>
      </c>
      <c r="G310" s="2" t="s">
        <v>1317</v>
      </c>
      <c r="H310" s="2" t="s">
        <v>159</v>
      </c>
      <c r="I310" s="156" t="str">
        <f t="shared" si="20"/>
        <v>2012</v>
      </c>
      <c r="J310" s="156">
        <v>2012</v>
      </c>
      <c r="K310" s="156"/>
      <c r="L310" s="2" t="s">
        <v>1318</v>
      </c>
      <c r="M310" s="157" t="str">
        <f t="shared" si="19"/>
        <v>К08104179</v>
      </c>
      <c r="N310" s="3" t="s">
        <v>1262</v>
      </c>
      <c r="O310" s="4" t="s">
        <v>1263</v>
      </c>
      <c r="P310" s="1"/>
      <c r="U310" s="1"/>
      <c r="V310" s="4"/>
      <c r="W310" s="3"/>
    </row>
    <row r="311" spans="1:24" x14ac:dyDescent="0.25">
      <c r="A311" s="158">
        <v>242</v>
      </c>
      <c r="B311" s="456" t="s">
        <v>3552</v>
      </c>
      <c r="C311" s="456"/>
      <c r="D311" s="158">
        <v>402</v>
      </c>
      <c r="E311" s="3" t="s">
        <v>1319</v>
      </c>
      <c r="F311" s="482" t="s">
        <v>1320</v>
      </c>
      <c r="G311" s="2" t="s">
        <v>1321</v>
      </c>
      <c r="H311" s="2" t="s">
        <v>246</v>
      </c>
      <c r="I311" s="156" t="str">
        <f t="shared" si="20"/>
        <v>2012</v>
      </c>
      <c r="J311" s="156">
        <v>2012</v>
      </c>
      <c r="K311" s="156"/>
      <c r="L311" s="2" t="s">
        <v>1322</v>
      </c>
      <c r="M311" s="157" t="str">
        <f t="shared" si="19"/>
        <v>К08104047</v>
      </c>
      <c r="N311" s="3" t="s">
        <v>1262</v>
      </c>
      <c r="O311" s="4" t="s">
        <v>1263</v>
      </c>
      <c r="P311" s="1"/>
      <c r="U311" s="1"/>
      <c r="V311" s="4"/>
      <c r="W311" s="3"/>
    </row>
    <row r="312" spans="1:24" x14ac:dyDescent="0.25">
      <c r="A312" s="154">
        <v>307</v>
      </c>
      <c r="B312" s="456" t="s">
        <v>3552</v>
      </c>
      <c r="C312" s="457" t="s">
        <v>3034</v>
      </c>
      <c r="D312" s="158">
        <v>286</v>
      </c>
      <c r="E312" s="3" t="s">
        <v>1295</v>
      </c>
      <c r="F312" s="3" t="s">
        <v>1402</v>
      </c>
      <c r="G312" s="2" t="s">
        <v>1296</v>
      </c>
      <c r="H312" s="2" t="s">
        <v>59</v>
      </c>
      <c r="I312" s="156" t="str">
        <f t="shared" si="20"/>
        <v>2013</v>
      </c>
      <c r="J312" s="156">
        <v>2013</v>
      </c>
      <c r="K312" s="156"/>
      <c r="L312" s="2" t="s">
        <v>1297</v>
      </c>
      <c r="M312" s="157" t="str">
        <f t="shared" si="19"/>
        <v>К72400006_3</v>
      </c>
      <c r="N312" s="3" t="s">
        <v>1262</v>
      </c>
      <c r="O312" s="4" t="s">
        <v>1263</v>
      </c>
      <c r="P312" s="1"/>
      <c r="U312" s="1"/>
      <c r="V312" s="4"/>
      <c r="W312" s="3"/>
    </row>
    <row r="313" spans="1:24" x14ac:dyDescent="0.25">
      <c r="A313" s="158">
        <v>308</v>
      </c>
      <c r="B313" s="456" t="s">
        <v>3552</v>
      </c>
      <c r="C313" s="456"/>
      <c r="D313" s="158">
        <v>294</v>
      </c>
      <c r="E313" s="3" t="s">
        <v>1339</v>
      </c>
      <c r="F313" s="3" t="s">
        <v>1365</v>
      </c>
      <c r="G313" s="2" t="s">
        <v>1405</v>
      </c>
      <c r="H313" s="2" t="s">
        <v>1406</v>
      </c>
      <c r="I313" s="156" t="str">
        <f t="shared" si="20"/>
        <v>2013</v>
      </c>
      <c r="J313" s="156">
        <v>2013</v>
      </c>
      <c r="K313" s="156"/>
      <c r="L313" s="2" t="s">
        <v>1407</v>
      </c>
      <c r="M313" s="157" t="str">
        <f t="shared" si="19"/>
        <v>К2360000199</v>
      </c>
      <c r="N313" s="3" t="s">
        <v>1262</v>
      </c>
      <c r="O313" s="4" t="s">
        <v>1263</v>
      </c>
      <c r="P313" s="1"/>
      <c r="U313" s="1"/>
      <c r="V313" s="4"/>
      <c r="W313" s="3"/>
    </row>
    <row r="314" spans="1:24" x14ac:dyDescent="0.25">
      <c r="A314" s="154">
        <v>309</v>
      </c>
      <c r="B314" s="1"/>
      <c r="C314" s="1"/>
      <c r="D314" s="158">
        <v>370</v>
      </c>
      <c r="E314" s="3" t="s">
        <v>1251</v>
      </c>
      <c r="F314" s="3" t="s">
        <v>1252</v>
      </c>
      <c r="G314" s="2" t="s">
        <v>1910</v>
      </c>
      <c r="H314" s="2" t="s">
        <v>59</v>
      </c>
      <c r="I314" s="156" t="str">
        <f t="shared" si="20"/>
        <v>2013</v>
      </c>
      <c r="J314" s="156">
        <v>2013</v>
      </c>
      <c r="K314" s="156"/>
      <c r="L314" s="2"/>
      <c r="M314" s="157" t="str">
        <f t="shared" si="19"/>
        <v>К</v>
      </c>
      <c r="N314" s="3" t="s">
        <v>1262</v>
      </c>
      <c r="O314" s="4"/>
      <c r="P314" s="1"/>
      <c r="U314" s="1"/>
      <c r="V314" s="4"/>
      <c r="W314" s="3"/>
    </row>
    <row r="315" spans="1:24" x14ac:dyDescent="0.25">
      <c r="A315" s="158">
        <v>310</v>
      </c>
      <c r="B315" s="456" t="s">
        <v>3552</v>
      </c>
      <c r="C315" s="457" t="s">
        <v>3034</v>
      </c>
      <c r="D315" s="154">
        <v>289</v>
      </c>
      <c r="E315" s="3" t="s">
        <v>1287</v>
      </c>
      <c r="F315" s="3" t="s">
        <v>1288</v>
      </c>
      <c r="G315" s="2" t="s">
        <v>1289</v>
      </c>
      <c r="H315" s="2" t="s">
        <v>51</v>
      </c>
      <c r="I315" s="156" t="str">
        <f t="shared" si="20"/>
        <v>2014</v>
      </c>
      <c r="J315" s="156">
        <v>2014</v>
      </c>
      <c r="K315" s="156"/>
      <c r="L315" s="2" t="s">
        <v>1290</v>
      </c>
      <c r="M315" s="157" t="str">
        <f t="shared" si="19"/>
        <v>К2360000205</v>
      </c>
      <c r="N315" s="3" t="s">
        <v>1262</v>
      </c>
      <c r="O315" s="4" t="s">
        <v>1263</v>
      </c>
      <c r="P315" s="1"/>
      <c r="U315" s="1"/>
      <c r="V315" s="4"/>
      <c r="W315" s="164"/>
      <c r="X315" s="164" t="s">
        <v>3034</v>
      </c>
    </row>
    <row r="316" spans="1:24" x14ac:dyDescent="0.25">
      <c r="A316" s="154">
        <v>311</v>
      </c>
      <c r="B316" s="456" t="s">
        <v>3552</v>
      </c>
      <c r="C316" s="456"/>
      <c r="D316" s="158">
        <v>298</v>
      </c>
      <c r="E316" s="3" t="s">
        <v>1339</v>
      </c>
      <c r="F316" s="3" t="s">
        <v>1340</v>
      </c>
      <c r="G316" s="2" t="s">
        <v>1345</v>
      </c>
      <c r="H316" s="2" t="s">
        <v>1346</v>
      </c>
      <c r="I316" s="156" t="str">
        <f t="shared" si="20"/>
        <v>2014</v>
      </c>
      <c r="J316" s="156">
        <v>2014</v>
      </c>
      <c r="K316" s="156"/>
      <c r="L316" s="2"/>
      <c r="M316" s="157" t="str">
        <f t="shared" ref="M316:M347" si="21">CONCATENATE("К",L316)</f>
        <v>К</v>
      </c>
      <c r="N316" s="3" t="s">
        <v>1262</v>
      </c>
      <c r="O316" s="4" t="s">
        <v>1263</v>
      </c>
      <c r="P316" s="1"/>
      <c r="U316" s="1"/>
      <c r="V316" s="4"/>
      <c r="W316" s="3"/>
    </row>
    <row r="317" spans="1:24" x14ac:dyDescent="0.25">
      <c r="A317" s="158">
        <v>312</v>
      </c>
      <c r="B317" s="456" t="s">
        <v>3552</v>
      </c>
      <c r="C317" s="456"/>
      <c r="D317" s="154">
        <v>303</v>
      </c>
      <c r="E317" s="3" t="s">
        <v>1339</v>
      </c>
      <c r="F317" s="3" t="s">
        <v>1340</v>
      </c>
      <c r="G317" s="2" t="s">
        <v>1352</v>
      </c>
      <c r="H317" s="2" t="s">
        <v>1353</v>
      </c>
      <c r="I317" s="156" t="str">
        <f t="shared" si="20"/>
        <v>2014</v>
      </c>
      <c r="J317" s="156">
        <v>2014</v>
      </c>
      <c r="K317" s="156"/>
      <c r="L317" s="2"/>
      <c r="M317" s="157" t="str">
        <f t="shared" si="21"/>
        <v>К</v>
      </c>
      <c r="N317" s="3" t="s">
        <v>1262</v>
      </c>
      <c r="O317" s="4" t="s">
        <v>1263</v>
      </c>
      <c r="P317" s="1"/>
      <c r="U317" s="1"/>
      <c r="V317" s="4"/>
      <c r="W317" s="3"/>
    </row>
    <row r="318" spans="1:24" x14ac:dyDescent="0.25">
      <c r="A318" s="154">
        <v>313</v>
      </c>
      <c r="B318" s="456" t="s">
        <v>3552</v>
      </c>
      <c r="C318" s="457" t="s">
        <v>3034</v>
      </c>
      <c r="D318" s="158">
        <v>312</v>
      </c>
      <c r="E318" s="3" t="s">
        <v>1279</v>
      </c>
      <c r="F318" s="3" t="s">
        <v>1280</v>
      </c>
      <c r="G318" s="2" t="s">
        <v>1372</v>
      </c>
      <c r="H318" s="2" t="s">
        <v>51</v>
      </c>
      <c r="I318" s="156" t="str">
        <f t="shared" si="20"/>
        <v>2014</v>
      </c>
      <c r="J318" s="156">
        <v>2014</v>
      </c>
      <c r="K318" s="156"/>
      <c r="L318" s="2" t="s">
        <v>1373</v>
      </c>
      <c r="M318" s="157" t="str">
        <f t="shared" si="21"/>
        <v>К2360000201</v>
      </c>
      <c r="N318" s="3" t="s">
        <v>1262</v>
      </c>
      <c r="O318" s="4" t="s">
        <v>1263</v>
      </c>
      <c r="P318" s="1"/>
      <c r="U318" s="1"/>
      <c r="V318" s="4"/>
      <c r="W318" s="3"/>
    </row>
    <row r="319" spans="1:24" x14ac:dyDescent="0.25">
      <c r="A319" s="158">
        <v>314</v>
      </c>
      <c r="B319" s="136" t="s">
        <v>3552</v>
      </c>
      <c r="C319" s="136"/>
      <c r="D319" s="158">
        <v>394</v>
      </c>
      <c r="E319" s="3" t="s">
        <v>28</v>
      </c>
      <c r="F319" s="3" t="s">
        <v>49</v>
      </c>
      <c r="G319" s="2" t="s">
        <v>1899</v>
      </c>
      <c r="H319" s="2" t="s">
        <v>51</v>
      </c>
      <c r="I319" s="156" t="str">
        <f t="shared" si="20"/>
        <v>2014</v>
      </c>
      <c r="J319" s="156">
        <v>2014</v>
      </c>
      <c r="K319" s="156"/>
      <c r="L319" s="2"/>
      <c r="M319" s="157" t="str">
        <f t="shared" si="21"/>
        <v>К</v>
      </c>
      <c r="N319" s="3" t="s">
        <v>1262</v>
      </c>
      <c r="O319" s="4" t="s">
        <v>1895</v>
      </c>
      <c r="P319" s="1"/>
      <c r="U319" s="1"/>
      <c r="V319" s="4"/>
      <c r="W319" s="3"/>
    </row>
    <row r="320" spans="1:24" x14ac:dyDescent="0.25">
      <c r="A320" s="154">
        <v>315</v>
      </c>
      <c r="B320" s="456" t="s">
        <v>3552</v>
      </c>
      <c r="C320" s="456"/>
      <c r="D320" s="158">
        <v>296</v>
      </c>
      <c r="E320" s="3" t="s">
        <v>1339</v>
      </c>
      <c r="F320" s="3" t="s">
        <v>1340</v>
      </c>
      <c r="G320" s="2" t="s">
        <v>1341</v>
      </c>
      <c r="H320" s="2" t="s">
        <v>1342</v>
      </c>
      <c r="I320" s="156" t="str">
        <f t="shared" si="20"/>
        <v>2016</v>
      </c>
      <c r="J320" s="156">
        <v>2016</v>
      </c>
      <c r="K320" s="156"/>
      <c r="L320" s="2"/>
      <c r="M320" s="157" t="str">
        <f t="shared" si="21"/>
        <v>К</v>
      </c>
      <c r="N320" s="3" t="s">
        <v>1262</v>
      </c>
      <c r="O320" s="4" t="s">
        <v>1263</v>
      </c>
      <c r="P320" s="1"/>
      <c r="U320" s="1"/>
      <c r="V320" s="4"/>
      <c r="W320" s="3"/>
    </row>
    <row r="321" spans="1:24" x14ac:dyDescent="0.25">
      <c r="A321" s="158">
        <v>316</v>
      </c>
      <c r="B321" s="456" t="s">
        <v>3552</v>
      </c>
      <c r="C321" s="456"/>
      <c r="D321" s="154">
        <v>299</v>
      </c>
      <c r="E321" s="3" t="s">
        <v>1339</v>
      </c>
      <c r="F321" s="3" t="s">
        <v>1340</v>
      </c>
      <c r="G321" s="2" t="s">
        <v>1347</v>
      </c>
      <c r="H321" s="2" t="s">
        <v>1342</v>
      </c>
      <c r="I321" s="156" t="str">
        <f t="shared" si="20"/>
        <v>2016</v>
      </c>
      <c r="J321" s="156">
        <v>2016</v>
      </c>
      <c r="K321" s="156"/>
      <c r="L321" s="2"/>
      <c r="M321" s="157" t="str">
        <f t="shared" si="21"/>
        <v>К</v>
      </c>
      <c r="N321" s="3" t="s">
        <v>1262</v>
      </c>
      <c r="O321" s="4" t="s">
        <v>1263</v>
      </c>
      <c r="P321" s="1"/>
      <c r="U321" s="1"/>
      <c r="V321" s="4"/>
      <c r="W321" s="3"/>
    </row>
    <row r="322" spans="1:24" x14ac:dyDescent="0.25">
      <c r="A322" s="154">
        <v>317</v>
      </c>
      <c r="B322" s="456" t="s">
        <v>3552</v>
      </c>
      <c r="C322" s="456"/>
      <c r="D322" s="158">
        <v>300</v>
      </c>
      <c r="E322" s="3" t="s">
        <v>1339</v>
      </c>
      <c r="F322" s="3" t="s">
        <v>1340</v>
      </c>
      <c r="G322" s="2" t="s">
        <v>1348</v>
      </c>
      <c r="H322" s="2" t="s">
        <v>1349</v>
      </c>
      <c r="I322" s="156" t="str">
        <f t="shared" si="20"/>
        <v>2016</v>
      </c>
      <c r="J322" s="156">
        <v>2016</v>
      </c>
      <c r="K322" s="156"/>
      <c r="L322" s="2"/>
      <c r="M322" s="157" t="str">
        <f t="shared" si="21"/>
        <v>К</v>
      </c>
      <c r="N322" s="3" t="s">
        <v>1262</v>
      </c>
      <c r="O322" s="4" t="s">
        <v>1263</v>
      </c>
      <c r="P322" s="1"/>
      <c r="U322" s="1"/>
      <c r="V322" s="4"/>
      <c r="W322" s="3"/>
    </row>
    <row r="323" spans="1:24" x14ac:dyDescent="0.25">
      <c r="A323" s="158">
        <v>318</v>
      </c>
      <c r="B323" s="456" t="s">
        <v>3552</v>
      </c>
      <c r="C323" s="457" t="s">
        <v>3034</v>
      </c>
      <c r="D323" s="158">
        <v>310</v>
      </c>
      <c r="E323" s="3" t="s">
        <v>1279</v>
      </c>
      <c r="F323" s="3" t="s">
        <v>1280</v>
      </c>
      <c r="G323" s="2" t="s">
        <v>1385</v>
      </c>
      <c r="H323" s="2" t="s">
        <v>615</v>
      </c>
      <c r="I323" s="156" t="str">
        <f t="shared" ref="I323:I354" si="22">RIGHT(H323,4)</f>
        <v>2016</v>
      </c>
      <c r="J323" s="156">
        <v>2016</v>
      </c>
      <c r="K323" s="156"/>
      <c r="L323" s="2" t="s">
        <v>1386</v>
      </c>
      <c r="M323" s="157" t="str">
        <f t="shared" si="21"/>
        <v>К08104178</v>
      </c>
      <c r="N323" s="3" t="s">
        <v>1262</v>
      </c>
      <c r="O323" s="4" t="s">
        <v>1263</v>
      </c>
      <c r="P323" s="1"/>
      <c r="U323" s="1"/>
      <c r="V323" s="4"/>
      <c r="W323" s="3"/>
    </row>
    <row r="324" spans="1:24" x14ac:dyDescent="0.25">
      <c r="A324" s="154">
        <v>319</v>
      </c>
      <c r="B324" s="456" t="s">
        <v>3552</v>
      </c>
      <c r="C324" s="457" t="s">
        <v>3034</v>
      </c>
      <c r="D324" s="154">
        <v>321</v>
      </c>
      <c r="E324" s="3" t="s">
        <v>1266</v>
      </c>
      <c r="F324" s="3" t="s">
        <v>1267</v>
      </c>
      <c r="G324" s="2" t="s">
        <v>1360</v>
      </c>
      <c r="H324" s="2" t="s">
        <v>615</v>
      </c>
      <c r="I324" s="156" t="str">
        <f t="shared" si="22"/>
        <v>2016</v>
      </c>
      <c r="J324" s="156">
        <v>2016</v>
      </c>
      <c r="K324" s="156"/>
      <c r="L324" s="2" t="s">
        <v>1361</v>
      </c>
      <c r="M324" s="157" t="str">
        <f t="shared" si="21"/>
        <v>К7240000616</v>
      </c>
      <c r="N324" s="3" t="s">
        <v>1262</v>
      </c>
      <c r="O324" s="4" t="s">
        <v>1263</v>
      </c>
      <c r="P324" s="1"/>
      <c r="U324" s="1"/>
      <c r="V324" s="4"/>
      <c r="W324" s="3"/>
    </row>
    <row r="325" spans="1:24" x14ac:dyDescent="0.25">
      <c r="A325" s="158">
        <v>320</v>
      </c>
      <c r="B325" s="456" t="s">
        <v>3552</v>
      </c>
      <c r="C325" s="457" t="s">
        <v>3034</v>
      </c>
      <c r="D325" s="158">
        <v>322</v>
      </c>
      <c r="E325" s="3" t="s">
        <v>1266</v>
      </c>
      <c r="F325" s="3" t="s">
        <v>1267</v>
      </c>
      <c r="G325" s="2" t="s">
        <v>1268</v>
      </c>
      <c r="H325" s="2" t="s">
        <v>615</v>
      </c>
      <c r="I325" s="156" t="str">
        <f t="shared" si="22"/>
        <v>2016</v>
      </c>
      <c r="J325" s="156">
        <v>2016</v>
      </c>
      <c r="K325" s="156"/>
      <c r="L325" s="2" t="s">
        <v>1269</v>
      </c>
      <c r="M325" s="157" t="str">
        <f t="shared" si="21"/>
        <v>К7360000230</v>
      </c>
      <c r="N325" s="3" t="s">
        <v>1262</v>
      </c>
      <c r="O325" s="4" t="s">
        <v>1263</v>
      </c>
      <c r="P325" s="1"/>
      <c r="U325" s="1"/>
      <c r="V325" s="4"/>
      <c r="W325" s="3"/>
    </row>
    <row r="326" spans="1:24" x14ac:dyDescent="0.25">
      <c r="A326" s="154">
        <v>321</v>
      </c>
      <c r="B326" s="456" t="s">
        <v>3552</v>
      </c>
      <c r="C326" s="457" t="s">
        <v>3034</v>
      </c>
      <c r="D326" s="158">
        <v>314</v>
      </c>
      <c r="E326" s="3" t="s">
        <v>1279</v>
      </c>
      <c r="F326" s="3" t="s">
        <v>1280</v>
      </c>
      <c r="G326" s="2" t="s">
        <v>1394</v>
      </c>
      <c r="H326" s="2" t="s">
        <v>969</v>
      </c>
      <c r="I326" s="156" t="str">
        <f t="shared" si="22"/>
        <v>2017</v>
      </c>
      <c r="J326" s="156">
        <v>2017</v>
      </c>
      <c r="K326" s="156"/>
      <c r="L326" s="2" t="s">
        <v>1395</v>
      </c>
      <c r="M326" s="157" t="str">
        <f t="shared" si="21"/>
        <v>К7240000612</v>
      </c>
      <c r="N326" s="3" t="s">
        <v>1262</v>
      </c>
      <c r="O326" s="4" t="s">
        <v>1263</v>
      </c>
      <c r="P326" s="1"/>
      <c r="U326" s="1"/>
      <c r="V326" s="4"/>
      <c r="W326" s="3"/>
    </row>
    <row r="327" spans="1:24" x14ac:dyDescent="0.25">
      <c r="A327" s="158">
        <v>322</v>
      </c>
      <c r="B327" s="456" t="s">
        <v>3552</v>
      </c>
      <c r="C327" s="457" t="s">
        <v>3034</v>
      </c>
      <c r="D327" s="154">
        <v>287</v>
      </c>
      <c r="E327" s="3" t="s">
        <v>1295</v>
      </c>
      <c r="F327" s="3" t="s">
        <v>1402</v>
      </c>
      <c r="G327" s="2" t="s">
        <v>1403</v>
      </c>
      <c r="H327" s="2" t="s">
        <v>124</v>
      </c>
      <c r="I327" s="156" t="str">
        <f t="shared" si="22"/>
        <v>2018</v>
      </c>
      <c r="J327" s="156">
        <v>2018</v>
      </c>
      <c r="K327" s="156"/>
      <c r="L327" s="2" t="s">
        <v>1404</v>
      </c>
      <c r="M327" s="157" t="str">
        <f t="shared" si="21"/>
        <v>К7240000613</v>
      </c>
      <c r="N327" s="3" t="s">
        <v>1262</v>
      </c>
      <c r="O327" s="4" t="s">
        <v>1263</v>
      </c>
      <c r="P327" s="1"/>
      <c r="U327" s="1"/>
      <c r="V327" s="4"/>
      <c r="W327" s="3"/>
    </row>
    <row r="328" spans="1:24" x14ac:dyDescent="0.25">
      <c r="A328" s="154">
        <v>323</v>
      </c>
      <c r="B328" s="456" t="s">
        <v>3552</v>
      </c>
      <c r="C328" s="457" t="s">
        <v>3034</v>
      </c>
      <c r="D328" s="158">
        <v>290</v>
      </c>
      <c r="E328" s="3" t="s">
        <v>1287</v>
      </c>
      <c r="F328" s="3" t="s">
        <v>1288</v>
      </c>
      <c r="G328" s="2" t="s">
        <v>1293</v>
      </c>
      <c r="H328" s="2" t="s">
        <v>124</v>
      </c>
      <c r="I328" s="156" t="str">
        <f t="shared" si="22"/>
        <v>2018</v>
      </c>
      <c r="J328" s="156">
        <v>2018</v>
      </c>
      <c r="K328" s="156"/>
      <c r="L328" s="2" t="s">
        <v>1294</v>
      </c>
      <c r="M328" s="157" t="str">
        <f t="shared" si="21"/>
        <v>К71012400034</v>
      </c>
      <c r="N328" s="3" t="s">
        <v>1262</v>
      </c>
      <c r="O328" s="4" t="s">
        <v>1263</v>
      </c>
      <c r="P328" s="1"/>
      <c r="U328" s="1"/>
      <c r="V328" s="4"/>
      <c r="W328" s="3"/>
    </row>
    <row r="329" spans="1:24" x14ac:dyDescent="0.25">
      <c r="A329" s="158">
        <v>324</v>
      </c>
      <c r="B329" s="456" t="s">
        <v>3552</v>
      </c>
      <c r="C329" s="456"/>
      <c r="D329" s="154">
        <v>295</v>
      </c>
      <c r="E329" s="3" t="s">
        <v>1339</v>
      </c>
      <c r="F329" s="166" t="s">
        <v>1365</v>
      </c>
      <c r="G329" s="2" t="s">
        <v>1366</v>
      </c>
      <c r="H329" s="2" t="s">
        <v>1367</v>
      </c>
      <c r="I329" s="156" t="str">
        <f t="shared" si="22"/>
        <v>2018</v>
      </c>
      <c r="J329" s="156">
        <v>2018</v>
      </c>
      <c r="K329" s="156"/>
      <c r="L329" s="2" t="s">
        <v>1368</v>
      </c>
      <c r="M329" s="157" t="str">
        <f t="shared" si="21"/>
        <v>К71012400039</v>
      </c>
      <c r="N329" s="3" t="s">
        <v>1262</v>
      </c>
      <c r="O329" s="4" t="s">
        <v>1263</v>
      </c>
      <c r="P329" s="1"/>
      <c r="U329" s="1"/>
      <c r="V329" s="4"/>
      <c r="W329" s="3"/>
    </row>
    <row r="330" spans="1:24" x14ac:dyDescent="0.25">
      <c r="A330" s="154">
        <v>325</v>
      </c>
      <c r="B330" s="456" t="s">
        <v>3552</v>
      </c>
      <c r="C330" s="456"/>
      <c r="D330" s="154">
        <v>297</v>
      </c>
      <c r="E330" s="3" t="s">
        <v>1339</v>
      </c>
      <c r="F330" s="3" t="s">
        <v>1340</v>
      </c>
      <c r="G330" s="2" t="s">
        <v>1343</v>
      </c>
      <c r="H330" s="2" t="s">
        <v>1344</v>
      </c>
      <c r="I330" s="156" t="str">
        <f t="shared" si="22"/>
        <v>2018</v>
      </c>
      <c r="J330" s="156">
        <v>2018</v>
      </c>
      <c r="K330" s="156"/>
      <c r="L330" s="2"/>
      <c r="M330" s="157" t="str">
        <f t="shared" si="21"/>
        <v>К</v>
      </c>
      <c r="N330" s="3" t="s">
        <v>1262</v>
      </c>
      <c r="O330" s="4" t="s">
        <v>1263</v>
      </c>
      <c r="P330" s="1"/>
      <c r="U330" s="1"/>
      <c r="V330" s="4"/>
      <c r="W330" s="3"/>
    </row>
    <row r="331" spans="1:24" x14ac:dyDescent="0.25">
      <c r="A331" s="158">
        <v>326</v>
      </c>
      <c r="B331" s="456" t="s">
        <v>3552</v>
      </c>
      <c r="C331" s="457" t="s">
        <v>3034</v>
      </c>
      <c r="D331" s="158">
        <v>318</v>
      </c>
      <c r="E331" s="3" t="s">
        <v>1264</v>
      </c>
      <c r="F331" s="3" t="s">
        <v>1270</v>
      </c>
      <c r="G331" s="2" t="s">
        <v>1358</v>
      </c>
      <c r="H331" s="2" t="s">
        <v>662</v>
      </c>
      <c r="I331" s="156" t="str">
        <f t="shared" si="22"/>
        <v>2018</v>
      </c>
      <c r="J331" s="156">
        <v>2018</v>
      </c>
      <c r="K331" s="156"/>
      <c r="L331" s="2" t="s">
        <v>1359</v>
      </c>
      <c r="M331" s="157" t="str">
        <f t="shared" si="21"/>
        <v>К71012400036</v>
      </c>
      <c r="N331" s="3" t="s">
        <v>1262</v>
      </c>
      <c r="O331" s="4" t="s">
        <v>1263</v>
      </c>
      <c r="P331" s="1"/>
      <c r="U331" s="1"/>
      <c r="V331" s="4"/>
      <c r="W331" s="162"/>
      <c r="X331" s="162" t="s">
        <v>3034</v>
      </c>
    </row>
    <row r="332" spans="1:24" x14ac:dyDescent="0.25">
      <c r="A332" s="154">
        <v>327</v>
      </c>
      <c r="B332" s="456" t="s">
        <v>3552</v>
      </c>
      <c r="C332" s="457" t="s">
        <v>3034</v>
      </c>
      <c r="D332" s="154">
        <v>319</v>
      </c>
      <c r="E332" s="3" t="s">
        <v>1264</v>
      </c>
      <c r="F332" s="3" t="s">
        <v>1270</v>
      </c>
      <c r="G332" s="2" t="s">
        <v>1271</v>
      </c>
      <c r="H332" s="2" t="s">
        <v>662</v>
      </c>
      <c r="I332" s="156" t="str">
        <f t="shared" si="22"/>
        <v>2018</v>
      </c>
      <c r="J332" s="156">
        <v>2018</v>
      </c>
      <c r="K332" s="156"/>
      <c r="L332" s="2" t="s">
        <v>1272</v>
      </c>
      <c r="M332" s="157" t="str">
        <f t="shared" si="21"/>
        <v>К71012400037</v>
      </c>
      <c r="N332" s="3" t="s">
        <v>1262</v>
      </c>
      <c r="O332" s="4" t="s">
        <v>1263</v>
      </c>
      <c r="P332" s="1"/>
      <c r="U332" s="1"/>
      <c r="V332" s="4"/>
      <c r="W332" s="3"/>
    </row>
    <row r="333" spans="1:24" s="164" customFormat="1" x14ac:dyDescent="0.25">
      <c r="A333" s="158">
        <v>328</v>
      </c>
      <c r="B333" s="456" t="s">
        <v>3552</v>
      </c>
      <c r="C333" s="457" t="s">
        <v>3034</v>
      </c>
      <c r="D333" s="158">
        <v>324</v>
      </c>
      <c r="E333" s="3" t="s">
        <v>1273</v>
      </c>
      <c r="F333" s="3" t="s">
        <v>1298</v>
      </c>
      <c r="G333" s="2" t="s">
        <v>1305</v>
      </c>
      <c r="H333" s="2" t="s">
        <v>124</v>
      </c>
      <c r="I333" s="156" t="str">
        <f t="shared" si="22"/>
        <v>2018</v>
      </c>
      <c r="J333" s="156">
        <v>2018</v>
      </c>
      <c r="K333" s="156"/>
      <c r="L333" s="2" t="s">
        <v>1306</v>
      </c>
      <c r="M333" s="157" t="str">
        <f t="shared" si="21"/>
        <v>К01370151</v>
      </c>
      <c r="N333" s="3" t="s">
        <v>1262</v>
      </c>
      <c r="O333" s="4" t="s">
        <v>1263</v>
      </c>
      <c r="P333" s="1"/>
      <c r="Q333" s="1"/>
      <c r="R333" s="3"/>
      <c r="S333" s="1"/>
      <c r="T333" s="3"/>
      <c r="U333" s="1"/>
      <c r="V333" s="4"/>
      <c r="W333" s="3"/>
      <c r="X333" s="3"/>
    </row>
    <row r="334" spans="1:24" x14ac:dyDescent="0.25">
      <c r="A334" s="154">
        <v>329</v>
      </c>
      <c r="B334" s="456" t="s">
        <v>3552</v>
      </c>
      <c r="C334" s="457" t="s">
        <v>3034</v>
      </c>
      <c r="D334" s="154">
        <v>329</v>
      </c>
      <c r="E334" s="3" t="s">
        <v>1273</v>
      </c>
      <c r="F334" s="3" t="s">
        <v>1274</v>
      </c>
      <c r="G334" s="2" t="s">
        <v>1337</v>
      </c>
      <c r="H334" s="469" t="s">
        <v>124</v>
      </c>
      <c r="I334" s="156" t="str">
        <f t="shared" si="22"/>
        <v>2018</v>
      </c>
      <c r="J334" s="156">
        <v>2018</v>
      </c>
      <c r="K334" s="156"/>
      <c r="L334" s="2" t="s">
        <v>1338</v>
      </c>
      <c r="M334" s="157" t="str">
        <f t="shared" si="21"/>
        <v>К21012400230</v>
      </c>
      <c r="N334" s="3" t="s">
        <v>1262</v>
      </c>
      <c r="O334" s="4" t="s">
        <v>1263</v>
      </c>
      <c r="P334" s="1"/>
      <c r="U334" s="1"/>
      <c r="V334" s="4"/>
      <c r="W334" s="3"/>
    </row>
    <row r="335" spans="1:24" x14ac:dyDescent="0.25">
      <c r="A335" s="158">
        <v>330</v>
      </c>
      <c r="B335" s="456" t="s">
        <v>3552</v>
      </c>
      <c r="C335" s="457" t="s">
        <v>3034</v>
      </c>
      <c r="D335" s="158">
        <v>330</v>
      </c>
      <c r="E335" s="3" t="s">
        <v>1273</v>
      </c>
      <c r="F335" s="3" t="s">
        <v>1298</v>
      </c>
      <c r="G335" s="2" t="s">
        <v>1309</v>
      </c>
      <c r="H335" s="2" t="s">
        <v>124</v>
      </c>
      <c r="I335" s="156" t="str">
        <f t="shared" si="22"/>
        <v>2018</v>
      </c>
      <c r="J335" s="156">
        <v>2018</v>
      </c>
      <c r="K335" s="156"/>
      <c r="L335" s="2" t="s">
        <v>1310</v>
      </c>
      <c r="M335" s="157" t="str">
        <f t="shared" si="21"/>
        <v>К71012400031</v>
      </c>
      <c r="N335" s="3" t="s">
        <v>1262</v>
      </c>
      <c r="O335" s="4" t="s">
        <v>1263</v>
      </c>
      <c r="P335" s="1"/>
      <c r="U335" s="1"/>
      <c r="V335" s="4"/>
      <c r="W335" s="3"/>
    </row>
    <row r="336" spans="1:24" x14ac:dyDescent="0.25">
      <c r="A336" s="154">
        <v>331</v>
      </c>
      <c r="B336" s="456" t="s">
        <v>3552</v>
      </c>
      <c r="C336" s="457" t="s">
        <v>3034</v>
      </c>
      <c r="D336" s="154">
        <v>331</v>
      </c>
      <c r="E336" s="3" t="s">
        <v>1273</v>
      </c>
      <c r="F336" s="3" t="s">
        <v>1298</v>
      </c>
      <c r="G336" s="2" t="s">
        <v>1301</v>
      </c>
      <c r="H336" s="2" t="s">
        <v>124</v>
      </c>
      <c r="I336" s="156" t="str">
        <f t="shared" si="22"/>
        <v>2018</v>
      </c>
      <c r="J336" s="156">
        <v>2018</v>
      </c>
      <c r="K336" s="156"/>
      <c r="L336" s="2" t="s">
        <v>1302</v>
      </c>
      <c r="M336" s="157" t="str">
        <f t="shared" si="21"/>
        <v>К71012400032</v>
      </c>
      <c r="N336" s="3" t="s">
        <v>1262</v>
      </c>
      <c r="O336" s="4" t="s">
        <v>1263</v>
      </c>
      <c r="P336" s="1"/>
      <c r="U336" s="1"/>
      <c r="V336" s="4"/>
      <c r="W336" s="3"/>
    </row>
    <row r="337" spans="1:24" x14ac:dyDescent="0.25">
      <c r="A337" s="158">
        <v>332</v>
      </c>
      <c r="B337" s="456" t="s">
        <v>3552</v>
      </c>
      <c r="C337" s="457" t="s">
        <v>3034</v>
      </c>
      <c r="D337" s="158">
        <v>332</v>
      </c>
      <c r="E337" s="3" t="s">
        <v>1273</v>
      </c>
      <c r="F337" s="3" t="s">
        <v>1298</v>
      </c>
      <c r="G337" s="2" t="s">
        <v>1299</v>
      </c>
      <c r="H337" s="2" t="s">
        <v>124</v>
      </c>
      <c r="I337" s="156" t="str">
        <f t="shared" si="22"/>
        <v>2018</v>
      </c>
      <c r="J337" s="156">
        <v>2018</v>
      </c>
      <c r="K337" s="156"/>
      <c r="L337" s="2" t="s">
        <v>1300</v>
      </c>
      <c r="M337" s="157" t="str">
        <f t="shared" si="21"/>
        <v>К71012400033</v>
      </c>
      <c r="N337" s="3" t="s">
        <v>1262</v>
      </c>
      <c r="O337" s="4" t="s">
        <v>1263</v>
      </c>
      <c r="P337" s="1"/>
      <c r="U337" s="1"/>
      <c r="V337" s="4"/>
      <c r="W337" s="3"/>
    </row>
    <row r="338" spans="1:24" x14ac:dyDescent="0.25">
      <c r="A338" s="154">
        <v>333</v>
      </c>
      <c r="B338" s="456" t="s">
        <v>3552</v>
      </c>
      <c r="C338" s="457" t="s">
        <v>3034</v>
      </c>
      <c r="D338" s="154">
        <v>333</v>
      </c>
      <c r="E338" s="3" t="s">
        <v>1273</v>
      </c>
      <c r="F338" s="3" t="s">
        <v>1298</v>
      </c>
      <c r="G338" s="2" t="s">
        <v>1303</v>
      </c>
      <c r="H338" s="2" t="s">
        <v>124</v>
      </c>
      <c r="I338" s="156" t="str">
        <f t="shared" si="22"/>
        <v>2018</v>
      </c>
      <c r="J338" s="156">
        <v>2018</v>
      </c>
      <c r="K338" s="156"/>
      <c r="L338" s="2" t="s">
        <v>1304</v>
      </c>
      <c r="M338" s="157" t="str">
        <f t="shared" si="21"/>
        <v>К71012400038</v>
      </c>
      <c r="N338" s="3" t="s">
        <v>1262</v>
      </c>
      <c r="O338" s="4" t="s">
        <v>1263</v>
      </c>
      <c r="P338" s="1"/>
      <c r="U338" s="1"/>
      <c r="V338" s="4"/>
      <c r="W338" s="3"/>
    </row>
    <row r="339" spans="1:24" x14ac:dyDescent="0.25">
      <c r="A339" s="158">
        <v>334</v>
      </c>
      <c r="B339" s="1"/>
      <c r="C339" s="1"/>
      <c r="D339" s="158">
        <v>372</v>
      </c>
      <c r="E339" s="3" t="s">
        <v>141</v>
      </c>
      <c r="F339" s="3" t="s">
        <v>1901</v>
      </c>
      <c r="G339" s="2" t="s">
        <v>1902</v>
      </c>
      <c r="H339" s="2" t="s">
        <v>124</v>
      </c>
      <c r="I339" s="156" t="str">
        <f t="shared" si="22"/>
        <v>2018</v>
      </c>
      <c r="J339" s="156">
        <v>2018</v>
      </c>
      <c r="K339" s="156"/>
      <c r="L339" s="2"/>
      <c r="M339" s="157" t="str">
        <f t="shared" si="21"/>
        <v>К</v>
      </c>
      <c r="N339" s="3" t="s">
        <v>1262</v>
      </c>
      <c r="O339" s="4"/>
      <c r="P339" s="1"/>
      <c r="U339" s="1"/>
      <c r="V339" s="4"/>
      <c r="W339" s="3"/>
    </row>
    <row r="340" spans="1:24" x14ac:dyDescent="0.25">
      <c r="A340" s="154">
        <v>335</v>
      </c>
      <c r="B340" s="136" t="s">
        <v>3552</v>
      </c>
      <c r="C340" s="136"/>
      <c r="D340" s="154">
        <v>393</v>
      </c>
      <c r="E340" s="3" t="s">
        <v>690</v>
      </c>
      <c r="F340" s="3" t="s">
        <v>1943</v>
      </c>
      <c r="G340" s="2" t="s">
        <v>1944</v>
      </c>
      <c r="H340" s="2" t="s">
        <v>1945</v>
      </c>
      <c r="I340" s="156" t="str">
        <f t="shared" si="22"/>
        <v>2019</v>
      </c>
      <c r="J340" s="156">
        <v>2019</v>
      </c>
      <c r="K340" s="156"/>
      <c r="L340" s="2"/>
      <c r="M340" s="157" t="str">
        <f t="shared" si="21"/>
        <v>К</v>
      </c>
      <c r="N340" s="3" t="s">
        <v>1262</v>
      </c>
      <c r="O340" s="4" t="s">
        <v>1220</v>
      </c>
      <c r="P340" s="1"/>
      <c r="U340" s="1"/>
      <c r="V340" s="4"/>
      <c r="W340" s="3"/>
    </row>
    <row r="341" spans="1:24" x14ac:dyDescent="0.25">
      <c r="A341" s="158">
        <v>336</v>
      </c>
      <c r="B341" s="1"/>
      <c r="C341" s="455" t="s">
        <v>3691</v>
      </c>
      <c r="D341" s="158">
        <v>368</v>
      </c>
      <c r="E341" s="3" t="s">
        <v>154</v>
      </c>
      <c r="F341" s="468" t="s">
        <v>2372</v>
      </c>
      <c r="G341" s="2" t="s">
        <v>1929</v>
      </c>
      <c r="H341" s="2" t="s">
        <v>1099</v>
      </c>
      <c r="I341" s="156" t="str">
        <f t="shared" si="22"/>
        <v>2020</v>
      </c>
      <c r="J341" s="156">
        <v>2020</v>
      </c>
      <c r="K341" s="156"/>
      <c r="L341" s="2" t="s">
        <v>1930</v>
      </c>
      <c r="M341" s="157" t="str">
        <f t="shared" si="21"/>
        <v>К71012411489</v>
      </c>
      <c r="N341" s="3" t="s">
        <v>1262</v>
      </c>
      <c r="O341" s="4" t="s">
        <v>1076</v>
      </c>
      <c r="P341" s="1"/>
      <c r="U341" s="1"/>
      <c r="V341" s="4"/>
      <c r="W341" s="3"/>
      <c r="X341" s="161" t="s">
        <v>3034</v>
      </c>
    </row>
    <row r="342" spans="1:24" x14ac:dyDescent="0.25">
      <c r="A342" s="154">
        <v>337</v>
      </c>
      <c r="B342" s="456" t="s">
        <v>3552</v>
      </c>
      <c r="C342" s="456"/>
      <c r="D342" s="154">
        <v>395</v>
      </c>
      <c r="E342" s="161" t="s">
        <v>3647</v>
      </c>
      <c r="F342" s="3" t="s">
        <v>1396</v>
      </c>
      <c r="G342" s="2" t="s">
        <v>1397</v>
      </c>
      <c r="H342" s="2" t="s">
        <v>225</v>
      </c>
      <c r="I342" s="156" t="str">
        <f t="shared" si="22"/>
        <v>2021</v>
      </c>
      <c r="J342" s="156">
        <v>2021</v>
      </c>
      <c r="K342" s="156"/>
      <c r="L342" s="2"/>
      <c r="M342" s="157" t="str">
        <f t="shared" si="21"/>
        <v>К</v>
      </c>
      <c r="N342" s="3" t="s">
        <v>1262</v>
      </c>
      <c r="O342" s="4" t="s">
        <v>1263</v>
      </c>
      <c r="P342" s="1"/>
      <c r="U342" s="1"/>
      <c r="V342" s="4"/>
      <c r="W342" s="3"/>
    </row>
    <row r="343" spans="1:24" x14ac:dyDescent="0.25">
      <c r="A343" s="154">
        <v>233</v>
      </c>
      <c r="B343" s="1"/>
      <c r="C343" s="457" t="s">
        <v>3034</v>
      </c>
      <c r="D343" s="158">
        <v>376</v>
      </c>
      <c r="E343" s="3" t="s">
        <v>24</v>
      </c>
      <c r="F343" s="3" t="s">
        <v>1084</v>
      </c>
      <c r="G343" s="2" t="s">
        <v>1924</v>
      </c>
      <c r="H343" s="2" t="s">
        <v>550</v>
      </c>
      <c r="I343" s="156" t="str">
        <f t="shared" si="22"/>
        <v>2005</v>
      </c>
      <c r="J343" s="156"/>
      <c r="K343" s="156"/>
      <c r="L343" s="2"/>
      <c r="M343" s="157" t="str">
        <f t="shared" si="21"/>
        <v>К</v>
      </c>
      <c r="N343" s="3" t="s">
        <v>1262</v>
      </c>
      <c r="O343" s="4" t="s">
        <v>1925</v>
      </c>
      <c r="P343" s="1"/>
      <c r="U343" s="1"/>
      <c r="V343" s="4"/>
      <c r="W343" s="3"/>
    </row>
    <row r="344" spans="1:24" x14ac:dyDescent="0.25">
      <c r="A344" s="154">
        <v>239</v>
      </c>
      <c r="B344" s="1"/>
      <c r="C344" s="457" t="s">
        <v>3034</v>
      </c>
      <c r="D344" s="154">
        <v>375</v>
      </c>
      <c r="E344" s="3" t="s">
        <v>24</v>
      </c>
      <c r="F344" s="3" t="s">
        <v>208</v>
      </c>
      <c r="G344" s="2" t="s">
        <v>1890</v>
      </c>
      <c r="H344" s="2" t="s">
        <v>79</v>
      </c>
      <c r="I344" s="156" t="str">
        <f t="shared" si="22"/>
        <v>2009</v>
      </c>
      <c r="J344" s="156"/>
      <c r="K344" s="156"/>
      <c r="L344" s="2" t="s">
        <v>1891</v>
      </c>
      <c r="M344" s="157" t="str">
        <f t="shared" si="21"/>
        <v>К08102627_2</v>
      </c>
      <c r="N344" s="3" t="s">
        <v>1262</v>
      </c>
      <c r="O344" s="4" t="s">
        <v>1892</v>
      </c>
      <c r="P344" s="1"/>
      <c r="U344" s="1"/>
      <c r="V344" s="4"/>
      <c r="W344" s="3"/>
    </row>
    <row r="345" spans="1:24" x14ac:dyDescent="0.25">
      <c r="A345" s="158">
        <v>240</v>
      </c>
      <c r="B345" s="456"/>
      <c r="C345" s="457" t="s">
        <v>3034</v>
      </c>
      <c r="D345" s="158">
        <v>392</v>
      </c>
      <c r="E345" s="3" t="s">
        <v>24</v>
      </c>
      <c r="F345" s="3" t="s">
        <v>1102</v>
      </c>
      <c r="G345" s="2" t="s">
        <v>1416</v>
      </c>
      <c r="H345" s="2" t="s">
        <v>79</v>
      </c>
      <c r="I345" s="156" t="str">
        <f t="shared" si="22"/>
        <v>2009</v>
      </c>
      <c r="J345" s="156"/>
      <c r="K345" s="156"/>
      <c r="L345" s="2" t="s">
        <v>1417</v>
      </c>
      <c r="M345" s="157" t="str">
        <f t="shared" si="21"/>
        <v>К08102650</v>
      </c>
      <c r="N345" s="3" t="s">
        <v>1262</v>
      </c>
      <c r="O345" s="4" t="s">
        <v>1263</v>
      </c>
      <c r="P345" s="1"/>
      <c r="U345" s="1"/>
      <c r="V345" s="4"/>
      <c r="W345" s="3"/>
    </row>
    <row r="346" spans="1:24" x14ac:dyDescent="0.25">
      <c r="A346" s="154">
        <v>269</v>
      </c>
      <c r="B346" s="1"/>
      <c r="C346" s="457" t="s">
        <v>3034</v>
      </c>
      <c r="D346" s="154">
        <v>389</v>
      </c>
      <c r="E346" s="3" t="s">
        <v>24</v>
      </c>
      <c r="F346" s="3" t="s">
        <v>104</v>
      </c>
      <c r="G346" s="2" t="s">
        <v>1931</v>
      </c>
      <c r="H346" s="2" t="s">
        <v>283</v>
      </c>
      <c r="I346" s="156" t="str">
        <f t="shared" si="22"/>
        <v>2011</v>
      </c>
      <c r="J346" s="156"/>
      <c r="K346" s="156"/>
      <c r="L346" s="2" t="s">
        <v>1932</v>
      </c>
      <c r="M346" s="157" t="str">
        <f t="shared" si="21"/>
        <v>К236000450</v>
      </c>
      <c r="N346" s="3" t="s">
        <v>1262</v>
      </c>
      <c r="O346" s="4" t="s">
        <v>1933</v>
      </c>
      <c r="P346" s="1"/>
      <c r="U346" s="1"/>
      <c r="V346" s="4"/>
      <c r="W346" s="3"/>
    </row>
    <row r="347" spans="1:24" x14ac:dyDescent="0.25">
      <c r="A347" s="158">
        <v>270</v>
      </c>
      <c r="B347" s="136" t="s">
        <v>3552</v>
      </c>
      <c r="C347" s="136"/>
      <c r="D347" s="154">
        <v>337</v>
      </c>
      <c r="E347" s="138" t="s">
        <v>3554</v>
      </c>
      <c r="F347" s="3" t="s">
        <v>1896</v>
      </c>
      <c r="G347" s="2" t="s">
        <v>1897</v>
      </c>
      <c r="H347" s="2" t="s">
        <v>51</v>
      </c>
      <c r="I347" s="156" t="str">
        <f t="shared" si="22"/>
        <v>2014</v>
      </c>
      <c r="J347" s="156"/>
      <c r="K347" s="156"/>
      <c r="L347" s="2" t="s">
        <v>1898</v>
      </c>
      <c r="M347" s="157" t="str">
        <f t="shared" si="21"/>
        <v>К7240000204</v>
      </c>
      <c r="N347" s="3" t="s">
        <v>1262</v>
      </c>
      <c r="O347" s="4" t="s">
        <v>1895</v>
      </c>
      <c r="P347" s="1"/>
      <c r="U347" s="1"/>
      <c r="V347" s="4"/>
      <c r="W347" s="3"/>
    </row>
    <row r="348" spans="1:24" x14ac:dyDescent="0.25">
      <c r="A348" s="154">
        <v>271</v>
      </c>
      <c r="B348" s="1"/>
      <c r="C348" s="457" t="s">
        <v>3034</v>
      </c>
      <c r="D348" s="158">
        <v>378</v>
      </c>
      <c r="E348" s="3" t="s">
        <v>24</v>
      </c>
      <c r="F348" s="3" t="s">
        <v>37</v>
      </c>
      <c r="G348" s="2" t="s">
        <v>1940</v>
      </c>
      <c r="H348" s="2" t="s">
        <v>51</v>
      </c>
      <c r="I348" s="156" t="str">
        <f t="shared" si="22"/>
        <v>2014</v>
      </c>
      <c r="J348" s="156"/>
      <c r="K348" s="156"/>
      <c r="L348" s="2" t="s">
        <v>1941</v>
      </c>
      <c r="M348" s="157" t="str">
        <f t="shared" ref="M348:M369" si="23">CONCATENATE("К",L348)</f>
        <v>К08102990_2</v>
      </c>
      <c r="N348" s="3" t="s">
        <v>1262</v>
      </c>
      <c r="O348" s="4" t="s">
        <v>1220</v>
      </c>
      <c r="P348" s="1"/>
      <c r="U348" s="1"/>
      <c r="V348" s="4"/>
      <c r="W348" s="3"/>
    </row>
    <row r="349" spans="1:24" x14ac:dyDescent="0.25">
      <c r="A349" s="158">
        <v>272</v>
      </c>
      <c r="B349" s="1"/>
      <c r="C349" s="457" t="s">
        <v>3034</v>
      </c>
      <c r="D349" s="154">
        <v>379</v>
      </c>
      <c r="E349" s="3" t="s">
        <v>24</v>
      </c>
      <c r="F349" s="3" t="s">
        <v>45</v>
      </c>
      <c r="G349" s="2" t="s">
        <v>1955</v>
      </c>
      <c r="H349" s="2" t="s">
        <v>51</v>
      </c>
      <c r="I349" s="156" t="str">
        <f t="shared" si="22"/>
        <v>2014</v>
      </c>
      <c r="J349" s="156"/>
      <c r="K349" s="156"/>
      <c r="L349" s="2"/>
      <c r="M349" s="157" t="str">
        <f t="shared" si="23"/>
        <v>К</v>
      </c>
      <c r="N349" s="3" t="s">
        <v>1262</v>
      </c>
      <c r="O349" s="4" t="s">
        <v>1956</v>
      </c>
      <c r="P349" s="1"/>
      <c r="U349" s="1"/>
      <c r="V349" s="4"/>
      <c r="W349" s="3"/>
    </row>
    <row r="350" spans="1:24" x14ac:dyDescent="0.25">
      <c r="A350" s="154">
        <v>273</v>
      </c>
      <c r="B350" s="1"/>
      <c r="C350" s="457" t="s">
        <v>3034</v>
      </c>
      <c r="D350" s="158">
        <v>380</v>
      </c>
      <c r="E350" s="3" t="s">
        <v>24</v>
      </c>
      <c r="F350" s="3" t="s">
        <v>37</v>
      </c>
      <c r="G350" s="2" t="s">
        <v>1915</v>
      </c>
      <c r="H350" s="2" t="s">
        <v>51</v>
      </c>
      <c r="I350" s="156" t="str">
        <f t="shared" si="22"/>
        <v>2014</v>
      </c>
      <c r="J350" s="156"/>
      <c r="K350" s="156"/>
      <c r="L350" s="2" t="s">
        <v>1916</v>
      </c>
      <c r="M350" s="157" t="str">
        <f t="shared" si="23"/>
        <v>К2360000468</v>
      </c>
      <c r="N350" s="3" t="s">
        <v>1262</v>
      </c>
      <c r="O350" s="4" t="s">
        <v>1888</v>
      </c>
      <c r="P350" s="1"/>
      <c r="U350" s="1"/>
      <c r="V350" s="4"/>
      <c r="W350" s="3"/>
    </row>
    <row r="351" spans="1:24" x14ac:dyDescent="0.25">
      <c r="A351" s="158">
        <v>274</v>
      </c>
      <c r="B351" s="1"/>
      <c r="C351" s="457" t="s">
        <v>3034</v>
      </c>
      <c r="D351" s="154">
        <v>391</v>
      </c>
      <c r="E351" s="3" t="s">
        <v>24</v>
      </c>
      <c r="F351" s="3" t="s">
        <v>37</v>
      </c>
      <c r="G351" s="2" t="s">
        <v>1900</v>
      </c>
      <c r="H351" s="2" t="s">
        <v>51</v>
      </c>
      <c r="I351" s="156" t="str">
        <f t="shared" si="22"/>
        <v>2014</v>
      </c>
      <c r="J351" s="156"/>
      <c r="K351" s="156"/>
      <c r="L351" s="2"/>
      <c r="M351" s="157" t="str">
        <f t="shared" si="23"/>
        <v>К</v>
      </c>
      <c r="N351" s="3" t="s">
        <v>1262</v>
      </c>
      <c r="O351" s="4" t="s">
        <v>119</v>
      </c>
      <c r="P351" s="1"/>
      <c r="U351" s="1"/>
      <c r="V351" s="4"/>
      <c r="W351" s="3"/>
    </row>
    <row r="352" spans="1:24" x14ac:dyDescent="0.25">
      <c r="A352" s="154">
        <v>275</v>
      </c>
      <c r="B352" s="456" t="s">
        <v>3552</v>
      </c>
      <c r="C352" s="456"/>
      <c r="D352" s="158">
        <v>354</v>
      </c>
      <c r="E352" s="3" t="s">
        <v>2319</v>
      </c>
      <c r="F352" s="43" t="s">
        <v>32</v>
      </c>
      <c r="G352" s="2" t="s">
        <v>1942</v>
      </c>
      <c r="H352" s="461" t="s">
        <v>969</v>
      </c>
      <c r="I352" s="156" t="str">
        <f t="shared" si="22"/>
        <v>2017</v>
      </c>
      <c r="J352" s="156"/>
      <c r="K352" s="156"/>
      <c r="L352" s="2"/>
      <c r="M352" s="157" t="str">
        <f t="shared" si="23"/>
        <v>К</v>
      </c>
      <c r="N352" s="3" t="s">
        <v>1262</v>
      </c>
      <c r="O352" s="4" t="s">
        <v>1220</v>
      </c>
      <c r="P352" s="1"/>
      <c r="U352" s="1"/>
      <c r="V352" s="4"/>
      <c r="W352" s="3"/>
    </row>
    <row r="353" spans="1:24" x14ac:dyDescent="0.25">
      <c r="A353" s="158">
        <v>276</v>
      </c>
      <c r="B353" s="456" t="s">
        <v>3552</v>
      </c>
      <c r="C353" s="456"/>
      <c r="D353" s="154">
        <v>355</v>
      </c>
      <c r="E353" s="3" t="s">
        <v>2319</v>
      </c>
      <c r="F353" s="43" t="s">
        <v>32</v>
      </c>
      <c r="G353" s="2" t="s">
        <v>1903</v>
      </c>
      <c r="H353" s="461" t="s">
        <v>969</v>
      </c>
      <c r="I353" s="156" t="str">
        <f t="shared" si="22"/>
        <v>2017</v>
      </c>
      <c r="J353" s="156"/>
      <c r="K353" s="156"/>
      <c r="L353" s="2"/>
      <c r="M353" s="157" t="str">
        <f t="shared" si="23"/>
        <v>К</v>
      </c>
      <c r="N353" s="3" t="s">
        <v>1262</v>
      </c>
      <c r="O353" s="4" t="s">
        <v>1904</v>
      </c>
      <c r="P353" s="1"/>
      <c r="U353" s="1"/>
      <c r="V353" s="4"/>
      <c r="W353" s="3"/>
    </row>
    <row r="354" spans="1:24" x14ac:dyDescent="0.25">
      <c r="A354" s="154">
        <v>277</v>
      </c>
      <c r="B354" s="456" t="s">
        <v>3552</v>
      </c>
      <c r="C354" s="456"/>
      <c r="D354" s="158">
        <v>356</v>
      </c>
      <c r="E354" s="3" t="s">
        <v>2319</v>
      </c>
      <c r="F354" s="43" t="s">
        <v>32</v>
      </c>
      <c r="G354" s="2" t="s">
        <v>1950</v>
      </c>
      <c r="H354" s="461" t="s">
        <v>969</v>
      </c>
      <c r="I354" s="156" t="str">
        <f t="shared" si="22"/>
        <v>2017</v>
      </c>
      <c r="J354" s="156"/>
      <c r="K354" s="156"/>
      <c r="L354" s="2"/>
      <c r="M354" s="157" t="str">
        <f t="shared" si="23"/>
        <v>К</v>
      </c>
      <c r="N354" s="3" t="s">
        <v>1262</v>
      </c>
      <c r="O354" s="4" t="s">
        <v>1949</v>
      </c>
      <c r="P354" s="1"/>
      <c r="U354" s="1"/>
      <c r="V354" s="4"/>
      <c r="W354" s="3"/>
    </row>
    <row r="355" spans="1:24" x14ac:dyDescent="0.25">
      <c r="A355" s="158">
        <v>278</v>
      </c>
      <c r="B355" s="456" t="s">
        <v>3552</v>
      </c>
      <c r="C355" s="456"/>
      <c r="D355" s="154">
        <v>357</v>
      </c>
      <c r="E355" s="3" t="s">
        <v>2319</v>
      </c>
      <c r="F355" s="43" t="s">
        <v>32</v>
      </c>
      <c r="G355" s="2" t="s">
        <v>1918</v>
      </c>
      <c r="H355" s="461" t="s">
        <v>969</v>
      </c>
      <c r="I355" s="156" t="str">
        <f t="shared" ref="I355:I386" si="24">RIGHT(H355,4)</f>
        <v>2017</v>
      </c>
      <c r="J355" s="156"/>
      <c r="K355" s="156"/>
      <c r="L355" s="2"/>
      <c r="M355" s="157" t="str">
        <f t="shared" si="23"/>
        <v>К</v>
      </c>
      <c r="N355" s="3" t="s">
        <v>1262</v>
      </c>
      <c r="O355" s="4" t="s">
        <v>1888</v>
      </c>
      <c r="P355" s="1"/>
      <c r="U355" s="1"/>
      <c r="V355" s="4"/>
      <c r="W355" s="3"/>
    </row>
    <row r="356" spans="1:24" x14ac:dyDescent="0.25">
      <c r="A356" s="154">
        <v>279</v>
      </c>
      <c r="B356" s="456" t="s">
        <v>3552</v>
      </c>
      <c r="C356" s="456"/>
      <c r="D356" s="158">
        <v>358</v>
      </c>
      <c r="E356" s="3" t="s">
        <v>2319</v>
      </c>
      <c r="F356" s="43" t="s">
        <v>32</v>
      </c>
      <c r="G356" s="2" t="s">
        <v>1919</v>
      </c>
      <c r="H356" s="461" t="s">
        <v>969</v>
      </c>
      <c r="I356" s="156" t="str">
        <f t="shared" si="24"/>
        <v>2017</v>
      </c>
      <c r="J356" s="156"/>
      <c r="K356" s="156"/>
      <c r="L356" s="2"/>
      <c r="M356" s="157" t="str">
        <f t="shared" si="23"/>
        <v>К</v>
      </c>
      <c r="N356" s="3" t="s">
        <v>1262</v>
      </c>
      <c r="O356" s="4" t="s">
        <v>1888</v>
      </c>
      <c r="P356" s="1"/>
      <c r="U356" s="1"/>
      <c r="V356" s="4"/>
      <c r="W356" s="164"/>
      <c r="X356" s="164" t="s">
        <v>3034</v>
      </c>
    </row>
    <row r="357" spans="1:24" x14ac:dyDescent="0.25">
      <c r="A357" s="158">
        <v>280</v>
      </c>
      <c r="B357" s="456" t="s">
        <v>3552</v>
      </c>
      <c r="C357" s="456"/>
      <c r="D357" s="154">
        <v>359</v>
      </c>
      <c r="E357" s="3" t="s">
        <v>2319</v>
      </c>
      <c r="F357" s="43" t="s">
        <v>32</v>
      </c>
      <c r="G357" s="2" t="s">
        <v>1920</v>
      </c>
      <c r="H357" s="461" t="s">
        <v>969</v>
      </c>
      <c r="I357" s="156" t="str">
        <f t="shared" si="24"/>
        <v>2017</v>
      </c>
      <c r="J357" s="156"/>
      <c r="K357" s="156"/>
      <c r="L357" s="2"/>
      <c r="M357" s="157" t="str">
        <f t="shared" si="23"/>
        <v>К</v>
      </c>
      <c r="N357" s="3" t="s">
        <v>1262</v>
      </c>
      <c r="O357" s="4" t="s">
        <v>1888</v>
      </c>
      <c r="P357" s="1"/>
      <c r="U357" s="1"/>
      <c r="V357" s="4"/>
      <c r="W357" s="3"/>
    </row>
    <row r="358" spans="1:24" x14ac:dyDescent="0.25">
      <c r="A358" s="154">
        <v>281</v>
      </c>
      <c r="B358" s="456" t="s">
        <v>3552</v>
      </c>
      <c r="C358" s="456"/>
      <c r="D358" s="158">
        <v>360</v>
      </c>
      <c r="E358" s="3" t="s">
        <v>2319</v>
      </c>
      <c r="F358" s="43" t="s">
        <v>32</v>
      </c>
      <c r="G358" s="2" t="s">
        <v>1921</v>
      </c>
      <c r="H358" s="461" t="s">
        <v>969</v>
      </c>
      <c r="I358" s="156" t="str">
        <f t="shared" si="24"/>
        <v>2017</v>
      </c>
      <c r="J358" s="156"/>
      <c r="K358" s="156"/>
      <c r="L358" s="2"/>
      <c r="M358" s="157" t="str">
        <f t="shared" si="23"/>
        <v>К</v>
      </c>
      <c r="N358" s="3" t="s">
        <v>1262</v>
      </c>
      <c r="O358" s="4" t="s">
        <v>1888</v>
      </c>
      <c r="P358" s="1"/>
      <c r="U358" s="1"/>
      <c r="V358" s="4"/>
      <c r="W358" s="3"/>
    </row>
    <row r="359" spans="1:24" x14ac:dyDescent="0.25">
      <c r="A359" s="158">
        <v>282</v>
      </c>
      <c r="B359" s="456" t="s">
        <v>3552</v>
      </c>
      <c r="C359" s="456"/>
      <c r="D359" s="154">
        <v>361</v>
      </c>
      <c r="E359" s="3" t="s">
        <v>2319</v>
      </c>
      <c r="F359" s="43" t="s">
        <v>32</v>
      </c>
      <c r="G359" s="478" t="s">
        <v>2342</v>
      </c>
      <c r="H359" s="461" t="s">
        <v>969</v>
      </c>
      <c r="I359" s="156" t="str">
        <f t="shared" si="24"/>
        <v>2017</v>
      </c>
      <c r="J359" s="156"/>
      <c r="K359" s="156"/>
      <c r="L359" s="2"/>
      <c r="M359" s="157" t="str">
        <f t="shared" si="23"/>
        <v>К</v>
      </c>
      <c r="N359" s="3" t="s">
        <v>1262</v>
      </c>
      <c r="O359" s="4" t="s">
        <v>1888</v>
      </c>
      <c r="P359" s="1"/>
      <c r="U359" s="1"/>
      <c r="V359" s="4"/>
      <c r="W359" s="3"/>
    </row>
    <row r="360" spans="1:24" x14ac:dyDescent="0.25">
      <c r="A360" s="158">
        <v>236</v>
      </c>
      <c r="B360" s="456" t="s">
        <v>3552</v>
      </c>
      <c r="C360" s="456"/>
      <c r="D360" s="158">
        <v>362</v>
      </c>
      <c r="E360" s="3" t="s">
        <v>2319</v>
      </c>
      <c r="F360" s="43" t="s">
        <v>32</v>
      </c>
      <c r="G360" s="478" t="s">
        <v>2343</v>
      </c>
      <c r="H360" s="461" t="s">
        <v>969</v>
      </c>
      <c r="I360" s="156" t="str">
        <f t="shared" si="24"/>
        <v>2017</v>
      </c>
      <c r="J360" s="156"/>
      <c r="K360" s="156"/>
      <c r="L360" s="2"/>
      <c r="M360" s="157" t="str">
        <f t="shared" si="23"/>
        <v>К</v>
      </c>
      <c r="N360" s="3" t="s">
        <v>1262</v>
      </c>
      <c r="O360" s="4" t="s">
        <v>1888</v>
      </c>
      <c r="P360" s="1"/>
      <c r="U360" s="1"/>
      <c r="V360" s="4"/>
      <c r="W360" s="3"/>
    </row>
    <row r="361" spans="1:24" x14ac:dyDescent="0.25">
      <c r="A361" s="154">
        <v>241</v>
      </c>
      <c r="B361" s="456" t="s">
        <v>3552</v>
      </c>
      <c r="C361" s="456"/>
      <c r="D361" s="158">
        <v>364</v>
      </c>
      <c r="E361" s="3" t="s">
        <v>2319</v>
      </c>
      <c r="F361" s="43" t="s">
        <v>32</v>
      </c>
      <c r="G361" s="478" t="s">
        <v>2344</v>
      </c>
      <c r="H361" s="461" t="s">
        <v>969</v>
      </c>
      <c r="I361" s="156" t="str">
        <f t="shared" si="24"/>
        <v>2017</v>
      </c>
      <c r="J361" s="156"/>
      <c r="K361" s="156"/>
      <c r="L361" s="2"/>
      <c r="M361" s="157" t="str">
        <f t="shared" si="23"/>
        <v>К</v>
      </c>
      <c r="N361" s="3" t="s">
        <v>1262</v>
      </c>
      <c r="O361" s="479" t="s">
        <v>706</v>
      </c>
      <c r="P361" s="1"/>
      <c r="U361" s="1"/>
      <c r="V361" s="4"/>
      <c r="W361" s="3"/>
    </row>
    <row r="362" spans="1:24" x14ac:dyDescent="0.25">
      <c r="A362" s="154">
        <v>243</v>
      </c>
      <c r="B362" s="456" t="s">
        <v>3552</v>
      </c>
      <c r="C362" s="456"/>
      <c r="D362" s="154">
        <v>365</v>
      </c>
      <c r="E362" s="3" t="s">
        <v>2319</v>
      </c>
      <c r="F362" s="43" t="s">
        <v>32</v>
      </c>
      <c r="G362" s="478" t="s">
        <v>2346</v>
      </c>
      <c r="H362" s="461" t="s">
        <v>969</v>
      </c>
      <c r="I362" s="156" t="str">
        <f t="shared" si="24"/>
        <v>2017</v>
      </c>
      <c r="J362" s="156"/>
      <c r="K362" s="156"/>
      <c r="L362" s="2"/>
      <c r="M362" s="157" t="str">
        <f t="shared" si="23"/>
        <v>К</v>
      </c>
      <c r="N362" s="3" t="s">
        <v>1262</v>
      </c>
      <c r="O362" s="479" t="s">
        <v>706</v>
      </c>
      <c r="P362" s="1"/>
      <c r="U362" s="1"/>
      <c r="V362" s="4"/>
      <c r="W362" s="3"/>
    </row>
    <row r="363" spans="1:24" x14ac:dyDescent="0.25">
      <c r="A363" s="158">
        <v>246</v>
      </c>
      <c r="B363" s="456" t="s">
        <v>3552</v>
      </c>
      <c r="C363" s="456"/>
      <c r="D363" s="158">
        <v>366</v>
      </c>
      <c r="E363" s="3" t="s">
        <v>2319</v>
      </c>
      <c r="F363" s="43" t="s">
        <v>32</v>
      </c>
      <c r="G363" s="478" t="s">
        <v>2347</v>
      </c>
      <c r="H363" s="461" t="s">
        <v>969</v>
      </c>
      <c r="I363" s="156" t="str">
        <f t="shared" si="24"/>
        <v>2017</v>
      </c>
      <c r="J363" s="156"/>
      <c r="K363" s="156"/>
      <c r="L363" s="2"/>
      <c r="M363" s="157" t="str">
        <f t="shared" si="23"/>
        <v>К</v>
      </c>
      <c r="N363" s="3" t="s">
        <v>1262</v>
      </c>
      <c r="O363" s="479" t="s">
        <v>706</v>
      </c>
      <c r="P363" s="1"/>
      <c r="U363" s="1"/>
      <c r="V363" s="4"/>
      <c r="W363" s="3"/>
    </row>
    <row r="364" spans="1:24" x14ac:dyDescent="0.25">
      <c r="A364" s="154">
        <v>247</v>
      </c>
      <c r="B364" s="1"/>
      <c r="C364" s="457" t="s">
        <v>3034</v>
      </c>
      <c r="D364" s="158">
        <v>390</v>
      </c>
      <c r="E364" s="3" t="s">
        <v>24</v>
      </c>
      <c r="F364" s="3" t="s">
        <v>25</v>
      </c>
      <c r="G364" s="2" t="s">
        <v>1046</v>
      </c>
      <c r="H364" s="2" t="s">
        <v>969</v>
      </c>
      <c r="I364" s="156" t="str">
        <f t="shared" si="24"/>
        <v>2017</v>
      </c>
      <c r="J364" s="156"/>
      <c r="K364" s="156"/>
      <c r="L364" s="592" t="s">
        <v>1047</v>
      </c>
      <c r="M364" s="157" t="str">
        <f t="shared" si="23"/>
        <v>К7240000726</v>
      </c>
      <c r="N364" s="3" t="s">
        <v>1262</v>
      </c>
      <c r="O364" s="4" t="s">
        <v>1223</v>
      </c>
      <c r="P364" s="1"/>
      <c r="U364" s="1"/>
      <c r="V364" s="4"/>
      <c r="W364" s="3"/>
    </row>
    <row r="365" spans="1:24" x14ac:dyDescent="0.25">
      <c r="A365" s="158">
        <v>248</v>
      </c>
      <c r="B365" s="1"/>
      <c r="C365" s="457" t="s">
        <v>3034</v>
      </c>
      <c r="D365" s="154">
        <v>377</v>
      </c>
      <c r="E365" s="3" t="s">
        <v>24</v>
      </c>
      <c r="F365" s="3" t="s">
        <v>37</v>
      </c>
      <c r="G365" s="2" t="s">
        <v>1893</v>
      </c>
      <c r="H365" s="2" t="s">
        <v>124</v>
      </c>
      <c r="I365" s="156" t="str">
        <f t="shared" si="24"/>
        <v>2018</v>
      </c>
      <c r="J365" s="156"/>
      <c r="K365" s="156"/>
      <c r="L365" s="2" t="s">
        <v>1894</v>
      </c>
      <c r="M365" s="157" t="str">
        <f t="shared" si="23"/>
        <v>К71012400133</v>
      </c>
      <c r="N365" s="3" t="s">
        <v>1262</v>
      </c>
      <c r="O365" s="4" t="s">
        <v>1895</v>
      </c>
      <c r="P365" s="1"/>
      <c r="U365" s="1"/>
      <c r="V365" s="4"/>
      <c r="W365" s="3"/>
    </row>
    <row r="366" spans="1:24" x14ac:dyDescent="0.25">
      <c r="A366" s="154">
        <v>249</v>
      </c>
      <c r="B366" s="1"/>
      <c r="C366" s="457" t="s">
        <v>3034</v>
      </c>
      <c r="D366" s="154">
        <v>381</v>
      </c>
      <c r="E366" s="3" t="s">
        <v>24</v>
      </c>
      <c r="F366" s="3" t="s">
        <v>25</v>
      </c>
      <c r="G366" s="2" t="s">
        <v>1908</v>
      </c>
      <c r="H366" s="2" t="s">
        <v>124</v>
      </c>
      <c r="I366" s="156" t="str">
        <f t="shared" si="24"/>
        <v>2018</v>
      </c>
      <c r="J366" s="156"/>
      <c r="K366" s="156"/>
      <c r="L366" s="2" t="s">
        <v>1909</v>
      </c>
      <c r="M366" s="157" t="str">
        <f t="shared" si="23"/>
        <v>К71012400139</v>
      </c>
      <c r="N366" s="3" t="s">
        <v>1262</v>
      </c>
      <c r="O366" s="4" t="s">
        <v>1154</v>
      </c>
      <c r="P366" s="1"/>
      <c r="U366" s="1"/>
      <c r="V366" s="4"/>
      <c r="W366" s="3"/>
    </row>
    <row r="367" spans="1:24" x14ac:dyDescent="0.25">
      <c r="A367" s="158">
        <v>250</v>
      </c>
      <c r="B367" s="1"/>
      <c r="C367" s="457" t="s">
        <v>3034</v>
      </c>
      <c r="D367" s="158">
        <v>382</v>
      </c>
      <c r="E367" s="3" t="s">
        <v>24</v>
      </c>
      <c r="F367" s="3" t="s">
        <v>25</v>
      </c>
      <c r="G367" s="2" t="s">
        <v>1911</v>
      </c>
      <c r="H367" s="2" t="s">
        <v>124</v>
      </c>
      <c r="I367" s="156" t="str">
        <f t="shared" si="24"/>
        <v>2018</v>
      </c>
      <c r="J367" s="156"/>
      <c r="K367" s="156"/>
      <c r="L367" s="2" t="s">
        <v>1912</v>
      </c>
      <c r="M367" s="157" t="str">
        <f t="shared" si="23"/>
        <v>К71012400131</v>
      </c>
      <c r="N367" s="3" t="s">
        <v>1262</v>
      </c>
      <c r="O367" s="4" t="s">
        <v>1157</v>
      </c>
      <c r="P367" s="1"/>
      <c r="U367" s="1"/>
      <c r="V367" s="4"/>
      <c r="W367" s="3"/>
    </row>
    <row r="368" spans="1:24" x14ac:dyDescent="0.25">
      <c r="A368" s="154">
        <v>251</v>
      </c>
      <c r="B368" s="1"/>
      <c r="C368" s="457" t="s">
        <v>3034</v>
      </c>
      <c r="D368" s="154">
        <v>385</v>
      </c>
      <c r="E368" s="3" t="s">
        <v>24</v>
      </c>
      <c r="F368" s="3" t="s">
        <v>25</v>
      </c>
      <c r="G368" s="2" t="s">
        <v>1922</v>
      </c>
      <c r="H368" s="2" t="s">
        <v>124</v>
      </c>
      <c r="I368" s="156" t="str">
        <f t="shared" si="24"/>
        <v>2018</v>
      </c>
      <c r="J368" s="156"/>
      <c r="K368" s="156"/>
      <c r="L368" s="2" t="s">
        <v>1923</v>
      </c>
      <c r="M368" s="157" t="str">
        <f t="shared" si="23"/>
        <v>К71012400135</v>
      </c>
      <c r="N368" s="3" t="s">
        <v>1262</v>
      </c>
      <c r="O368" s="4" t="s">
        <v>1167</v>
      </c>
      <c r="P368" s="1"/>
      <c r="U368" s="1"/>
      <c r="V368" s="4"/>
      <c r="W368" s="3"/>
    </row>
    <row r="369" spans="1:23" ht="19.5" customHeight="1" x14ac:dyDescent="0.25">
      <c r="A369" s="158">
        <v>268</v>
      </c>
      <c r="B369" s="1"/>
      <c r="C369" s="452" t="s">
        <v>3640</v>
      </c>
      <c r="D369" s="154">
        <v>397</v>
      </c>
      <c r="E369" s="3" t="s">
        <v>2320</v>
      </c>
      <c r="F369" s="170" t="s">
        <v>1214</v>
      </c>
      <c r="G369" s="2" t="s">
        <v>1939</v>
      </c>
      <c r="H369" s="2" t="s">
        <v>1216</v>
      </c>
      <c r="I369" s="156" t="str">
        <f t="shared" si="24"/>
        <v>2019</v>
      </c>
      <c r="J369" s="156"/>
      <c r="K369" s="156"/>
      <c r="L369" s="2"/>
      <c r="M369" s="157" t="str">
        <f t="shared" si="23"/>
        <v>К</v>
      </c>
      <c r="N369" s="3" t="s">
        <v>1262</v>
      </c>
      <c r="O369" s="4" t="s">
        <v>1076</v>
      </c>
      <c r="P369" s="1"/>
      <c r="R369" s="170" t="s">
        <v>3754</v>
      </c>
      <c r="S369" s="455" t="s">
        <v>3755</v>
      </c>
      <c r="U369" s="1"/>
      <c r="V369" s="4"/>
      <c r="W369" s="3"/>
    </row>
    <row r="370" spans="1:23" x14ac:dyDescent="0.25">
      <c r="A370" s="154">
        <v>283</v>
      </c>
      <c r="B370" s="1"/>
      <c r="C370" s="481" t="s">
        <v>3640</v>
      </c>
      <c r="D370" s="158">
        <v>398</v>
      </c>
      <c r="E370" s="3" t="s">
        <v>2320</v>
      </c>
      <c r="F370" s="482" t="s">
        <v>5515</v>
      </c>
      <c r="G370" s="469" t="s">
        <v>5516</v>
      </c>
      <c r="H370" s="469" t="s">
        <v>66</v>
      </c>
      <c r="I370" s="156" t="str">
        <f t="shared" si="24"/>
        <v>2019</v>
      </c>
      <c r="J370" s="156"/>
      <c r="K370" s="156"/>
      <c r="L370" s="2"/>
      <c r="M370" s="157"/>
      <c r="N370" s="3" t="s">
        <v>1262</v>
      </c>
      <c r="O370" s="483" t="s">
        <v>706</v>
      </c>
      <c r="P370" s="1"/>
      <c r="R370" s="170"/>
      <c r="S370" s="455"/>
      <c r="U370" s="1"/>
      <c r="V370" s="4"/>
      <c r="W370" s="3"/>
    </row>
    <row r="371" spans="1:23" x14ac:dyDescent="0.25">
      <c r="A371" s="158">
        <v>284</v>
      </c>
      <c r="B371" s="1"/>
      <c r="C371" s="481" t="s">
        <v>3640</v>
      </c>
      <c r="D371" s="154">
        <v>399</v>
      </c>
      <c r="E371" s="3" t="s">
        <v>2320</v>
      </c>
      <c r="F371" s="482" t="s">
        <v>5517</v>
      </c>
      <c r="G371" s="469" t="s">
        <v>5518</v>
      </c>
      <c r="H371" s="469" t="s">
        <v>66</v>
      </c>
      <c r="I371" s="156" t="str">
        <f t="shared" si="24"/>
        <v>2019</v>
      </c>
      <c r="J371" s="156"/>
      <c r="K371" s="156"/>
      <c r="L371" s="2"/>
      <c r="M371" s="157"/>
      <c r="N371" s="3" t="s">
        <v>1262</v>
      </c>
      <c r="O371" s="483" t="s">
        <v>1263</v>
      </c>
      <c r="P371" s="1"/>
      <c r="R371" s="170"/>
      <c r="S371" s="455"/>
      <c r="U371" s="1"/>
      <c r="V371" s="4"/>
      <c r="W371" s="3"/>
    </row>
    <row r="372" spans="1:23" x14ac:dyDescent="0.25">
      <c r="A372" s="154">
        <v>285</v>
      </c>
      <c r="B372" s="1"/>
      <c r="C372" s="481" t="s">
        <v>3034</v>
      </c>
      <c r="D372" s="158">
        <v>374</v>
      </c>
      <c r="E372" s="3" t="s">
        <v>880</v>
      </c>
      <c r="F372" s="549" t="s">
        <v>1867</v>
      </c>
      <c r="G372" s="2"/>
      <c r="H372" s="2" t="s">
        <v>1868</v>
      </c>
      <c r="I372" s="156" t="str">
        <f t="shared" si="24"/>
        <v>2020</v>
      </c>
      <c r="J372" s="156"/>
      <c r="K372" s="156"/>
      <c r="L372" s="2"/>
      <c r="M372" s="157" t="str">
        <f t="shared" ref="M372:M403" si="25">CONCATENATE("К",L372)</f>
        <v>К</v>
      </c>
      <c r="N372" s="3" t="s">
        <v>1262</v>
      </c>
      <c r="O372" s="4"/>
      <c r="P372" s="1"/>
      <c r="U372" s="1"/>
      <c r="V372" s="4"/>
      <c r="W372" s="3"/>
    </row>
    <row r="373" spans="1:23" x14ac:dyDescent="0.25">
      <c r="A373" s="158">
        <v>286</v>
      </c>
      <c r="B373" s="1"/>
      <c r="C373" s="457" t="s">
        <v>3034</v>
      </c>
      <c r="D373" s="154">
        <v>383</v>
      </c>
      <c r="E373" s="3" t="s">
        <v>24</v>
      </c>
      <c r="F373" s="3" t="s">
        <v>1105</v>
      </c>
      <c r="G373" s="2" t="s">
        <v>1913</v>
      </c>
      <c r="H373" s="2" t="s">
        <v>1107</v>
      </c>
      <c r="I373" s="156" t="str">
        <f t="shared" si="24"/>
        <v>2020</v>
      </c>
      <c r="J373" s="156"/>
      <c r="K373" s="156"/>
      <c r="L373" s="593" t="s">
        <v>3494</v>
      </c>
      <c r="M373" s="157" t="str">
        <f t="shared" si="25"/>
        <v>К41012412367</v>
      </c>
      <c r="N373" s="3" t="s">
        <v>1262</v>
      </c>
      <c r="O373" s="4" t="s">
        <v>1160</v>
      </c>
      <c r="P373" s="1"/>
      <c r="U373" s="1"/>
      <c r="V373" s="4"/>
      <c r="W373" s="3"/>
    </row>
    <row r="374" spans="1:23" x14ac:dyDescent="0.25">
      <c r="A374" s="154">
        <v>261</v>
      </c>
      <c r="B374" s="1"/>
      <c r="C374" s="457" t="s">
        <v>3034</v>
      </c>
      <c r="D374" s="158">
        <v>384</v>
      </c>
      <c r="E374" s="3" t="s">
        <v>24</v>
      </c>
      <c r="F374" s="3" t="s">
        <v>1105</v>
      </c>
      <c r="G374" s="2" t="s">
        <v>1914</v>
      </c>
      <c r="H374" s="2" t="s">
        <v>1107</v>
      </c>
      <c r="I374" s="156" t="str">
        <f t="shared" si="24"/>
        <v>2020</v>
      </c>
      <c r="J374" s="156"/>
      <c r="K374" s="156"/>
      <c r="L374" s="593" t="s">
        <v>3495</v>
      </c>
      <c r="M374" s="157" t="str">
        <f t="shared" si="25"/>
        <v>К41012412381</v>
      </c>
      <c r="N374" s="3" t="s">
        <v>1262</v>
      </c>
      <c r="O374" s="4" t="s">
        <v>1164</v>
      </c>
      <c r="P374" s="1"/>
      <c r="U374" s="1"/>
      <c r="V374" s="4"/>
      <c r="W374" s="3"/>
    </row>
    <row r="375" spans="1:23" x14ac:dyDescent="0.25">
      <c r="A375" s="158">
        <v>244</v>
      </c>
      <c r="B375" s="1"/>
      <c r="C375" s="457" t="s">
        <v>3034</v>
      </c>
      <c r="D375" s="158">
        <v>386</v>
      </c>
      <c r="E375" s="3" t="s">
        <v>24</v>
      </c>
      <c r="F375" s="3" t="s">
        <v>1105</v>
      </c>
      <c r="G375" s="2" t="s">
        <v>1926</v>
      </c>
      <c r="H375" s="2" t="s">
        <v>1107</v>
      </c>
      <c r="I375" s="156" t="str">
        <f t="shared" si="24"/>
        <v>2020</v>
      </c>
      <c r="J375" s="156"/>
      <c r="K375" s="156"/>
      <c r="L375" s="593"/>
      <c r="M375" s="157" t="str">
        <f t="shared" si="25"/>
        <v>К</v>
      </c>
      <c r="N375" s="3" t="s">
        <v>1262</v>
      </c>
      <c r="O375" s="4" t="s">
        <v>1859</v>
      </c>
      <c r="P375" s="1"/>
      <c r="U375" s="1"/>
      <c r="V375" s="4"/>
      <c r="W375" s="3"/>
    </row>
    <row r="376" spans="1:23" x14ac:dyDescent="0.25">
      <c r="A376" s="158">
        <v>344</v>
      </c>
      <c r="B376" s="456" t="s">
        <v>3552</v>
      </c>
      <c r="C376" s="457" t="s">
        <v>3034</v>
      </c>
      <c r="D376" s="154">
        <v>291</v>
      </c>
      <c r="E376" s="3" t="s">
        <v>1283</v>
      </c>
      <c r="F376" s="3" t="s">
        <v>1284</v>
      </c>
      <c r="G376" s="2" t="s">
        <v>1285</v>
      </c>
      <c r="H376" s="2"/>
      <c r="I376" s="156" t="str">
        <f t="shared" si="24"/>
        <v/>
      </c>
      <c r="J376" s="156"/>
      <c r="K376" s="156"/>
      <c r="L376" s="2" t="s">
        <v>1286</v>
      </c>
      <c r="M376" s="157" t="str">
        <f t="shared" si="25"/>
        <v>К08104164</v>
      </c>
      <c r="N376" s="3" t="s">
        <v>1262</v>
      </c>
      <c r="O376" s="4" t="s">
        <v>1263</v>
      </c>
      <c r="P376" s="1"/>
      <c r="U376" s="1"/>
      <c r="V376" s="4"/>
      <c r="W376" s="3"/>
    </row>
    <row r="377" spans="1:23" x14ac:dyDescent="0.25">
      <c r="A377" s="158">
        <v>252</v>
      </c>
      <c r="B377" s="456" t="s">
        <v>3552</v>
      </c>
      <c r="C377" s="457" t="s">
        <v>3034</v>
      </c>
      <c r="D377" s="158">
        <v>292</v>
      </c>
      <c r="E377" s="3" t="s">
        <v>1258</v>
      </c>
      <c r="F377" s="3" t="s">
        <v>1259</v>
      </c>
      <c r="G377" s="2" t="s">
        <v>1260</v>
      </c>
      <c r="H377" s="2"/>
      <c r="I377" s="156" t="str">
        <f t="shared" si="24"/>
        <v/>
      </c>
      <c r="J377" s="156"/>
      <c r="K377" s="156"/>
      <c r="L377" s="2" t="s">
        <v>1261</v>
      </c>
      <c r="M377" s="157" t="str">
        <f t="shared" si="25"/>
        <v>К08104611</v>
      </c>
      <c r="N377" s="3" t="s">
        <v>1262</v>
      </c>
      <c r="O377" s="4" t="s">
        <v>1263</v>
      </c>
      <c r="P377" s="1"/>
      <c r="U377" s="1"/>
      <c r="V377" s="4"/>
      <c r="W377" s="3"/>
    </row>
    <row r="378" spans="1:23" x14ac:dyDescent="0.25">
      <c r="A378" s="154">
        <v>345</v>
      </c>
      <c r="B378" s="1"/>
      <c r="C378" s="1"/>
      <c r="D378" s="154">
        <v>305</v>
      </c>
      <c r="E378" s="472" t="s">
        <v>2336</v>
      </c>
      <c r="F378" s="472" t="s">
        <v>1946</v>
      </c>
      <c r="G378" s="2" t="s">
        <v>1947</v>
      </c>
      <c r="H378" s="2"/>
      <c r="I378" s="156" t="str">
        <f t="shared" si="24"/>
        <v/>
      </c>
      <c r="J378" s="156"/>
      <c r="K378" s="156"/>
      <c r="L378" s="2" t="s">
        <v>1948</v>
      </c>
      <c r="M378" s="157" t="str">
        <f t="shared" si="25"/>
        <v>К08104601</v>
      </c>
      <c r="N378" s="3" t="s">
        <v>1262</v>
      </c>
      <c r="O378" s="4" t="s">
        <v>1949</v>
      </c>
      <c r="P378" s="1"/>
      <c r="U378" s="1"/>
      <c r="V378" s="4"/>
      <c r="W378" s="3"/>
    </row>
    <row r="379" spans="1:23" x14ac:dyDescent="0.25">
      <c r="A379" s="158">
        <v>338</v>
      </c>
      <c r="B379" s="456" t="s">
        <v>3552</v>
      </c>
      <c r="C379" s="456"/>
      <c r="D379" s="154">
        <v>307</v>
      </c>
      <c r="E379" s="3" t="s">
        <v>1378</v>
      </c>
      <c r="F379" s="3" t="s">
        <v>1379</v>
      </c>
      <c r="G379" s="2"/>
      <c r="H379" s="2"/>
      <c r="I379" s="156" t="str">
        <f t="shared" si="24"/>
        <v/>
      </c>
      <c r="J379" s="156"/>
      <c r="K379" s="156"/>
      <c r="L379" s="2" t="s">
        <v>1380</v>
      </c>
      <c r="M379" s="157" t="str">
        <f t="shared" si="25"/>
        <v>К03100774</v>
      </c>
      <c r="N379" s="3" t="s">
        <v>1262</v>
      </c>
      <c r="O379" s="4" t="s">
        <v>1263</v>
      </c>
      <c r="P379" s="1"/>
      <c r="U379" s="1"/>
      <c r="V379" s="4"/>
      <c r="W379" s="3"/>
    </row>
    <row r="380" spans="1:23" x14ac:dyDescent="0.25">
      <c r="A380" s="158">
        <v>346</v>
      </c>
      <c r="B380" s="456" t="s">
        <v>3552</v>
      </c>
      <c r="C380" s="457" t="s">
        <v>3034</v>
      </c>
      <c r="D380" s="154">
        <v>317</v>
      </c>
      <c r="E380" s="3" t="s">
        <v>1264</v>
      </c>
      <c r="F380" s="3" t="s">
        <v>1270</v>
      </c>
      <c r="G380" s="2"/>
      <c r="H380" s="2"/>
      <c r="I380" s="156" t="str">
        <f t="shared" si="24"/>
        <v/>
      </c>
      <c r="J380" s="156"/>
      <c r="K380" s="156"/>
      <c r="L380" s="2" t="s">
        <v>1265</v>
      </c>
      <c r="M380" s="157" t="str">
        <f t="shared" si="25"/>
        <v>К04700090</v>
      </c>
      <c r="N380" s="3" t="s">
        <v>1262</v>
      </c>
      <c r="O380" s="4" t="s">
        <v>1263</v>
      </c>
      <c r="P380" s="1"/>
      <c r="U380" s="153" t="s">
        <v>3646</v>
      </c>
      <c r="V380" s="4"/>
      <c r="W380" s="3"/>
    </row>
    <row r="381" spans="1:23" x14ac:dyDescent="0.25">
      <c r="A381" s="154">
        <v>231</v>
      </c>
      <c r="B381" s="456" t="s">
        <v>3552</v>
      </c>
      <c r="C381" s="457" t="s">
        <v>3034</v>
      </c>
      <c r="D381" s="154">
        <v>323</v>
      </c>
      <c r="E381" s="3" t="s">
        <v>1273</v>
      </c>
      <c r="F381" s="3" t="s">
        <v>1274</v>
      </c>
      <c r="G381" s="2" t="s">
        <v>1335</v>
      </c>
      <c r="H381" s="2"/>
      <c r="I381" s="156" t="str">
        <f t="shared" si="24"/>
        <v/>
      </c>
      <c r="J381" s="156"/>
      <c r="K381" s="156"/>
      <c r="L381" s="2" t="s">
        <v>1336</v>
      </c>
      <c r="M381" s="157" t="str">
        <f t="shared" si="25"/>
        <v>К01370149</v>
      </c>
      <c r="N381" s="3" t="s">
        <v>1262</v>
      </c>
      <c r="O381" s="4" t="s">
        <v>1263</v>
      </c>
      <c r="P381" s="1"/>
      <c r="U381" s="153" t="s">
        <v>3646</v>
      </c>
      <c r="V381" s="4"/>
      <c r="W381" s="3"/>
    </row>
    <row r="382" spans="1:23" x14ac:dyDescent="0.25">
      <c r="A382" s="158">
        <v>232</v>
      </c>
      <c r="B382" s="136" t="s">
        <v>3552</v>
      </c>
      <c r="C382" s="136"/>
      <c r="D382" s="158">
        <v>338</v>
      </c>
      <c r="E382" s="473" t="s">
        <v>2672</v>
      </c>
      <c r="F382" s="473" t="s">
        <v>2645</v>
      </c>
      <c r="G382" s="474" t="s">
        <v>2642</v>
      </c>
      <c r="H382" s="2"/>
      <c r="I382" s="156" t="str">
        <f t="shared" si="24"/>
        <v/>
      </c>
      <c r="J382" s="156"/>
      <c r="K382" s="156"/>
      <c r="L382" s="474" t="s">
        <v>2641</v>
      </c>
      <c r="M382" s="157" t="str">
        <f t="shared" si="25"/>
        <v>К03100144</v>
      </c>
      <c r="N382" s="475" t="s">
        <v>1262</v>
      </c>
      <c r="O382" s="476" t="s">
        <v>1904</v>
      </c>
      <c r="P382" s="1"/>
      <c r="U382" s="153" t="s">
        <v>3646</v>
      </c>
      <c r="V382" s="4"/>
      <c r="W382" s="3"/>
    </row>
    <row r="383" spans="1:23" x14ac:dyDescent="0.25">
      <c r="A383" s="158">
        <v>234</v>
      </c>
      <c r="B383" s="136" t="s">
        <v>3552</v>
      </c>
      <c r="C383" s="136"/>
      <c r="D383" s="154">
        <v>339</v>
      </c>
      <c r="E383" s="473" t="s">
        <v>2672</v>
      </c>
      <c r="F383" s="473" t="s">
        <v>2645</v>
      </c>
      <c r="G383" s="474" t="s">
        <v>2644</v>
      </c>
      <c r="H383" s="2"/>
      <c r="I383" s="156" t="str">
        <f t="shared" si="24"/>
        <v/>
      </c>
      <c r="J383" s="156"/>
      <c r="K383" s="156"/>
      <c r="L383" s="474" t="s">
        <v>2643</v>
      </c>
      <c r="M383" s="157" t="str">
        <f t="shared" si="25"/>
        <v>К03100145</v>
      </c>
      <c r="N383" s="475" t="s">
        <v>1262</v>
      </c>
      <c r="O383" s="476" t="s">
        <v>1904</v>
      </c>
      <c r="P383" s="1"/>
      <c r="U383" s="153" t="s">
        <v>3646</v>
      </c>
      <c r="V383" s="4"/>
      <c r="W383" s="3"/>
    </row>
    <row r="384" spans="1:23" x14ac:dyDescent="0.25">
      <c r="A384" s="154">
        <v>237</v>
      </c>
      <c r="B384" s="136" t="s">
        <v>3552</v>
      </c>
      <c r="C384" s="136"/>
      <c r="D384" s="158">
        <v>340</v>
      </c>
      <c r="E384" s="473" t="s">
        <v>2672</v>
      </c>
      <c r="F384" s="473" t="s">
        <v>2645</v>
      </c>
      <c r="G384" s="474" t="s">
        <v>2655</v>
      </c>
      <c r="H384" s="2"/>
      <c r="I384" s="156" t="str">
        <f t="shared" si="24"/>
        <v/>
      </c>
      <c r="J384" s="156"/>
      <c r="K384" s="156"/>
      <c r="L384" s="474" t="s">
        <v>2656</v>
      </c>
      <c r="M384" s="157" t="str">
        <f t="shared" si="25"/>
        <v>К08105958</v>
      </c>
      <c r="N384" s="475" t="s">
        <v>1262</v>
      </c>
      <c r="O384" s="477" t="s">
        <v>706</v>
      </c>
      <c r="P384" s="1"/>
      <c r="U384" s="153" t="s">
        <v>3646</v>
      </c>
      <c r="V384" s="4"/>
      <c r="W384" s="3"/>
    </row>
    <row r="385" spans="1:23" x14ac:dyDescent="0.25">
      <c r="A385" s="154">
        <v>245</v>
      </c>
      <c r="B385" s="136" t="s">
        <v>3552</v>
      </c>
      <c r="C385" s="136"/>
      <c r="D385" s="154">
        <v>341</v>
      </c>
      <c r="E385" s="473" t="s">
        <v>2672</v>
      </c>
      <c r="F385" s="473" t="s">
        <v>2646</v>
      </c>
      <c r="G385" s="474" t="s">
        <v>2647</v>
      </c>
      <c r="H385" s="2"/>
      <c r="I385" s="156" t="str">
        <f t="shared" si="24"/>
        <v/>
      </c>
      <c r="J385" s="156"/>
      <c r="K385" s="156"/>
      <c r="L385" s="474" t="s">
        <v>2648</v>
      </c>
      <c r="M385" s="157" t="str">
        <f t="shared" si="25"/>
        <v>К08105961</v>
      </c>
      <c r="N385" s="475" t="s">
        <v>1262</v>
      </c>
      <c r="O385" s="477" t="s">
        <v>706</v>
      </c>
      <c r="P385" s="1"/>
      <c r="U385" s="153" t="s">
        <v>3646</v>
      </c>
      <c r="V385" s="4"/>
      <c r="W385" s="3"/>
    </row>
    <row r="386" spans="1:23" x14ac:dyDescent="0.25">
      <c r="A386" s="154">
        <v>253</v>
      </c>
      <c r="B386" s="136" t="s">
        <v>3552</v>
      </c>
      <c r="C386" s="136"/>
      <c r="D386" s="158">
        <v>342</v>
      </c>
      <c r="E386" s="473" t="s">
        <v>2672</v>
      </c>
      <c r="F386" s="473" t="s">
        <v>2645</v>
      </c>
      <c r="G386" s="474" t="s">
        <v>2662</v>
      </c>
      <c r="H386" s="2"/>
      <c r="I386" s="156" t="str">
        <f t="shared" si="24"/>
        <v/>
      </c>
      <c r="J386" s="156"/>
      <c r="K386" s="156"/>
      <c r="L386" s="474" t="s">
        <v>2663</v>
      </c>
      <c r="M386" s="157" t="str">
        <f t="shared" si="25"/>
        <v>К08105962</v>
      </c>
      <c r="N386" s="475" t="s">
        <v>1262</v>
      </c>
      <c r="O386" s="477" t="s">
        <v>706</v>
      </c>
      <c r="P386" s="1"/>
      <c r="U386" s="153" t="s">
        <v>3646</v>
      </c>
      <c r="V386" s="4"/>
      <c r="W386" s="3"/>
    </row>
    <row r="387" spans="1:23" x14ac:dyDescent="0.25">
      <c r="A387" s="158">
        <v>254</v>
      </c>
      <c r="B387" s="136" t="s">
        <v>3552</v>
      </c>
      <c r="C387" s="136"/>
      <c r="D387" s="154">
        <v>343</v>
      </c>
      <c r="E387" s="473" t="s">
        <v>2672</v>
      </c>
      <c r="F387" s="473" t="s">
        <v>2646</v>
      </c>
      <c r="G387" s="474" t="s">
        <v>2649</v>
      </c>
      <c r="H387" s="2"/>
      <c r="I387" s="156" t="str">
        <f t="shared" ref="I387:I418" si="26">RIGHT(H387,4)</f>
        <v/>
      </c>
      <c r="J387" s="156"/>
      <c r="K387" s="156"/>
      <c r="L387" s="474" t="s">
        <v>2650</v>
      </c>
      <c r="M387" s="157" t="str">
        <f t="shared" si="25"/>
        <v>К08105963</v>
      </c>
      <c r="N387" s="475" t="s">
        <v>1262</v>
      </c>
      <c r="O387" s="477" t="s">
        <v>706</v>
      </c>
      <c r="P387" s="1"/>
      <c r="U387" s="153" t="s">
        <v>3646</v>
      </c>
      <c r="V387" s="4"/>
      <c r="W387" s="3"/>
    </row>
    <row r="388" spans="1:23" x14ac:dyDescent="0.25">
      <c r="A388" s="154">
        <v>255</v>
      </c>
      <c r="B388" s="136" t="s">
        <v>3552</v>
      </c>
      <c r="C388" s="136"/>
      <c r="D388" s="158">
        <v>344</v>
      </c>
      <c r="E388" s="473" t="s">
        <v>2672</v>
      </c>
      <c r="F388" s="473" t="s">
        <v>2646</v>
      </c>
      <c r="G388" s="474" t="s">
        <v>2658</v>
      </c>
      <c r="H388" s="2"/>
      <c r="I388" s="156" t="str">
        <f t="shared" si="26"/>
        <v/>
      </c>
      <c r="J388" s="156"/>
      <c r="K388" s="156"/>
      <c r="L388" s="474" t="s">
        <v>2659</v>
      </c>
      <c r="M388" s="157" t="str">
        <f t="shared" si="25"/>
        <v>К08105964</v>
      </c>
      <c r="N388" s="475" t="s">
        <v>1262</v>
      </c>
      <c r="O388" s="477" t="s">
        <v>706</v>
      </c>
      <c r="P388" s="1"/>
      <c r="U388" s="153" t="s">
        <v>3646</v>
      </c>
      <c r="V388" s="4"/>
      <c r="W388" s="3"/>
    </row>
    <row r="389" spans="1:23" x14ac:dyDescent="0.25">
      <c r="A389" s="158">
        <v>256</v>
      </c>
      <c r="B389" s="136" t="s">
        <v>3552</v>
      </c>
      <c r="C389" s="136"/>
      <c r="D389" s="154">
        <v>345</v>
      </c>
      <c r="E389" s="473" t="s">
        <v>2672</v>
      </c>
      <c r="F389" s="473" t="s">
        <v>2645</v>
      </c>
      <c r="G389" s="474" t="s">
        <v>2668</v>
      </c>
      <c r="H389" s="2"/>
      <c r="I389" s="156" t="str">
        <f t="shared" si="26"/>
        <v/>
      </c>
      <c r="J389" s="156"/>
      <c r="K389" s="156"/>
      <c r="L389" s="474" t="s">
        <v>2667</v>
      </c>
      <c r="M389" s="157" t="str">
        <f t="shared" si="25"/>
        <v>К08105969</v>
      </c>
      <c r="N389" s="475" t="s">
        <v>1262</v>
      </c>
      <c r="O389" s="477" t="s">
        <v>706</v>
      </c>
      <c r="P389" s="1"/>
      <c r="U389" s="153" t="s">
        <v>3646</v>
      </c>
      <c r="V389" s="4"/>
      <c r="W389" s="3"/>
    </row>
    <row r="390" spans="1:23" x14ac:dyDescent="0.25">
      <c r="A390" s="154">
        <v>257</v>
      </c>
      <c r="B390" s="136" t="s">
        <v>3552</v>
      </c>
      <c r="C390" s="136"/>
      <c r="D390" s="158">
        <v>346</v>
      </c>
      <c r="E390" s="473" t="s">
        <v>2672</v>
      </c>
      <c r="F390" s="473" t="s">
        <v>2645</v>
      </c>
      <c r="G390" s="474" t="s">
        <v>2665</v>
      </c>
      <c r="H390" s="2"/>
      <c r="I390" s="156" t="str">
        <f t="shared" si="26"/>
        <v/>
      </c>
      <c r="J390" s="156"/>
      <c r="K390" s="156"/>
      <c r="L390" s="474" t="s">
        <v>2666</v>
      </c>
      <c r="M390" s="157" t="str">
        <f t="shared" si="25"/>
        <v>К08105971</v>
      </c>
      <c r="N390" s="475" t="s">
        <v>1262</v>
      </c>
      <c r="O390" s="477" t="s">
        <v>706</v>
      </c>
      <c r="P390" s="1"/>
      <c r="U390" s="153" t="s">
        <v>3646</v>
      </c>
      <c r="V390" s="4"/>
      <c r="W390" s="3"/>
    </row>
    <row r="391" spans="1:23" x14ac:dyDescent="0.25">
      <c r="A391" s="158">
        <v>258</v>
      </c>
      <c r="B391" s="136" t="s">
        <v>3552</v>
      </c>
      <c r="C391" s="136"/>
      <c r="D391" s="154">
        <v>347</v>
      </c>
      <c r="E391" s="473" t="s">
        <v>2672</v>
      </c>
      <c r="F391" s="473" t="s">
        <v>2652</v>
      </c>
      <c r="G391" s="474" t="s">
        <v>2653</v>
      </c>
      <c r="H391" s="2"/>
      <c r="I391" s="156" t="str">
        <f t="shared" si="26"/>
        <v/>
      </c>
      <c r="J391" s="156"/>
      <c r="K391" s="156"/>
      <c r="L391" s="474" t="s">
        <v>2654</v>
      </c>
      <c r="M391" s="157" t="str">
        <f t="shared" si="25"/>
        <v>К08106035</v>
      </c>
      <c r="N391" s="475" t="s">
        <v>1262</v>
      </c>
      <c r="O391" s="477" t="s">
        <v>706</v>
      </c>
      <c r="P391" s="1"/>
      <c r="U391" s="153" t="s">
        <v>3646</v>
      </c>
      <c r="V391" s="4"/>
      <c r="W391" s="3"/>
    </row>
    <row r="392" spans="1:23" x14ac:dyDescent="0.25">
      <c r="A392" s="154">
        <v>259</v>
      </c>
      <c r="B392" s="136" t="s">
        <v>3552</v>
      </c>
      <c r="C392" s="136"/>
      <c r="D392" s="158">
        <v>348</v>
      </c>
      <c r="E392" s="473" t="s">
        <v>2672</v>
      </c>
      <c r="F392" s="473" t="s">
        <v>2645</v>
      </c>
      <c r="G392" s="474" t="s">
        <v>2661</v>
      </c>
      <c r="H392" s="2"/>
      <c r="I392" s="156" t="str">
        <f t="shared" si="26"/>
        <v/>
      </c>
      <c r="J392" s="156"/>
      <c r="K392" s="156"/>
      <c r="L392" s="474" t="s">
        <v>2660</v>
      </c>
      <c r="M392" s="157" t="str">
        <f t="shared" si="25"/>
        <v>К08106037</v>
      </c>
      <c r="N392" s="475" t="s">
        <v>1262</v>
      </c>
      <c r="O392" s="477" t="s">
        <v>706</v>
      </c>
      <c r="P392" s="1"/>
      <c r="U392" s="153" t="s">
        <v>3646</v>
      </c>
      <c r="V392" s="4"/>
      <c r="W392" s="3"/>
    </row>
    <row r="393" spans="1:23" x14ac:dyDescent="0.25">
      <c r="A393" s="158">
        <v>260</v>
      </c>
      <c r="B393" s="136" t="s">
        <v>3552</v>
      </c>
      <c r="C393" s="136"/>
      <c r="D393" s="154">
        <v>349</v>
      </c>
      <c r="E393" s="473" t="s">
        <v>2672</v>
      </c>
      <c r="F393" s="473" t="s">
        <v>2646</v>
      </c>
      <c r="G393" s="474" t="s">
        <v>2671</v>
      </c>
      <c r="H393" s="2"/>
      <c r="I393" s="156" t="str">
        <f t="shared" si="26"/>
        <v/>
      </c>
      <c r="J393" s="156"/>
      <c r="K393" s="156"/>
      <c r="L393" s="474" t="s">
        <v>2670</v>
      </c>
      <c r="M393" s="157" t="str">
        <f t="shared" si="25"/>
        <v>К08106968</v>
      </c>
      <c r="N393" s="475" t="s">
        <v>1262</v>
      </c>
      <c r="O393" s="477" t="s">
        <v>706</v>
      </c>
      <c r="P393" s="1"/>
      <c r="U393" s="153" t="s">
        <v>3646</v>
      </c>
      <c r="V393" s="4"/>
      <c r="W393" s="3"/>
    </row>
    <row r="394" spans="1:23" x14ac:dyDescent="0.25">
      <c r="A394" s="154">
        <v>263</v>
      </c>
      <c r="B394" s="136" t="s">
        <v>3552</v>
      </c>
      <c r="C394" s="136"/>
      <c r="D394" s="158">
        <v>350</v>
      </c>
      <c r="E394" s="473" t="s">
        <v>2672</v>
      </c>
      <c r="F394" s="473" t="s">
        <v>2645</v>
      </c>
      <c r="G394" s="474" t="s">
        <v>2651</v>
      </c>
      <c r="H394" s="2"/>
      <c r="I394" s="156" t="str">
        <f t="shared" si="26"/>
        <v/>
      </c>
      <c r="J394" s="156"/>
      <c r="K394" s="156"/>
      <c r="L394" s="474"/>
      <c r="M394" s="157" t="str">
        <f t="shared" si="25"/>
        <v>К</v>
      </c>
      <c r="N394" s="475" t="s">
        <v>1262</v>
      </c>
      <c r="O394" s="477" t="s">
        <v>706</v>
      </c>
      <c r="P394" s="1"/>
      <c r="U394" s="153" t="s">
        <v>3646</v>
      </c>
      <c r="V394" s="4"/>
      <c r="W394" s="3"/>
    </row>
    <row r="395" spans="1:23" x14ac:dyDescent="0.25">
      <c r="A395" s="154">
        <v>265</v>
      </c>
      <c r="B395" s="136" t="s">
        <v>3552</v>
      </c>
      <c r="C395" s="136"/>
      <c r="D395" s="154">
        <v>351</v>
      </c>
      <c r="E395" s="473" t="s">
        <v>2672</v>
      </c>
      <c r="F395" s="473" t="s">
        <v>2646</v>
      </c>
      <c r="G395" s="474" t="s">
        <v>2657</v>
      </c>
      <c r="H395" s="2"/>
      <c r="I395" s="156" t="str">
        <f t="shared" si="26"/>
        <v/>
      </c>
      <c r="J395" s="156"/>
      <c r="K395" s="156"/>
      <c r="L395" s="2"/>
      <c r="M395" s="157" t="str">
        <f t="shared" si="25"/>
        <v>К</v>
      </c>
      <c r="N395" s="475" t="s">
        <v>1262</v>
      </c>
      <c r="O395" s="477" t="s">
        <v>706</v>
      </c>
      <c r="P395" s="1"/>
      <c r="U395" s="153" t="s">
        <v>3646</v>
      </c>
      <c r="V395" s="4"/>
      <c r="W395" s="3"/>
    </row>
    <row r="396" spans="1:23" x14ac:dyDescent="0.25">
      <c r="A396" s="158">
        <v>266</v>
      </c>
      <c r="B396" s="136" t="s">
        <v>3552</v>
      </c>
      <c r="C396" s="136"/>
      <c r="D396" s="158">
        <v>352</v>
      </c>
      <c r="E396" s="473" t="s">
        <v>2672</v>
      </c>
      <c r="F396" s="473" t="s">
        <v>2652</v>
      </c>
      <c r="G396" s="474" t="s">
        <v>2664</v>
      </c>
      <c r="H396" s="2"/>
      <c r="I396" s="156" t="str">
        <f t="shared" si="26"/>
        <v/>
      </c>
      <c r="J396" s="156"/>
      <c r="K396" s="156"/>
      <c r="L396" s="2"/>
      <c r="M396" s="157" t="str">
        <f t="shared" si="25"/>
        <v>К</v>
      </c>
      <c r="N396" s="475" t="s">
        <v>1262</v>
      </c>
      <c r="O396" s="477" t="s">
        <v>706</v>
      </c>
      <c r="P396" s="1"/>
      <c r="U396" s="153" t="s">
        <v>3646</v>
      </c>
      <c r="V396" s="4"/>
      <c r="W396" s="3"/>
    </row>
    <row r="397" spans="1:23" x14ac:dyDescent="0.25">
      <c r="A397" s="154">
        <v>267</v>
      </c>
      <c r="B397" s="136" t="s">
        <v>3552</v>
      </c>
      <c r="C397" s="136"/>
      <c r="D397" s="154">
        <v>353</v>
      </c>
      <c r="E397" s="473" t="s">
        <v>2672</v>
      </c>
      <c r="F397" s="473" t="s">
        <v>2645</v>
      </c>
      <c r="G397" s="474" t="s">
        <v>2669</v>
      </c>
      <c r="H397" s="2"/>
      <c r="I397" s="156" t="str">
        <f t="shared" si="26"/>
        <v/>
      </c>
      <c r="J397" s="156"/>
      <c r="K397" s="156"/>
      <c r="L397" s="2"/>
      <c r="M397" s="157" t="str">
        <f t="shared" si="25"/>
        <v>К</v>
      </c>
      <c r="N397" s="475" t="s">
        <v>1262</v>
      </c>
      <c r="O397" s="477" t="s">
        <v>706</v>
      </c>
      <c r="P397" s="1"/>
      <c r="U397" s="153" t="s">
        <v>3646</v>
      </c>
      <c r="V397" s="4"/>
      <c r="W397" s="3"/>
    </row>
    <row r="398" spans="1:23" x14ac:dyDescent="0.25">
      <c r="A398" s="154">
        <v>339</v>
      </c>
      <c r="B398" s="456" t="s">
        <v>3552</v>
      </c>
      <c r="C398" s="457"/>
      <c r="D398" s="154">
        <v>363</v>
      </c>
      <c r="E398" s="3" t="s">
        <v>2319</v>
      </c>
      <c r="F398" s="459" t="s">
        <v>1905</v>
      </c>
      <c r="G398" s="2" t="s">
        <v>1906</v>
      </c>
      <c r="H398" s="2"/>
      <c r="I398" s="156" t="str">
        <f t="shared" si="26"/>
        <v/>
      </c>
      <c r="J398" s="156"/>
      <c r="K398" s="156"/>
      <c r="L398" s="2"/>
      <c r="M398" s="157" t="str">
        <f t="shared" si="25"/>
        <v>К</v>
      </c>
      <c r="N398" s="3" t="s">
        <v>1262</v>
      </c>
      <c r="O398" s="4" t="s">
        <v>1907</v>
      </c>
      <c r="P398" s="1"/>
      <c r="U398" s="1"/>
      <c r="V398" s="4"/>
      <c r="W398" s="3"/>
    </row>
    <row r="399" spans="1:23" x14ac:dyDescent="0.25">
      <c r="A399" s="158">
        <v>238</v>
      </c>
      <c r="B399" s="456" t="s">
        <v>3552</v>
      </c>
      <c r="C399" s="456"/>
      <c r="D399" s="154">
        <v>367</v>
      </c>
      <c r="E399" s="3" t="s">
        <v>2319</v>
      </c>
      <c r="F399" s="480" t="s">
        <v>54</v>
      </c>
      <c r="G399" s="478" t="s">
        <v>2345</v>
      </c>
      <c r="H399" s="2"/>
      <c r="I399" s="156" t="str">
        <f t="shared" si="26"/>
        <v/>
      </c>
      <c r="J399" s="156"/>
      <c r="K399" s="156"/>
      <c r="L399" s="2"/>
      <c r="M399" s="157" t="str">
        <f t="shared" si="25"/>
        <v>К</v>
      </c>
      <c r="N399" s="3" t="s">
        <v>1262</v>
      </c>
      <c r="O399" s="479" t="s">
        <v>706</v>
      </c>
      <c r="P399" s="1"/>
      <c r="U399" s="1"/>
      <c r="V399" s="4"/>
      <c r="W399" s="3"/>
    </row>
    <row r="400" spans="1:23" ht="30" x14ac:dyDescent="0.25">
      <c r="A400" s="154">
        <v>235</v>
      </c>
      <c r="B400" s="1"/>
      <c r="C400" s="1"/>
      <c r="D400" s="154">
        <v>369</v>
      </c>
      <c r="E400" s="3" t="s">
        <v>1951</v>
      </c>
      <c r="F400" s="3" t="s">
        <v>1952</v>
      </c>
      <c r="G400" s="2" t="s">
        <v>1953</v>
      </c>
      <c r="H400" s="2"/>
      <c r="I400" s="156" t="str">
        <f t="shared" si="26"/>
        <v/>
      </c>
      <c r="J400" s="156"/>
      <c r="K400" s="156"/>
      <c r="L400" s="2" t="s">
        <v>1954</v>
      </c>
      <c r="M400" s="157" t="str">
        <f t="shared" si="25"/>
        <v>К08105310</v>
      </c>
      <c r="N400" s="3" t="s">
        <v>1262</v>
      </c>
      <c r="O400" s="4" t="s">
        <v>1949</v>
      </c>
      <c r="P400" s="1"/>
      <c r="U400" s="1"/>
      <c r="V400" s="4" t="s">
        <v>1398</v>
      </c>
      <c r="W400" s="3"/>
    </row>
    <row r="401" spans="1:23" x14ac:dyDescent="0.25">
      <c r="A401" s="158">
        <v>340</v>
      </c>
      <c r="B401" s="1"/>
      <c r="C401" s="1"/>
      <c r="D401" s="154">
        <v>371</v>
      </c>
      <c r="E401" s="3" t="s">
        <v>141</v>
      </c>
      <c r="F401" s="3"/>
      <c r="G401" s="2"/>
      <c r="H401" s="2"/>
      <c r="I401" s="156" t="str">
        <f t="shared" si="26"/>
        <v/>
      </c>
      <c r="J401" s="156"/>
      <c r="K401" s="156"/>
      <c r="L401" s="2" t="s">
        <v>1917</v>
      </c>
      <c r="M401" s="157" t="str">
        <f t="shared" si="25"/>
        <v>К08105981</v>
      </c>
      <c r="N401" s="3" t="s">
        <v>1262</v>
      </c>
      <c r="O401" s="4" t="s">
        <v>1888</v>
      </c>
      <c r="P401" s="1"/>
      <c r="U401" s="1"/>
      <c r="V401" s="4"/>
      <c r="W401" s="3"/>
    </row>
    <row r="402" spans="1:23" x14ac:dyDescent="0.25">
      <c r="A402" s="154">
        <v>341</v>
      </c>
      <c r="B402" s="1"/>
      <c r="C402" s="457" t="s">
        <v>3034</v>
      </c>
      <c r="D402" s="154">
        <v>387</v>
      </c>
      <c r="E402" s="3" t="s">
        <v>24</v>
      </c>
      <c r="F402" s="3" t="s">
        <v>25</v>
      </c>
      <c r="G402" s="2" t="s">
        <v>1927</v>
      </c>
      <c r="H402" s="2"/>
      <c r="I402" s="156" t="str">
        <f t="shared" si="26"/>
        <v/>
      </c>
      <c r="J402" s="156"/>
      <c r="K402" s="156"/>
      <c r="L402" s="2" t="s">
        <v>1928</v>
      </c>
      <c r="M402" s="157" t="str">
        <f t="shared" si="25"/>
        <v>К71012400129</v>
      </c>
      <c r="N402" s="3" t="s">
        <v>1262</v>
      </c>
      <c r="O402" s="4" t="s">
        <v>1172</v>
      </c>
      <c r="P402" s="1"/>
      <c r="U402" s="153" t="s">
        <v>3640</v>
      </c>
      <c r="V402" s="4"/>
      <c r="W402" s="3"/>
    </row>
    <row r="403" spans="1:23" x14ac:dyDescent="0.25">
      <c r="A403" s="158">
        <v>262</v>
      </c>
      <c r="B403" s="1"/>
      <c r="C403" s="457" t="s">
        <v>3034</v>
      </c>
      <c r="D403" s="158">
        <v>388</v>
      </c>
      <c r="E403" s="3" t="s">
        <v>24</v>
      </c>
      <c r="F403" s="3" t="s">
        <v>104</v>
      </c>
      <c r="G403" s="2" t="s">
        <v>1934</v>
      </c>
      <c r="H403" s="2"/>
      <c r="I403" s="156" t="str">
        <f t="shared" si="26"/>
        <v/>
      </c>
      <c r="J403" s="156"/>
      <c r="K403" s="156"/>
      <c r="L403" s="2"/>
      <c r="M403" s="157" t="str">
        <f t="shared" si="25"/>
        <v>К</v>
      </c>
      <c r="N403" s="3" t="s">
        <v>1262</v>
      </c>
      <c r="O403" s="4" t="s">
        <v>1935</v>
      </c>
      <c r="P403" s="1"/>
      <c r="U403" s="153"/>
      <c r="V403" s="4"/>
      <c r="W403" s="3"/>
    </row>
    <row r="404" spans="1:23" x14ac:dyDescent="0.25">
      <c r="A404" s="158"/>
      <c r="B404" s="456" t="s">
        <v>3552</v>
      </c>
      <c r="C404" s="456"/>
      <c r="D404" s="158">
        <v>396</v>
      </c>
      <c r="E404" s="3" t="s">
        <v>1323</v>
      </c>
      <c r="F404" s="3" t="s">
        <v>1324</v>
      </c>
      <c r="G404" s="2" t="s">
        <v>1325</v>
      </c>
      <c r="H404" s="2"/>
      <c r="I404" s="156" t="str">
        <f t="shared" si="26"/>
        <v/>
      </c>
      <c r="J404" s="156"/>
      <c r="K404" s="156"/>
      <c r="L404" s="2"/>
      <c r="M404" s="157" t="str">
        <f t="shared" ref="M404:M420" si="27">CONCATENATE("К",L404)</f>
        <v>К</v>
      </c>
      <c r="N404" s="3" t="s">
        <v>1262</v>
      </c>
      <c r="O404" s="4" t="s">
        <v>1263</v>
      </c>
      <c r="P404" s="1"/>
      <c r="U404" s="153"/>
      <c r="V404" s="4"/>
      <c r="W404" s="3"/>
    </row>
    <row r="405" spans="1:23" x14ac:dyDescent="0.25">
      <c r="A405" s="158"/>
      <c r="B405" s="1"/>
      <c r="C405" s="484" t="s">
        <v>3693</v>
      </c>
      <c r="D405" s="154">
        <v>421</v>
      </c>
      <c r="E405" s="440" t="s">
        <v>5577</v>
      </c>
      <c r="F405" s="440" t="s">
        <v>5566</v>
      </c>
      <c r="G405" s="447" t="s">
        <v>4539</v>
      </c>
      <c r="H405" s="471" t="s">
        <v>1042</v>
      </c>
      <c r="I405" s="156" t="str">
        <f t="shared" si="26"/>
        <v>2004</v>
      </c>
      <c r="J405" s="156">
        <v>2004</v>
      </c>
      <c r="K405" s="173"/>
      <c r="L405" s="447" t="s">
        <v>4538</v>
      </c>
      <c r="M405" s="157" t="str">
        <f t="shared" si="27"/>
        <v>К01370838</v>
      </c>
      <c r="N405" s="448" t="s">
        <v>5506</v>
      </c>
      <c r="O405" s="172"/>
      <c r="P405" s="172"/>
      <c r="Q405" s="440"/>
      <c r="R405" s="305" t="s">
        <v>4540</v>
      </c>
      <c r="S405" s="443">
        <v>40525</v>
      </c>
      <c r="U405" s="1"/>
      <c r="V405" s="4"/>
      <c r="W405" s="3"/>
    </row>
    <row r="406" spans="1:23" x14ac:dyDescent="0.25">
      <c r="A406" s="158">
        <v>264</v>
      </c>
      <c r="B406" s="1"/>
      <c r="C406" s="1"/>
      <c r="D406" s="154">
        <v>417</v>
      </c>
      <c r="E406" s="440" t="s">
        <v>4527</v>
      </c>
      <c r="F406" s="440"/>
      <c r="G406" s="447" t="s">
        <v>4529</v>
      </c>
      <c r="H406" s="446" t="s">
        <v>90</v>
      </c>
      <c r="I406" s="156" t="str">
        <f t="shared" si="26"/>
        <v>2008</v>
      </c>
      <c r="J406" s="156">
        <v>2008</v>
      </c>
      <c r="K406" s="173"/>
      <c r="L406" s="447" t="s">
        <v>4528</v>
      </c>
      <c r="M406" s="157" t="str">
        <f t="shared" si="27"/>
        <v>К04700196</v>
      </c>
      <c r="N406" s="448" t="s">
        <v>5506</v>
      </c>
      <c r="O406" s="172"/>
      <c r="P406" s="172"/>
      <c r="Q406" s="440"/>
      <c r="R406" s="305" t="s">
        <v>4530</v>
      </c>
      <c r="S406" s="443">
        <v>38295</v>
      </c>
      <c r="U406" s="1"/>
      <c r="V406" s="4"/>
      <c r="W406" s="3"/>
    </row>
    <row r="407" spans="1:23" x14ac:dyDescent="0.25">
      <c r="A407" s="158">
        <v>342</v>
      </c>
      <c r="B407" s="1"/>
      <c r="C407" s="484" t="s">
        <v>3693</v>
      </c>
      <c r="D407" s="158">
        <v>422</v>
      </c>
      <c r="E407" s="440" t="s">
        <v>5567</v>
      </c>
      <c r="F407" s="440" t="s">
        <v>5568</v>
      </c>
      <c r="G407" s="447" t="s">
        <v>4483</v>
      </c>
      <c r="H407" s="471" t="s">
        <v>47</v>
      </c>
      <c r="I407" s="156" t="str">
        <f t="shared" si="26"/>
        <v>2010</v>
      </c>
      <c r="J407" s="156">
        <v>2010</v>
      </c>
      <c r="K407" s="173"/>
      <c r="L407" s="447" t="s">
        <v>4482</v>
      </c>
      <c r="M407" s="157" t="str">
        <f t="shared" si="27"/>
        <v>К08102889</v>
      </c>
      <c r="N407" s="448" t="s">
        <v>5506</v>
      </c>
      <c r="O407" s="172"/>
      <c r="P407" s="172"/>
      <c r="Q407" s="440"/>
      <c r="R407" s="305" t="s">
        <v>4484</v>
      </c>
      <c r="S407" s="443">
        <v>40987</v>
      </c>
      <c r="U407" s="1"/>
      <c r="V407" s="4"/>
      <c r="W407" s="3"/>
    </row>
    <row r="408" spans="1:23" x14ac:dyDescent="0.25">
      <c r="A408" s="154">
        <v>343</v>
      </c>
      <c r="B408" s="1"/>
      <c r="C408" s="1"/>
      <c r="D408" s="154">
        <v>403</v>
      </c>
      <c r="E408" s="440" t="s">
        <v>4492</v>
      </c>
      <c r="F408" s="440"/>
      <c r="G408" s="500" t="s">
        <v>4493</v>
      </c>
      <c r="H408" s="557" t="s">
        <v>159</v>
      </c>
      <c r="I408" s="156" t="str">
        <f t="shared" si="26"/>
        <v>2012</v>
      </c>
      <c r="J408" s="156">
        <v>2012</v>
      </c>
      <c r="K408" s="173"/>
      <c r="L408" s="447" t="s">
        <v>4486</v>
      </c>
      <c r="M408" s="157" t="str">
        <f t="shared" si="27"/>
        <v>К08104456</v>
      </c>
      <c r="N408" s="448" t="s">
        <v>5506</v>
      </c>
      <c r="O408" s="172"/>
      <c r="P408" s="172"/>
      <c r="Q408" s="440"/>
      <c r="R408" s="305" t="s">
        <v>4487</v>
      </c>
      <c r="S408" s="445">
        <v>40525</v>
      </c>
      <c r="T408" s="305"/>
    </row>
    <row r="409" spans="1:23" x14ac:dyDescent="0.25">
      <c r="B409" s="1"/>
      <c r="C409" s="1"/>
      <c r="D409" s="158">
        <v>404</v>
      </c>
      <c r="E409" s="440" t="s">
        <v>4494</v>
      </c>
      <c r="F409" s="440"/>
      <c r="G409" s="500" t="s">
        <v>4495</v>
      </c>
      <c r="H409" s="557" t="s">
        <v>159</v>
      </c>
      <c r="I409" s="156" t="str">
        <f t="shared" si="26"/>
        <v>2012</v>
      </c>
      <c r="J409" s="156">
        <v>2012</v>
      </c>
      <c r="K409" s="173"/>
      <c r="L409" s="447" t="s">
        <v>4486</v>
      </c>
      <c r="M409" s="157" t="str">
        <f t="shared" si="27"/>
        <v>К08104456</v>
      </c>
      <c r="N409" s="448" t="s">
        <v>5506</v>
      </c>
      <c r="O409" s="172"/>
      <c r="P409" s="172"/>
      <c r="Q409" s="440"/>
      <c r="R409" s="305" t="s">
        <v>4487</v>
      </c>
      <c r="S409" s="445">
        <v>40525</v>
      </c>
      <c r="T409" s="305"/>
    </row>
    <row r="410" spans="1:23" x14ac:dyDescent="0.25">
      <c r="B410" s="1"/>
      <c r="C410" s="1"/>
      <c r="D410" s="154">
        <v>405</v>
      </c>
      <c r="E410" s="440" t="s">
        <v>4489</v>
      </c>
      <c r="F410" s="440"/>
      <c r="G410" s="500" t="s">
        <v>4490</v>
      </c>
      <c r="H410" s="557" t="s">
        <v>159</v>
      </c>
      <c r="I410" s="156" t="str">
        <f t="shared" si="26"/>
        <v>2012</v>
      </c>
      <c r="J410" s="156">
        <v>2012</v>
      </c>
      <c r="K410" s="173"/>
      <c r="L410" s="447" t="s">
        <v>4486</v>
      </c>
      <c r="M410" s="157" t="str">
        <f t="shared" si="27"/>
        <v>К08104456</v>
      </c>
      <c r="N410" s="448" t="s">
        <v>5506</v>
      </c>
      <c r="O410" s="172"/>
      <c r="P410" s="172"/>
      <c r="Q410" s="440"/>
      <c r="R410" s="305" t="s">
        <v>4487</v>
      </c>
      <c r="S410" s="445">
        <v>40525</v>
      </c>
      <c r="T410" s="305"/>
    </row>
    <row r="411" spans="1:23" x14ac:dyDescent="0.25">
      <c r="B411" s="1"/>
      <c r="C411" s="1"/>
      <c r="D411" s="158">
        <v>406</v>
      </c>
      <c r="E411" s="440" t="s">
        <v>4489</v>
      </c>
      <c r="F411" s="440"/>
      <c r="G411" s="500" t="s">
        <v>4491</v>
      </c>
      <c r="H411" s="557" t="s">
        <v>159</v>
      </c>
      <c r="I411" s="156" t="str">
        <f t="shared" si="26"/>
        <v>2012</v>
      </c>
      <c r="J411" s="156">
        <v>2012</v>
      </c>
      <c r="K411" s="173"/>
      <c r="L411" s="447" t="s">
        <v>4486</v>
      </c>
      <c r="M411" s="157" t="str">
        <f t="shared" si="27"/>
        <v>К08104456</v>
      </c>
      <c r="N411" s="448" t="s">
        <v>5506</v>
      </c>
      <c r="O411" s="172"/>
      <c r="P411" s="172"/>
      <c r="Q411" s="440"/>
      <c r="R411" s="305" t="s">
        <v>4487</v>
      </c>
      <c r="S411" s="445">
        <v>40525</v>
      </c>
      <c r="T411" s="305"/>
    </row>
    <row r="412" spans="1:23" x14ac:dyDescent="0.25">
      <c r="B412" s="1"/>
      <c r="C412" s="1"/>
      <c r="D412" s="154">
        <v>407</v>
      </c>
      <c r="E412" s="440" t="s">
        <v>4479</v>
      </c>
      <c r="F412" s="440"/>
      <c r="G412" s="447" t="s">
        <v>4481</v>
      </c>
      <c r="H412" s="557" t="s">
        <v>159</v>
      </c>
      <c r="I412" s="156" t="str">
        <f t="shared" si="26"/>
        <v>2012</v>
      </c>
      <c r="J412" s="156">
        <v>2012</v>
      </c>
      <c r="K412" s="173"/>
      <c r="L412" s="447" t="s">
        <v>4480</v>
      </c>
      <c r="M412" s="157" t="str">
        <f t="shared" si="27"/>
        <v>К08103074</v>
      </c>
      <c r="N412" s="448" t="s">
        <v>5506</v>
      </c>
      <c r="O412" s="172"/>
      <c r="P412" s="172"/>
      <c r="Q412" s="440"/>
      <c r="R412" s="305"/>
      <c r="S412" s="289"/>
      <c r="T412" s="289"/>
    </row>
    <row r="413" spans="1:23" x14ac:dyDescent="0.25">
      <c r="B413" s="1"/>
      <c r="C413" s="484" t="s">
        <v>3693</v>
      </c>
      <c r="D413" s="154">
        <v>409</v>
      </c>
      <c r="E413" s="440" t="s">
        <v>5561</v>
      </c>
      <c r="F413" s="440" t="s">
        <v>5560</v>
      </c>
      <c r="G413" s="548" t="s">
        <v>653</v>
      </c>
      <c r="H413" s="557" t="s">
        <v>159</v>
      </c>
      <c r="I413" s="156" t="str">
        <f t="shared" si="26"/>
        <v>2012</v>
      </c>
      <c r="J413" s="156">
        <v>2012</v>
      </c>
      <c r="K413" s="173"/>
      <c r="L413" s="447" t="s">
        <v>4486</v>
      </c>
      <c r="M413" s="157" t="str">
        <f t="shared" si="27"/>
        <v>К08104456</v>
      </c>
      <c r="N413" s="448" t="s">
        <v>5506</v>
      </c>
      <c r="O413" s="172"/>
      <c r="P413" s="172"/>
      <c r="Q413" s="440"/>
      <c r="R413" s="305" t="s">
        <v>4487</v>
      </c>
      <c r="S413" s="445">
        <v>40525</v>
      </c>
      <c r="U413" s="1"/>
      <c r="V413" s="4"/>
      <c r="W413" s="3"/>
    </row>
    <row r="414" spans="1:23" x14ac:dyDescent="0.25">
      <c r="B414" s="1"/>
      <c r="C414" s="484" t="s">
        <v>3693</v>
      </c>
      <c r="D414" s="158">
        <v>410</v>
      </c>
      <c r="E414" s="742" t="s">
        <v>5562</v>
      </c>
      <c r="F414" s="742" t="s">
        <v>5563</v>
      </c>
      <c r="G414" s="447" t="s">
        <v>4511</v>
      </c>
      <c r="H414" s="557" t="s">
        <v>159</v>
      </c>
      <c r="I414" s="156" t="str">
        <f t="shared" si="26"/>
        <v>2012</v>
      </c>
      <c r="J414" s="156">
        <v>2012</v>
      </c>
      <c r="K414" s="173"/>
      <c r="L414" s="447" t="s">
        <v>4510</v>
      </c>
      <c r="M414" s="157" t="str">
        <f t="shared" si="27"/>
        <v>К08104455</v>
      </c>
      <c r="N414" s="448" t="s">
        <v>5506</v>
      </c>
      <c r="O414" s="172"/>
      <c r="P414" s="172"/>
      <c r="Q414" s="440"/>
      <c r="R414" s="305" t="s">
        <v>4512</v>
      </c>
      <c r="S414" s="443">
        <v>41410</v>
      </c>
      <c r="T414" s="289"/>
    </row>
    <row r="415" spans="1:23" x14ac:dyDescent="0.25">
      <c r="B415" s="1"/>
      <c r="C415" s="484" t="s">
        <v>3693</v>
      </c>
      <c r="D415" s="158">
        <v>416</v>
      </c>
      <c r="E415" s="440" t="s">
        <v>5564</v>
      </c>
      <c r="F415" s="440" t="s">
        <v>5565</v>
      </c>
      <c r="G415" s="447">
        <v>593</v>
      </c>
      <c r="H415" s="557" t="s">
        <v>159</v>
      </c>
      <c r="I415" s="156" t="str">
        <f t="shared" si="26"/>
        <v>2012</v>
      </c>
      <c r="J415" s="156">
        <v>2012</v>
      </c>
      <c r="K415" s="173"/>
      <c r="L415" s="447" t="s">
        <v>4524</v>
      </c>
      <c r="M415" s="157" t="str">
        <f t="shared" si="27"/>
        <v>К08104245</v>
      </c>
      <c r="N415" s="448" t="s">
        <v>5506</v>
      </c>
      <c r="O415" s="172"/>
      <c r="P415" s="172"/>
      <c r="Q415" s="440"/>
      <c r="R415" s="305" t="s">
        <v>4525</v>
      </c>
      <c r="S415" s="443">
        <v>40458</v>
      </c>
      <c r="T415" s="289"/>
    </row>
    <row r="416" spans="1:23" x14ac:dyDescent="0.25">
      <c r="B416" s="1"/>
      <c r="C416" s="484" t="s">
        <v>3693</v>
      </c>
      <c r="D416" s="154">
        <v>425</v>
      </c>
      <c r="E416" s="440" t="s">
        <v>5569</v>
      </c>
      <c r="F416" s="440" t="s">
        <v>5570</v>
      </c>
      <c r="G416" s="552">
        <v>30320</v>
      </c>
      <c r="H416" s="471" t="s">
        <v>159</v>
      </c>
      <c r="I416" s="156" t="str">
        <f t="shared" si="26"/>
        <v>2012</v>
      </c>
      <c r="J416" s="156">
        <v>2012</v>
      </c>
      <c r="K416" s="173"/>
      <c r="L416" s="447" t="s">
        <v>4541</v>
      </c>
      <c r="M416" s="157" t="str">
        <f t="shared" si="27"/>
        <v>К08104246</v>
      </c>
      <c r="N416" s="448" t="s">
        <v>5506</v>
      </c>
      <c r="O416" s="172"/>
      <c r="P416" s="172"/>
      <c r="Q416" s="440"/>
      <c r="R416" s="305" t="s">
        <v>4484</v>
      </c>
      <c r="S416" s="443">
        <v>40987</v>
      </c>
      <c r="T416" s="289"/>
    </row>
    <row r="417" spans="1:23" x14ac:dyDescent="0.25">
      <c r="B417" s="1"/>
      <c r="C417" s="555" t="s">
        <v>3693</v>
      </c>
      <c r="D417" s="154">
        <v>427</v>
      </c>
      <c r="E417" s="553" t="s">
        <v>5579</v>
      </c>
      <c r="F417" s="440"/>
      <c r="G417" s="553">
        <v>20120</v>
      </c>
      <c r="H417" s="556" t="s">
        <v>59</v>
      </c>
      <c r="I417" s="156" t="str">
        <f t="shared" si="26"/>
        <v>2013</v>
      </c>
      <c r="J417" s="156">
        <v>2013</v>
      </c>
      <c r="K417" s="173"/>
      <c r="L417" s="554" t="s">
        <v>5583</v>
      </c>
      <c r="M417" s="157" t="str">
        <f t="shared" si="27"/>
        <v>К08106077</v>
      </c>
      <c r="N417" s="448" t="s">
        <v>5506</v>
      </c>
      <c r="O417" s="172"/>
      <c r="P417" s="172"/>
      <c r="Q417" s="440"/>
      <c r="R417" s="305"/>
      <c r="S417" s="443"/>
      <c r="T417" s="289"/>
    </row>
    <row r="418" spans="1:23" x14ac:dyDescent="0.25">
      <c r="B418" s="1"/>
      <c r="C418" s="555" t="s">
        <v>3693</v>
      </c>
      <c r="D418" s="158">
        <v>428</v>
      </c>
      <c r="E418" s="560" t="s">
        <v>5592</v>
      </c>
      <c r="F418" s="440" t="s">
        <v>5593</v>
      </c>
      <c r="G418" s="558" t="s">
        <v>5582</v>
      </c>
      <c r="H418" s="551">
        <v>2013</v>
      </c>
      <c r="I418" s="156" t="str">
        <f t="shared" si="26"/>
        <v>2013</v>
      </c>
      <c r="J418" s="156">
        <v>2013</v>
      </c>
      <c r="K418" s="173"/>
      <c r="L418" s="591">
        <v>41012400127</v>
      </c>
      <c r="M418" s="157" t="str">
        <f t="shared" si="27"/>
        <v>К41012400127</v>
      </c>
      <c r="N418" s="448" t="s">
        <v>5506</v>
      </c>
      <c r="O418" s="172"/>
      <c r="P418" s="172"/>
      <c r="Q418" s="440"/>
      <c r="R418" s="305"/>
      <c r="S418" s="443"/>
      <c r="T418" s="289"/>
    </row>
    <row r="419" spans="1:23" x14ac:dyDescent="0.25">
      <c r="B419" s="1"/>
      <c r="C419" s="555" t="s">
        <v>3693</v>
      </c>
      <c r="D419" s="158">
        <v>426</v>
      </c>
      <c r="E419" s="553" t="s">
        <v>5578</v>
      </c>
      <c r="F419" s="440"/>
      <c r="G419" s="553">
        <v>149313</v>
      </c>
      <c r="H419" s="551">
        <v>2014</v>
      </c>
      <c r="I419" s="156" t="str">
        <f>RIGHT(H419,4)</f>
        <v>2014</v>
      </c>
      <c r="J419" s="156">
        <v>2014</v>
      </c>
      <c r="K419" s="173"/>
      <c r="L419" s="591">
        <v>236000285</v>
      </c>
      <c r="M419" s="157" t="str">
        <f t="shared" si="27"/>
        <v>К236000285</v>
      </c>
      <c r="N419" s="448" t="s">
        <v>5506</v>
      </c>
      <c r="O419" s="172"/>
      <c r="P419" s="172"/>
      <c r="Q419" s="440"/>
      <c r="R419" s="305"/>
      <c r="S419" s="443"/>
      <c r="T419" s="289"/>
    </row>
    <row r="420" spans="1:23" x14ac:dyDescent="0.25">
      <c r="B420" s="1"/>
      <c r="C420" s="555" t="s">
        <v>3693</v>
      </c>
      <c r="D420" s="154">
        <v>429</v>
      </c>
      <c r="E420" s="553" t="s">
        <v>5580</v>
      </c>
      <c r="F420" s="440"/>
      <c r="G420" s="553">
        <v>1732037</v>
      </c>
      <c r="H420" s="551">
        <v>2018</v>
      </c>
      <c r="I420" s="156" t="str">
        <f>RIGHT(H420,4)</f>
        <v>2018</v>
      </c>
      <c r="J420" s="156">
        <v>2018</v>
      </c>
      <c r="K420" s="173"/>
      <c r="L420" s="591">
        <v>41012400130</v>
      </c>
      <c r="M420" s="157" t="str">
        <f t="shared" si="27"/>
        <v>К41012400130</v>
      </c>
      <c r="N420" s="448" t="s">
        <v>5506</v>
      </c>
      <c r="O420" s="172"/>
      <c r="P420" s="172"/>
      <c r="Q420" s="440"/>
      <c r="R420" s="305"/>
      <c r="S420" s="443"/>
      <c r="T420" s="289"/>
    </row>
    <row r="421" spans="1:23" x14ac:dyDescent="0.25">
      <c r="B421" s="1"/>
      <c r="C421" s="484" t="s">
        <v>3693</v>
      </c>
      <c r="D421" s="154">
        <v>423</v>
      </c>
      <c r="E421" s="440" t="s">
        <v>5567</v>
      </c>
      <c r="F421" s="482" t="s">
        <v>5571</v>
      </c>
      <c r="G421" s="469" t="s">
        <v>653</v>
      </c>
      <c r="H421" s="469" t="s">
        <v>296</v>
      </c>
      <c r="I421" s="156" t="str">
        <f>RIGHT(H421,4)</f>
        <v>2020</v>
      </c>
      <c r="J421" s="156">
        <v>2020</v>
      </c>
      <c r="K421" s="156"/>
      <c r="L421" s="2"/>
      <c r="M421" s="157"/>
      <c r="N421" s="448" t="s">
        <v>5506</v>
      </c>
      <c r="O421" s="4"/>
      <c r="P421" s="1"/>
      <c r="T421" s="443"/>
    </row>
    <row r="422" spans="1:23" x14ac:dyDescent="0.25">
      <c r="B422" s="1"/>
      <c r="C422" s="484" t="s">
        <v>3693</v>
      </c>
      <c r="D422" s="158">
        <v>424</v>
      </c>
      <c r="E422" s="440" t="s">
        <v>5567</v>
      </c>
      <c r="F422" s="482" t="s">
        <v>5573</v>
      </c>
      <c r="G422" s="469" t="s">
        <v>653</v>
      </c>
      <c r="H422" s="469" t="s">
        <v>296</v>
      </c>
      <c r="I422" s="156" t="str">
        <f>RIGHT(H422,4)</f>
        <v>2020</v>
      </c>
      <c r="J422" s="156">
        <v>2020</v>
      </c>
      <c r="K422" s="156"/>
      <c r="L422" s="2"/>
      <c r="M422" s="157"/>
      <c r="N422" s="448" t="s">
        <v>5506</v>
      </c>
      <c r="O422" s="4"/>
      <c r="P422" s="1"/>
      <c r="T422" s="443"/>
    </row>
    <row r="423" spans="1:23" x14ac:dyDescent="0.25">
      <c r="B423" s="1"/>
      <c r="C423" s="555"/>
      <c r="D423" s="158">
        <v>430</v>
      </c>
      <c r="E423" s="551" t="s">
        <v>5581</v>
      </c>
      <c r="F423" s="440"/>
      <c r="G423" s="551"/>
      <c r="H423" s="551">
        <v>2022</v>
      </c>
      <c r="I423" s="156" t="str">
        <f>RIGHT(H423,4)</f>
        <v>2022</v>
      </c>
      <c r="J423" s="156">
        <v>2022</v>
      </c>
      <c r="K423" s="173"/>
      <c r="L423" s="591">
        <v>41012415170</v>
      </c>
      <c r="M423" s="157" t="str">
        <f t="shared" ref="M423:M431" si="28">CONCATENATE("К",L423)</f>
        <v>К41012415170</v>
      </c>
      <c r="N423" s="448" t="s">
        <v>5506</v>
      </c>
      <c r="O423" s="172"/>
      <c r="P423" s="172"/>
      <c r="Q423" s="440"/>
      <c r="R423" s="305"/>
      <c r="S423" s="443"/>
      <c r="T423" s="443"/>
    </row>
    <row r="424" spans="1:23" x14ac:dyDescent="0.25">
      <c r="B424" s="1"/>
      <c r="C424" s="1"/>
      <c r="D424" s="154">
        <v>411</v>
      </c>
      <c r="E424" s="440" t="s">
        <v>4519</v>
      </c>
      <c r="F424" s="440"/>
      <c r="G424" s="447" t="s">
        <v>4520</v>
      </c>
      <c r="H424" s="557"/>
      <c r="I424" s="156"/>
      <c r="J424" s="156"/>
      <c r="K424" s="173"/>
      <c r="L424" s="447" t="s">
        <v>4510</v>
      </c>
      <c r="M424" s="157" t="str">
        <f t="shared" si="28"/>
        <v>К08104455</v>
      </c>
      <c r="N424" s="448" t="s">
        <v>5506</v>
      </c>
      <c r="O424" s="172"/>
      <c r="P424" s="172"/>
      <c r="Q424" s="440"/>
      <c r="R424" s="305" t="s">
        <v>4512</v>
      </c>
      <c r="S424" s="443">
        <v>41410</v>
      </c>
      <c r="T424" s="443"/>
    </row>
    <row r="425" spans="1:23" x14ac:dyDescent="0.25">
      <c r="B425" s="1"/>
      <c r="C425" s="1"/>
      <c r="D425" s="158">
        <v>412</v>
      </c>
      <c r="E425" s="440" t="s">
        <v>4513</v>
      </c>
      <c r="F425" s="440"/>
      <c r="G425" s="447" t="s">
        <v>4514</v>
      </c>
      <c r="H425" s="557"/>
      <c r="I425" s="156"/>
      <c r="J425" s="156"/>
      <c r="K425" s="173"/>
      <c r="L425" s="447" t="s">
        <v>4510</v>
      </c>
      <c r="M425" s="157" t="str">
        <f t="shared" si="28"/>
        <v>К08104455</v>
      </c>
      <c r="N425" s="448" t="s">
        <v>5506</v>
      </c>
      <c r="O425" s="172"/>
      <c r="P425" s="172"/>
      <c r="Q425" s="440"/>
      <c r="R425" s="305" t="s">
        <v>4512</v>
      </c>
      <c r="S425" s="443">
        <v>41410</v>
      </c>
      <c r="T425" s="289"/>
    </row>
    <row r="426" spans="1:23" x14ac:dyDescent="0.25">
      <c r="B426" s="1"/>
      <c r="C426" s="1"/>
      <c r="D426" s="154">
        <v>413</v>
      </c>
      <c r="E426" s="440" t="s">
        <v>4515</v>
      </c>
      <c r="F426" s="440"/>
      <c r="G426" s="447" t="s">
        <v>4516</v>
      </c>
      <c r="H426" s="557"/>
      <c r="I426" s="156"/>
      <c r="J426" s="156"/>
      <c r="K426" s="173"/>
      <c r="L426" s="447" t="s">
        <v>4510</v>
      </c>
      <c r="M426" s="157" t="str">
        <f t="shared" si="28"/>
        <v>К08104455</v>
      </c>
      <c r="N426" s="448" t="s">
        <v>5506</v>
      </c>
      <c r="O426" s="172"/>
      <c r="P426" s="172"/>
      <c r="Q426" s="440"/>
      <c r="R426" s="305" t="s">
        <v>4512</v>
      </c>
      <c r="S426" s="443">
        <v>41410</v>
      </c>
      <c r="T426" s="289"/>
    </row>
    <row r="427" spans="1:23" x14ac:dyDescent="0.25">
      <c r="B427" s="1"/>
      <c r="C427" s="1"/>
      <c r="D427" s="158">
        <v>414</v>
      </c>
      <c r="E427" s="440" t="s">
        <v>4521</v>
      </c>
      <c r="F427" s="440"/>
      <c r="G427" s="447" t="s">
        <v>4522</v>
      </c>
      <c r="H427" s="557"/>
      <c r="I427" s="156"/>
      <c r="J427" s="156"/>
      <c r="K427" s="173"/>
      <c r="L427" s="447" t="s">
        <v>4510</v>
      </c>
      <c r="M427" s="157" t="str">
        <f t="shared" si="28"/>
        <v>К08104455</v>
      </c>
      <c r="N427" s="448" t="s">
        <v>5506</v>
      </c>
      <c r="O427" s="172"/>
      <c r="P427" s="172"/>
      <c r="Q427" s="440"/>
      <c r="R427" s="305" t="s">
        <v>4512</v>
      </c>
      <c r="S427" s="443">
        <v>41410</v>
      </c>
      <c r="U427" s="1"/>
      <c r="V427" s="4"/>
      <c r="W427" s="3"/>
    </row>
    <row r="428" spans="1:23" x14ac:dyDescent="0.25">
      <c r="A428" s="154"/>
      <c r="B428" s="1"/>
      <c r="C428" s="1"/>
      <c r="D428" s="154">
        <v>415</v>
      </c>
      <c r="E428" s="440" t="s">
        <v>4517</v>
      </c>
      <c r="F428" s="440"/>
      <c r="G428" s="447" t="s">
        <v>4518</v>
      </c>
      <c r="H428" s="557"/>
      <c r="I428" s="156"/>
      <c r="J428" s="156"/>
      <c r="K428" s="173"/>
      <c r="L428" s="447" t="s">
        <v>4510</v>
      </c>
      <c r="M428" s="157" t="str">
        <f t="shared" si="28"/>
        <v>К08104455</v>
      </c>
      <c r="N428" s="448" t="s">
        <v>5506</v>
      </c>
      <c r="O428" s="172"/>
      <c r="P428" s="172"/>
      <c r="Q428" s="440"/>
      <c r="R428" s="305" t="s">
        <v>4512</v>
      </c>
      <c r="S428" s="443">
        <v>41410</v>
      </c>
      <c r="U428" s="1"/>
      <c r="V428" s="4"/>
      <c r="W428" s="3"/>
    </row>
    <row r="429" spans="1:23" x14ac:dyDescent="0.25">
      <c r="A429" s="154"/>
      <c r="B429" s="1"/>
      <c r="C429" s="1"/>
      <c r="D429" s="158">
        <v>418</v>
      </c>
      <c r="E429" s="440" t="s">
        <v>4531</v>
      </c>
      <c r="F429" s="440"/>
      <c r="G429" s="447" t="s">
        <v>4532</v>
      </c>
      <c r="H429" s="583"/>
      <c r="I429" s="156" t="str">
        <f>RIGHT(H429,4)</f>
        <v/>
      </c>
      <c r="J429" s="156"/>
      <c r="K429" s="173"/>
      <c r="L429" s="447" t="s">
        <v>4528</v>
      </c>
      <c r="M429" s="157" t="str">
        <f t="shared" si="28"/>
        <v>К04700196</v>
      </c>
      <c r="N429" s="448" t="s">
        <v>5506</v>
      </c>
      <c r="O429" s="172"/>
      <c r="P429" s="172"/>
      <c r="Q429" s="440"/>
      <c r="R429" s="305" t="s">
        <v>4530</v>
      </c>
      <c r="S429" s="443">
        <v>38295</v>
      </c>
      <c r="T429" s="289"/>
    </row>
    <row r="430" spans="1:23" x14ac:dyDescent="0.25">
      <c r="B430" s="1"/>
      <c r="C430" s="1"/>
      <c r="D430" s="154">
        <v>419</v>
      </c>
      <c r="E430" s="440" t="s">
        <v>4533</v>
      </c>
      <c r="F430" s="440"/>
      <c r="G430" s="447" t="s">
        <v>4534</v>
      </c>
      <c r="H430" s="583"/>
      <c r="I430" s="156" t="str">
        <f>RIGHT(H430,4)</f>
        <v/>
      </c>
      <c r="J430" s="156"/>
      <c r="K430" s="173"/>
      <c r="L430" s="447" t="s">
        <v>4528</v>
      </c>
      <c r="M430" s="157" t="str">
        <f t="shared" si="28"/>
        <v>К04700196</v>
      </c>
      <c r="N430" s="448" t="s">
        <v>5506</v>
      </c>
      <c r="O430" s="172"/>
      <c r="P430" s="172"/>
      <c r="Q430" s="440"/>
      <c r="R430" s="305" t="s">
        <v>4530</v>
      </c>
      <c r="S430" s="443">
        <v>38295</v>
      </c>
      <c r="U430" s="1"/>
      <c r="V430" s="4"/>
      <c r="W430" s="3"/>
    </row>
    <row r="431" spans="1:23" x14ac:dyDescent="0.25">
      <c r="B431" s="1"/>
      <c r="C431" s="1"/>
      <c r="D431" s="158">
        <v>420</v>
      </c>
      <c r="E431" s="440" t="s">
        <v>4535</v>
      </c>
      <c r="F431" s="440"/>
      <c r="G431" s="447" t="s">
        <v>4536</v>
      </c>
      <c r="H431" s="583"/>
      <c r="I431" s="156" t="str">
        <f>RIGHT(H431,4)</f>
        <v/>
      </c>
      <c r="J431" s="156"/>
      <c r="K431" s="173"/>
      <c r="L431" s="447" t="s">
        <v>4528</v>
      </c>
      <c r="M431" s="157" t="str">
        <f t="shared" si="28"/>
        <v>К04700196</v>
      </c>
      <c r="N431" s="448" t="s">
        <v>5506</v>
      </c>
      <c r="O431" s="172"/>
      <c r="P431" s="172"/>
      <c r="Q431" s="440"/>
      <c r="R431" s="305" t="s">
        <v>4530</v>
      </c>
      <c r="S431" s="443">
        <v>38295</v>
      </c>
      <c r="U431" s="1"/>
      <c r="V431" s="4"/>
      <c r="W431" s="3"/>
    </row>
    <row r="432" spans="1:23" x14ac:dyDescent="0.25">
      <c r="B432" s="1"/>
      <c r="C432" s="555"/>
      <c r="D432" s="158"/>
      <c r="E432" s="551"/>
      <c r="F432" s="440"/>
      <c r="G432" s="551"/>
      <c r="H432" s="551"/>
      <c r="I432" s="156"/>
      <c r="J432" s="156"/>
      <c r="K432" s="173"/>
      <c r="L432" s="591"/>
      <c r="M432" s="157"/>
      <c r="N432" s="448"/>
      <c r="O432" s="172"/>
      <c r="P432" s="172"/>
      <c r="Q432" s="440"/>
      <c r="R432" s="305"/>
      <c r="S432" s="443"/>
      <c r="U432" s="1"/>
      <c r="V432" s="4"/>
      <c r="W432" s="3"/>
    </row>
    <row r="433" spans="1:23" x14ac:dyDescent="0.25">
      <c r="B433" s="1"/>
      <c r="C433" s="1"/>
      <c r="D433" s="158">
        <v>491</v>
      </c>
      <c r="E433" s="3" t="s">
        <v>813</v>
      </c>
      <c r="F433" s="3" t="s">
        <v>814</v>
      </c>
      <c r="G433" s="2" t="s">
        <v>815</v>
      </c>
      <c r="H433" s="2" t="s">
        <v>816</v>
      </c>
      <c r="I433" s="156" t="str">
        <f t="shared" ref="I433:I464" si="29">RIGHT(H433,4)</f>
        <v>2003</v>
      </c>
      <c r="J433" s="156">
        <v>2003</v>
      </c>
      <c r="K433" s="156"/>
      <c r="L433" s="2"/>
      <c r="M433" s="157" t="str">
        <f t="shared" ref="M433:M496" si="30">CONCATENATE("К",L433)</f>
        <v>К</v>
      </c>
      <c r="N433" s="3" t="s">
        <v>766</v>
      </c>
      <c r="O433" s="4" t="s">
        <v>767</v>
      </c>
      <c r="P433" s="1">
        <v>20</v>
      </c>
      <c r="U433" s="1"/>
      <c r="V433" s="4"/>
      <c r="W433" s="3"/>
    </row>
    <row r="434" spans="1:23" x14ac:dyDescent="0.25">
      <c r="B434" s="1"/>
      <c r="C434" s="1"/>
      <c r="D434" s="158">
        <v>542</v>
      </c>
      <c r="E434" s="3" t="s">
        <v>919</v>
      </c>
      <c r="F434" s="3" t="s">
        <v>920</v>
      </c>
      <c r="G434" s="2" t="s">
        <v>921</v>
      </c>
      <c r="H434" s="589" t="s">
        <v>1042</v>
      </c>
      <c r="I434" s="156" t="str">
        <f t="shared" si="29"/>
        <v>2004</v>
      </c>
      <c r="J434" s="156">
        <v>2004</v>
      </c>
      <c r="K434" s="156"/>
      <c r="L434" s="2" t="s">
        <v>922</v>
      </c>
      <c r="M434" s="157" t="str">
        <f t="shared" si="30"/>
        <v>К01370902</v>
      </c>
      <c r="N434" s="3" t="s">
        <v>766</v>
      </c>
      <c r="O434" s="4" t="s">
        <v>767</v>
      </c>
      <c r="P434" s="1"/>
      <c r="U434" s="1"/>
      <c r="V434" s="4"/>
      <c r="W434" s="3"/>
    </row>
    <row r="435" spans="1:23" x14ac:dyDescent="0.25">
      <c r="B435" s="1"/>
      <c r="C435" s="577" t="s">
        <v>5608</v>
      </c>
      <c r="D435" s="154">
        <v>436</v>
      </c>
      <c r="E435" s="3" t="s">
        <v>76</v>
      </c>
      <c r="F435" s="3" t="s">
        <v>786</v>
      </c>
      <c r="G435" s="2" t="s">
        <v>787</v>
      </c>
      <c r="H435" s="2" t="s">
        <v>550</v>
      </c>
      <c r="I435" s="156" t="str">
        <f t="shared" si="29"/>
        <v>2005</v>
      </c>
      <c r="J435" s="156">
        <v>2005</v>
      </c>
      <c r="K435" s="156"/>
      <c r="L435" s="2" t="s">
        <v>788</v>
      </c>
      <c r="M435" s="157" t="str">
        <f t="shared" si="30"/>
        <v>К04700077</v>
      </c>
      <c r="N435" s="3" t="s">
        <v>766</v>
      </c>
      <c r="O435" s="4" t="s">
        <v>767</v>
      </c>
      <c r="P435" s="1">
        <v>19</v>
      </c>
      <c r="U435" s="1"/>
      <c r="V435" s="4"/>
      <c r="W435" s="3"/>
    </row>
    <row r="436" spans="1:23" x14ac:dyDescent="0.25">
      <c r="B436" s="1"/>
      <c r="C436" s="457" t="s">
        <v>3034</v>
      </c>
      <c r="D436" s="158">
        <v>447</v>
      </c>
      <c r="E436" s="3" t="s">
        <v>763</v>
      </c>
      <c r="F436" s="3" t="s">
        <v>764</v>
      </c>
      <c r="G436" s="2" t="s">
        <v>765</v>
      </c>
      <c r="H436" s="2" t="s">
        <v>550</v>
      </c>
      <c r="I436" s="156" t="str">
        <f t="shared" si="29"/>
        <v>2005</v>
      </c>
      <c r="J436" s="156">
        <v>2005</v>
      </c>
      <c r="K436" s="156"/>
      <c r="L436" s="2"/>
      <c r="M436" s="157" t="str">
        <f t="shared" si="30"/>
        <v>К</v>
      </c>
      <c r="N436" s="3" t="s">
        <v>766</v>
      </c>
      <c r="O436" s="4" t="s">
        <v>767</v>
      </c>
      <c r="P436" s="1">
        <v>17</v>
      </c>
      <c r="U436" s="1"/>
      <c r="V436" s="4"/>
      <c r="W436" s="3"/>
    </row>
    <row r="437" spans="1:23" x14ac:dyDescent="0.25">
      <c r="A437" s="154">
        <v>347</v>
      </c>
      <c r="B437" s="1"/>
      <c r="C437" s="457" t="s">
        <v>3034</v>
      </c>
      <c r="D437" s="154">
        <v>448</v>
      </c>
      <c r="E437" s="3" t="s">
        <v>763</v>
      </c>
      <c r="F437" s="3" t="s">
        <v>764</v>
      </c>
      <c r="G437" s="2" t="s">
        <v>777</v>
      </c>
      <c r="H437" s="2" t="s">
        <v>550</v>
      </c>
      <c r="I437" s="156" t="str">
        <f t="shared" si="29"/>
        <v>2005</v>
      </c>
      <c r="J437" s="156">
        <v>2005</v>
      </c>
      <c r="K437" s="156"/>
      <c r="L437" s="2"/>
      <c r="M437" s="157" t="str">
        <f t="shared" si="30"/>
        <v>К</v>
      </c>
      <c r="N437" s="3" t="s">
        <v>766</v>
      </c>
      <c r="O437" s="4" t="s">
        <v>767</v>
      </c>
      <c r="P437" s="1">
        <v>18</v>
      </c>
      <c r="U437" s="1"/>
      <c r="V437" s="4"/>
      <c r="W437" s="3"/>
    </row>
    <row r="438" spans="1:23" x14ac:dyDescent="0.25">
      <c r="A438" s="158">
        <v>348</v>
      </c>
      <c r="B438" s="1"/>
      <c r="C438" s="457" t="s">
        <v>3692</v>
      </c>
      <c r="D438" s="154">
        <v>450</v>
      </c>
      <c r="E438" s="3" t="s">
        <v>832</v>
      </c>
      <c r="F438" s="3" t="s">
        <v>833</v>
      </c>
      <c r="G438" s="2" t="s">
        <v>835</v>
      </c>
      <c r="H438" s="589" t="s">
        <v>232</v>
      </c>
      <c r="I438" s="156" t="str">
        <f t="shared" si="29"/>
        <v>2007</v>
      </c>
      <c r="J438" s="156">
        <v>2007</v>
      </c>
      <c r="K438" s="156"/>
      <c r="L438" s="2" t="s">
        <v>836</v>
      </c>
      <c r="M438" s="157" t="str">
        <f t="shared" si="30"/>
        <v>К08102399</v>
      </c>
      <c r="N438" s="3" t="s">
        <v>766</v>
      </c>
      <c r="O438" s="4" t="s">
        <v>767</v>
      </c>
      <c r="P438" s="1"/>
      <c r="U438" s="1"/>
      <c r="V438" s="4"/>
      <c r="W438" s="3"/>
    </row>
    <row r="439" spans="1:23" x14ac:dyDescent="0.25">
      <c r="A439" s="154">
        <v>349</v>
      </c>
      <c r="B439" s="1"/>
      <c r="C439" s="1"/>
      <c r="D439" s="154">
        <v>455</v>
      </c>
      <c r="E439" s="3" t="s">
        <v>408</v>
      </c>
      <c r="F439" s="3" t="s">
        <v>409</v>
      </c>
      <c r="G439" s="2" t="s">
        <v>850</v>
      </c>
      <c r="H439" s="2" t="s">
        <v>851</v>
      </c>
      <c r="I439" s="156" t="str">
        <f t="shared" si="29"/>
        <v>2007</v>
      </c>
      <c r="J439" s="156">
        <v>2007</v>
      </c>
      <c r="K439" s="156"/>
      <c r="L439" s="2" t="s">
        <v>836</v>
      </c>
      <c r="M439" s="157" t="str">
        <f t="shared" si="30"/>
        <v>К08102399</v>
      </c>
      <c r="N439" s="3" t="s">
        <v>766</v>
      </c>
      <c r="O439" s="4" t="s">
        <v>767</v>
      </c>
      <c r="P439" s="1"/>
      <c r="U439" s="1"/>
      <c r="V439" s="4"/>
      <c r="W439" s="3"/>
    </row>
    <row r="440" spans="1:23" x14ac:dyDescent="0.25">
      <c r="A440" s="158">
        <v>350</v>
      </c>
      <c r="B440" s="1"/>
      <c r="C440" s="1"/>
      <c r="D440" s="158">
        <v>458</v>
      </c>
      <c r="E440" s="3" t="s">
        <v>412</v>
      </c>
      <c r="F440" s="3" t="s">
        <v>413</v>
      </c>
      <c r="G440" s="2" t="s">
        <v>932</v>
      </c>
      <c r="H440" s="589" t="s">
        <v>232</v>
      </c>
      <c r="I440" s="156" t="str">
        <f t="shared" si="29"/>
        <v>2007</v>
      </c>
      <c r="J440" s="156">
        <v>2007</v>
      </c>
      <c r="K440" s="156"/>
      <c r="L440" s="2" t="s">
        <v>933</v>
      </c>
      <c r="M440" s="157" t="str">
        <f t="shared" si="30"/>
        <v>К04800301</v>
      </c>
      <c r="N440" s="3" t="s">
        <v>766</v>
      </c>
      <c r="O440" s="4" t="s">
        <v>928</v>
      </c>
      <c r="P440" s="1"/>
      <c r="U440" s="1"/>
      <c r="V440" s="4"/>
      <c r="W440" s="3"/>
    </row>
    <row r="441" spans="1:23" x14ac:dyDescent="0.25">
      <c r="A441" s="154">
        <v>351</v>
      </c>
      <c r="B441" s="1"/>
      <c r="C441" s="1"/>
      <c r="D441" s="158">
        <v>466</v>
      </c>
      <c r="E441" s="3" t="s">
        <v>415</v>
      </c>
      <c r="F441" s="3" t="s">
        <v>837</v>
      </c>
      <c r="G441" s="2" t="s">
        <v>838</v>
      </c>
      <c r="H441" s="589" t="s">
        <v>232</v>
      </c>
      <c r="I441" s="156" t="str">
        <f t="shared" si="29"/>
        <v>2007</v>
      </c>
      <c r="J441" s="156">
        <v>2007</v>
      </c>
      <c r="K441" s="156"/>
      <c r="L441" s="2" t="s">
        <v>836</v>
      </c>
      <c r="M441" s="157" t="str">
        <f t="shared" si="30"/>
        <v>К08102399</v>
      </c>
      <c r="N441" s="3" t="s">
        <v>766</v>
      </c>
      <c r="O441" s="4" t="s">
        <v>767</v>
      </c>
      <c r="P441" s="1"/>
      <c r="U441" s="1"/>
      <c r="V441" s="4"/>
      <c r="W441" s="3"/>
    </row>
    <row r="442" spans="1:23" x14ac:dyDescent="0.25">
      <c r="A442" s="154">
        <v>353</v>
      </c>
      <c r="B442" s="1"/>
      <c r="C442" s="1"/>
      <c r="D442" s="154">
        <v>469</v>
      </c>
      <c r="E442" s="166" t="s">
        <v>2376</v>
      </c>
      <c r="F442" s="166" t="s">
        <v>936</v>
      </c>
      <c r="G442" s="2" t="s">
        <v>937</v>
      </c>
      <c r="H442" s="589" t="s">
        <v>232</v>
      </c>
      <c r="I442" s="156" t="str">
        <f t="shared" si="29"/>
        <v>2007</v>
      </c>
      <c r="J442" s="156">
        <v>2007</v>
      </c>
      <c r="K442" s="156"/>
      <c r="L442" s="2" t="s">
        <v>938</v>
      </c>
      <c r="M442" s="157" t="str">
        <f t="shared" si="30"/>
        <v>К04800302</v>
      </c>
      <c r="N442" s="3" t="s">
        <v>766</v>
      </c>
      <c r="O442" s="4" t="s">
        <v>928</v>
      </c>
      <c r="P442" s="1"/>
      <c r="U442" s="1"/>
      <c r="V442" s="4"/>
      <c r="W442" s="3"/>
    </row>
    <row r="443" spans="1:23" x14ac:dyDescent="0.25">
      <c r="A443" s="158">
        <v>354</v>
      </c>
      <c r="B443" s="1"/>
      <c r="C443" s="1"/>
      <c r="D443" s="158">
        <v>470</v>
      </c>
      <c r="E443" s="3" t="s">
        <v>847</v>
      </c>
      <c r="F443" s="3" t="s">
        <v>848</v>
      </c>
      <c r="G443" s="2"/>
      <c r="H443" s="2" t="s">
        <v>849</v>
      </c>
      <c r="I443" s="156" t="str">
        <f t="shared" si="29"/>
        <v>2007</v>
      </c>
      <c r="J443" s="156">
        <v>2007</v>
      </c>
      <c r="K443" s="156"/>
      <c r="L443" s="2"/>
      <c r="M443" s="157" t="str">
        <f t="shared" si="30"/>
        <v>К</v>
      </c>
      <c r="N443" s="3" t="s">
        <v>766</v>
      </c>
      <c r="O443" s="4" t="s">
        <v>767</v>
      </c>
      <c r="P443" s="1"/>
      <c r="U443" s="1"/>
      <c r="V443" s="4"/>
      <c r="W443" s="3"/>
    </row>
    <row r="444" spans="1:23" x14ac:dyDescent="0.25">
      <c r="A444" s="158">
        <v>452</v>
      </c>
      <c r="B444" s="1"/>
      <c r="C444" s="1"/>
      <c r="D444" s="158">
        <v>473</v>
      </c>
      <c r="E444" s="3" t="s">
        <v>421</v>
      </c>
      <c r="F444" s="3" t="s">
        <v>854</v>
      </c>
      <c r="G444" s="2" t="s">
        <v>855</v>
      </c>
      <c r="H444" s="589" t="s">
        <v>232</v>
      </c>
      <c r="I444" s="156" t="str">
        <f t="shared" si="29"/>
        <v>2007</v>
      </c>
      <c r="J444" s="156">
        <v>2007</v>
      </c>
      <c r="K444" s="156"/>
      <c r="L444" s="2" t="s">
        <v>836</v>
      </c>
      <c r="M444" s="157" t="str">
        <f t="shared" si="30"/>
        <v>К08102399</v>
      </c>
      <c r="N444" s="3" t="s">
        <v>766</v>
      </c>
      <c r="O444" s="4" t="s">
        <v>767</v>
      </c>
      <c r="P444" s="1"/>
      <c r="U444" s="1"/>
      <c r="V444" s="4"/>
      <c r="W444" s="3"/>
    </row>
    <row r="445" spans="1:23" x14ac:dyDescent="0.25">
      <c r="A445" s="154">
        <v>355</v>
      </c>
      <c r="B445" s="1"/>
      <c r="C445" s="1"/>
      <c r="D445" s="154">
        <v>478</v>
      </c>
      <c r="E445" s="3" t="s">
        <v>380</v>
      </c>
      <c r="F445" s="3" t="s">
        <v>860</v>
      </c>
      <c r="G445" s="2" t="s">
        <v>861</v>
      </c>
      <c r="H445" s="589" t="s">
        <v>232</v>
      </c>
      <c r="I445" s="156" t="str">
        <f t="shared" si="29"/>
        <v>2007</v>
      </c>
      <c r="J445" s="156">
        <v>2007</v>
      </c>
      <c r="K445" s="156"/>
      <c r="L445" s="2" t="s">
        <v>836</v>
      </c>
      <c r="M445" s="157" t="str">
        <f t="shared" si="30"/>
        <v>К08102399</v>
      </c>
      <c r="N445" s="3" t="s">
        <v>766</v>
      </c>
      <c r="O445" s="4" t="s">
        <v>767</v>
      </c>
      <c r="P445" s="1"/>
      <c r="U445" s="1"/>
      <c r="V445" s="4"/>
      <c r="W445" s="3"/>
    </row>
    <row r="446" spans="1:23" x14ac:dyDescent="0.25">
      <c r="A446" s="158">
        <v>356</v>
      </c>
      <c r="B446" s="1"/>
      <c r="C446" s="457" t="s">
        <v>3034</v>
      </c>
      <c r="D446" s="154">
        <v>518</v>
      </c>
      <c r="E446" s="3" t="s">
        <v>897</v>
      </c>
      <c r="F446" s="3" t="s">
        <v>898</v>
      </c>
      <c r="G446" s="2" t="s">
        <v>899</v>
      </c>
      <c r="H446" s="2" t="s">
        <v>232</v>
      </c>
      <c r="I446" s="156" t="str">
        <f t="shared" si="29"/>
        <v>2007</v>
      </c>
      <c r="J446" s="156">
        <v>2007</v>
      </c>
      <c r="K446" s="156"/>
      <c r="L446" s="2" t="s">
        <v>900</v>
      </c>
      <c r="M446" s="157" t="str">
        <f t="shared" si="30"/>
        <v>К04700341</v>
      </c>
      <c r="N446" s="3" t="s">
        <v>766</v>
      </c>
      <c r="O446" s="4" t="s">
        <v>767</v>
      </c>
      <c r="P446" s="1"/>
      <c r="U446" s="1"/>
      <c r="V446" s="4"/>
      <c r="W446" s="3"/>
    </row>
    <row r="447" spans="1:23" x14ac:dyDescent="0.25">
      <c r="A447" s="154">
        <v>357</v>
      </c>
      <c r="B447" s="1"/>
      <c r="C447" s="1"/>
      <c r="D447" s="158">
        <v>528</v>
      </c>
      <c r="E447" s="3" t="s">
        <v>395</v>
      </c>
      <c r="F447" s="3" t="s">
        <v>396</v>
      </c>
      <c r="G447" s="2" t="s">
        <v>907</v>
      </c>
      <c r="H447" s="589" t="s">
        <v>232</v>
      </c>
      <c r="I447" s="156" t="str">
        <f t="shared" si="29"/>
        <v>2007</v>
      </c>
      <c r="J447" s="156">
        <v>2007</v>
      </c>
      <c r="K447" s="156"/>
      <c r="L447" s="2" t="s">
        <v>836</v>
      </c>
      <c r="M447" s="157" t="str">
        <f t="shared" si="30"/>
        <v>К08102399</v>
      </c>
      <c r="N447" s="3" t="s">
        <v>766</v>
      </c>
      <c r="O447" s="4" t="s">
        <v>767</v>
      </c>
      <c r="P447" s="1"/>
      <c r="U447" s="1"/>
      <c r="V447" s="4"/>
      <c r="W447" s="3"/>
    </row>
    <row r="448" spans="1:23" x14ac:dyDescent="0.25">
      <c r="A448" s="154">
        <v>421</v>
      </c>
      <c r="B448" s="1"/>
      <c r="C448" s="457" t="s">
        <v>3034</v>
      </c>
      <c r="D448" s="154">
        <v>439</v>
      </c>
      <c r="E448" s="3" t="s">
        <v>355</v>
      </c>
      <c r="F448" s="3" t="s">
        <v>825</v>
      </c>
      <c r="G448" s="2" t="s">
        <v>828</v>
      </c>
      <c r="H448" s="2" t="s">
        <v>90</v>
      </c>
      <c r="I448" s="156" t="str">
        <f t="shared" si="29"/>
        <v>2008</v>
      </c>
      <c r="J448" s="156">
        <v>2008</v>
      </c>
      <c r="K448" s="156"/>
      <c r="L448" s="2" t="s">
        <v>829</v>
      </c>
      <c r="M448" s="157" t="str">
        <f t="shared" si="30"/>
        <v>К08102426_3</v>
      </c>
      <c r="N448" s="3" t="s">
        <v>766</v>
      </c>
      <c r="O448" s="4" t="s">
        <v>767</v>
      </c>
      <c r="P448" s="1"/>
      <c r="U448" s="1"/>
      <c r="V448" s="4"/>
      <c r="W448" s="3"/>
    </row>
    <row r="449" spans="1:23" x14ac:dyDescent="0.25">
      <c r="A449" s="154">
        <v>399</v>
      </c>
      <c r="B449" s="1"/>
      <c r="C449" s="481" t="s">
        <v>3034</v>
      </c>
      <c r="D449" s="154">
        <v>511</v>
      </c>
      <c r="E449" s="3" t="s">
        <v>768</v>
      </c>
      <c r="F449" s="3" t="s">
        <v>769</v>
      </c>
      <c r="G449" s="2" t="s">
        <v>956</v>
      </c>
      <c r="H449" s="589" t="s">
        <v>90</v>
      </c>
      <c r="I449" s="156" t="str">
        <f t="shared" si="29"/>
        <v>2008</v>
      </c>
      <c r="J449" s="156">
        <v>2008</v>
      </c>
      <c r="K449" s="156"/>
      <c r="L449" s="2" t="s">
        <v>957</v>
      </c>
      <c r="M449" s="157" t="str">
        <f t="shared" si="30"/>
        <v>К04700113</v>
      </c>
      <c r="N449" s="3" t="s">
        <v>766</v>
      </c>
      <c r="O449" s="4" t="s">
        <v>928</v>
      </c>
      <c r="P449" s="1"/>
      <c r="U449" s="1"/>
      <c r="V449" s="4"/>
      <c r="W449" s="3"/>
    </row>
    <row r="450" spans="1:23" x14ac:dyDescent="0.25">
      <c r="A450" s="158">
        <v>400</v>
      </c>
      <c r="B450" s="1"/>
      <c r="C450" s="481" t="s">
        <v>3034</v>
      </c>
      <c r="D450" s="158">
        <v>512</v>
      </c>
      <c r="E450" s="3" t="s">
        <v>768</v>
      </c>
      <c r="F450" s="3" t="s">
        <v>769</v>
      </c>
      <c r="G450" s="2" t="s">
        <v>958</v>
      </c>
      <c r="H450" s="589" t="s">
        <v>90</v>
      </c>
      <c r="I450" s="156" t="str">
        <f t="shared" si="29"/>
        <v>2008</v>
      </c>
      <c r="J450" s="156">
        <v>2008</v>
      </c>
      <c r="K450" s="156"/>
      <c r="L450" s="2" t="s">
        <v>959</v>
      </c>
      <c r="M450" s="157" t="str">
        <f t="shared" si="30"/>
        <v>К04700116</v>
      </c>
      <c r="N450" s="3" t="s">
        <v>766</v>
      </c>
      <c r="O450" s="4" t="s">
        <v>928</v>
      </c>
      <c r="P450" s="1"/>
      <c r="U450" s="1"/>
      <c r="V450" s="4"/>
      <c r="W450" s="3"/>
    </row>
    <row r="451" spans="1:23" x14ac:dyDescent="0.25">
      <c r="A451" s="158">
        <v>444</v>
      </c>
      <c r="B451" s="136" t="s">
        <v>3552</v>
      </c>
      <c r="C451" s="136"/>
      <c r="D451" s="158">
        <v>538</v>
      </c>
      <c r="E451" s="3" t="s">
        <v>2676</v>
      </c>
      <c r="F451" s="43" t="s">
        <v>781</v>
      </c>
      <c r="G451" s="2" t="s">
        <v>782</v>
      </c>
      <c r="H451" s="2" t="s">
        <v>783</v>
      </c>
      <c r="I451" s="156" t="str">
        <f t="shared" si="29"/>
        <v>2009</v>
      </c>
      <c r="J451" s="156">
        <v>2009</v>
      </c>
      <c r="K451" s="156"/>
      <c r="L451" s="2" t="s">
        <v>773</v>
      </c>
      <c r="M451" s="157" t="str">
        <f t="shared" si="30"/>
        <v>К08104621</v>
      </c>
      <c r="N451" s="475" t="s">
        <v>766</v>
      </c>
      <c r="O451" s="477" t="s">
        <v>767</v>
      </c>
      <c r="P451" s="1">
        <v>18</v>
      </c>
      <c r="U451" s="1"/>
      <c r="V451" s="4"/>
      <c r="W451" s="3"/>
    </row>
    <row r="452" spans="1:23" x14ac:dyDescent="0.25">
      <c r="A452" s="154">
        <v>445</v>
      </c>
      <c r="B452" s="1"/>
      <c r="C452" s="457" t="s">
        <v>3034</v>
      </c>
      <c r="D452" s="158">
        <v>440</v>
      </c>
      <c r="E452" s="3" t="s">
        <v>355</v>
      </c>
      <c r="F452" s="3" t="s">
        <v>825</v>
      </c>
      <c r="G452" s="2" t="s">
        <v>830</v>
      </c>
      <c r="H452" s="2" t="s">
        <v>47</v>
      </c>
      <c r="I452" s="156" t="str">
        <f t="shared" si="29"/>
        <v>2010</v>
      </c>
      <c r="J452" s="156">
        <v>2010</v>
      </c>
      <c r="K452" s="156"/>
      <c r="L452" s="2" t="s">
        <v>831</v>
      </c>
      <c r="M452" s="157" t="str">
        <f t="shared" si="30"/>
        <v>К08102827_2</v>
      </c>
      <c r="N452" s="3" t="s">
        <v>766</v>
      </c>
      <c r="O452" s="4" t="s">
        <v>767</v>
      </c>
      <c r="P452" s="1"/>
      <c r="U452" s="1"/>
      <c r="V452" s="4"/>
      <c r="W452" s="3"/>
    </row>
    <row r="453" spans="1:23" x14ac:dyDescent="0.25">
      <c r="A453" s="158">
        <v>358</v>
      </c>
      <c r="B453" s="1"/>
      <c r="C453" s="457" t="s">
        <v>3034</v>
      </c>
      <c r="D453" s="158">
        <v>526</v>
      </c>
      <c r="E453" s="486" t="s">
        <v>3677</v>
      </c>
      <c r="F453" s="3" t="s">
        <v>987</v>
      </c>
      <c r="G453" s="2" t="s">
        <v>2044</v>
      </c>
      <c r="H453" s="2" t="s">
        <v>47</v>
      </c>
      <c r="I453" s="156" t="str">
        <f t="shared" si="29"/>
        <v>2010</v>
      </c>
      <c r="J453" s="156">
        <v>2010</v>
      </c>
      <c r="K453" s="156"/>
      <c r="L453" s="2" t="s">
        <v>988</v>
      </c>
      <c r="M453" s="157" t="str">
        <f t="shared" si="30"/>
        <v>К08102934_2</v>
      </c>
      <c r="N453" s="3" t="s">
        <v>766</v>
      </c>
      <c r="O453" s="4" t="s">
        <v>1671</v>
      </c>
      <c r="P453" s="1"/>
      <c r="U453" s="1"/>
      <c r="V453" s="4"/>
      <c r="W453" s="3"/>
    </row>
    <row r="454" spans="1:23" x14ac:dyDescent="0.25">
      <c r="A454" s="154">
        <v>359</v>
      </c>
      <c r="B454" s="1"/>
      <c r="C454" s="1"/>
      <c r="D454" s="154">
        <v>483</v>
      </c>
      <c r="E454" s="3" t="s">
        <v>91</v>
      </c>
      <c r="F454" s="3" t="s">
        <v>862</v>
      </c>
      <c r="G454" s="2" t="s">
        <v>863</v>
      </c>
      <c r="H454" s="2" t="s">
        <v>47</v>
      </c>
      <c r="I454" s="156" t="str">
        <f t="shared" si="29"/>
        <v>2010</v>
      </c>
      <c r="J454" s="156">
        <v>2010</v>
      </c>
      <c r="K454" s="156"/>
      <c r="L454" s="2" t="s">
        <v>864</v>
      </c>
      <c r="M454" s="157" t="str">
        <f t="shared" si="30"/>
        <v>К08102820_2</v>
      </c>
      <c r="N454" s="3" t="s">
        <v>766</v>
      </c>
      <c r="O454" s="4" t="s">
        <v>767</v>
      </c>
      <c r="P454" s="1"/>
      <c r="U454" s="1"/>
      <c r="V454" s="4"/>
      <c r="W454" s="3"/>
    </row>
    <row r="455" spans="1:23" x14ac:dyDescent="0.25">
      <c r="A455" s="158">
        <v>422</v>
      </c>
      <c r="B455" s="1"/>
      <c r="C455" s="1"/>
      <c r="D455" s="158">
        <v>484</v>
      </c>
      <c r="E455" s="3" t="s">
        <v>91</v>
      </c>
      <c r="F455" s="3" t="s">
        <v>862</v>
      </c>
      <c r="G455" s="2" t="s">
        <v>865</v>
      </c>
      <c r="H455" s="2" t="s">
        <v>47</v>
      </c>
      <c r="I455" s="156" t="str">
        <f t="shared" si="29"/>
        <v>2010</v>
      </c>
      <c r="J455" s="156">
        <v>2010</v>
      </c>
      <c r="K455" s="156"/>
      <c r="L455" s="2" t="s">
        <v>866</v>
      </c>
      <c r="M455" s="157" t="str">
        <f t="shared" si="30"/>
        <v>К08102832</v>
      </c>
      <c r="N455" s="3" t="s">
        <v>766</v>
      </c>
      <c r="O455" s="4" t="s">
        <v>767</v>
      </c>
      <c r="P455" s="1"/>
      <c r="U455" s="1"/>
      <c r="V455" s="4"/>
      <c r="W455" s="3"/>
    </row>
    <row r="456" spans="1:23" x14ac:dyDescent="0.25">
      <c r="A456" s="154">
        <v>485</v>
      </c>
      <c r="B456" s="1"/>
      <c r="C456" s="1"/>
      <c r="D456" s="154">
        <v>485</v>
      </c>
      <c r="E456" s="3" t="s">
        <v>91</v>
      </c>
      <c r="F456" s="3" t="s">
        <v>862</v>
      </c>
      <c r="G456" s="2" t="s">
        <v>945</v>
      </c>
      <c r="H456" s="2" t="s">
        <v>47</v>
      </c>
      <c r="I456" s="156" t="str">
        <f t="shared" si="29"/>
        <v>2010</v>
      </c>
      <c r="J456" s="156">
        <v>2010</v>
      </c>
      <c r="K456" s="156"/>
      <c r="L456" s="2" t="s">
        <v>946</v>
      </c>
      <c r="M456" s="157" t="str">
        <f t="shared" si="30"/>
        <v>К08102819_2</v>
      </c>
      <c r="N456" s="3" t="s">
        <v>766</v>
      </c>
      <c r="O456" s="4" t="s">
        <v>928</v>
      </c>
      <c r="P456" s="1"/>
      <c r="U456" s="1"/>
      <c r="V456" s="4"/>
      <c r="W456" s="3"/>
    </row>
    <row r="457" spans="1:23" x14ac:dyDescent="0.25">
      <c r="A457" s="154">
        <v>1457</v>
      </c>
      <c r="B457" s="1"/>
      <c r="C457" s="1"/>
      <c r="D457" s="154">
        <v>460</v>
      </c>
      <c r="E457" s="3" t="s">
        <v>842</v>
      </c>
      <c r="F457" s="3" t="s">
        <v>843</v>
      </c>
      <c r="G457" s="2" t="s">
        <v>844</v>
      </c>
      <c r="H457" s="2" t="s">
        <v>283</v>
      </c>
      <c r="I457" s="156" t="str">
        <f t="shared" si="29"/>
        <v>2011</v>
      </c>
      <c r="J457" s="156">
        <v>2011</v>
      </c>
      <c r="K457" s="156"/>
      <c r="L457" s="2"/>
      <c r="M457" s="157" t="str">
        <f t="shared" si="30"/>
        <v>К</v>
      </c>
      <c r="N457" s="3" t="s">
        <v>766</v>
      </c>
      <c r="O457" s="4" t="s">
        <v>767</v>
      </c>
      <c r="P457" s="1"/>
      <c r="U457" s="1"/>
      <c r="V457" s="4"/>
      <c r="W457" s="3"/>
    </row>
    <row r="458" spans="1:23" x14ac:dyDescent="0.25">
      <c r="A458" s="154">
        <v>423</v>
      </c>
      <c r="B458" s="1"/>
      <c r="C458" s="1"/>
      <c r="D458" s="158">
        <v>479</v>
      </c>
      <c r="E458" s="3" t="s">
        <v>380</v>
      </c>
      <c r="F458" s="3" t="s">
        <v>856</v>
      </c>
      <c r="G458" s="2" t="s">
        <v>857</v>
      </c>
      <c r="H458" s="2" t="s">
        <v>283</v>
      </c>
      <c r="I458" s="156" t="str">
        <f t="shared" si="29"/>
        <v>2011</v>
      </c>
      <c r="J458" s="156">
        <v>2011</v>
      </c>
      <c r="K458" s="156"/>
      <c r="L458" s="2"/>
      <c r="M458" s="157" t="str">
        <f t="shared" si="30"/>
        <v>К</v>
      </c>
      <c r="N458" s="3" t="s">
        <v>766</v>
      </c>
      <c r="O458" s="4" t="s">
        <v>767</v>
      </c>
      <c r="P458" s="1"/>
      <c r="U458" s="1"/>
      <c r="V458" s="4"/>
      <c r="W458" s="3"/>
    </row>
    <row r="459" spans="1:23" x14ac:dyDescent="0.25">
      <c r="A459" s="158">
        <v>362</v>
      </c>
      <c r="B459" s="1"/>
      <c r="C459" s="457" t="s">
        <v>3034</v>
      </c>
      <c r="D459" s="154">
        <v>490</v>
      </c>
      <c r="E459" s="3" t="s">
        <v>981</v>
      </c>
      <c r="F459" s="3" t="s">
        <v>982</v>
      </c>
      <c r="G459" s="2" t="s">
        <v>983</v>
      </c>
      <c r="H459" s="2" t="s">
        <v>283</v>
      </c>
      <c r="I459" s="156" t="str">
        <f t="shared" si="29"/>
        <v>2011</v>
      </c>
      <c r="J459" s="156">
        <v>2011</v>
      </c>
      <c r="K459" s="156"/>
      <c r="L459" s="2" t="s">
        <v>984</v>
      </c>
      <c r="M459" s="157" t="str">
        <f t="shared" si="30"/>
        <v>К08102894</v>
      </c>
      <c r="N459" s="3" t="s">
        <v>766</v>
      </c>
      <c r="O459" s="4" t="s">
        <v>985</v>
      </c>
      <c r="P459" s="1"/>
      <c r="U459" s="1"/>
      <c r="V459" s="4"/>
      <c r="W459" s="3"/>
    </row>
    <row r="460" spans="1:23" x14ac:dyDescent="0.25">
      <c r="A460" s="154">
        <v>363</v>
      </c>
      <c r="B460" s="1"/>
      <c r="C460" s="457" t="s">
        <v>3034</v>
      </c>
      <c r="D460" s="154">
        <v>513</v>
      </c>
      <c r="E460" s="3" t="s">
        <v>892</v>
      </c>
      <c r="F460" s="3" t="s">
        <v>893</v>
      </c>
      <c r="G460" s="2" t="s">
        <v>894</v>
      </c>
      <c r="H460" s="2" t="s">
        <v>895</v>
      </c>
      <c r="I460" s="156" t="str">
        <f t="shared" si="29"/>
        <v>2011</v>
      </c>
      <c r="J460" s="156">
        <v>2011</v>
      </c>
      <c r="K460" s="156"/>
      <c r="L460" s="2" t="s">
        <v>896</v>
      </c>
      <c r="M460" s="157" t="str">
        <f t="shared" si="30"/>
        <v>К08103098_2</v>
      </c>
      <c r="N460" s="3" t="s">
        <v>766</v>
      </c>
      <c r="O460" s="4" t="s">
        <v>767</v>
      </c>
      <c r="P460" s="1"/>
      <c r="U460" s="1"/>
      <c r="V460" s="4"/>
      <c r="W460" s="3"/>
    </row>
    <row r="461" spans="1:23" x14ac:dyDescent="0.25">
      <c r="A461" s="158">
        <v>364</v>
      </c>
      <c r="B461" s="1"/>
      <c r="C461" s="457" t="s">
        <v>3034</v>
      </c>
      <c r="D461" s="158">
        <v>536</v>
      </c>
      <c r="E461" s="3" t="s">
        <v>911</v>
      </c>
      <c r="F461" s="3" t="s">
        <v>912</v>
      </c>
      <c r="G461" s="2" t="s">
        <v>913</v>
      </c>
      <c r="H461" s="2" t="s">
        <v>914</v>
      </c>
      <c r="I461" s="156" t="str">
        <f t="shared" si="29"/>
        <v>2011</v>
      </c>
      <c r="J461" s="156">
        <v>2011</v>
      </c>
      <c r="K461" s="156"/>
      <c r="L461" s="2" t="s">
        <v>915</v>
      </c>
      <c r="M461" s="157" t="str">
        <f t="shared" si="30"/>
        <v>К08104231</v>
      </c>
      <c r="N461" s="3" t="s">
        <v>766</v>
      </c>
      <c r="O461" s="4" t="s">
        <v>767</v>
      </c>
      <c r="P461" s="1"/>
      <c r="U461" s="1"/>
      <c r="V461" s="4"/>
      <c r="W461" s="3"/>
    </row>
    <row r="462" spans="1:23" x14ac:dyDescent="0.25">
      <c r="A462" s="158">
        <v>424</v>
      </c>
      <c r="B462" s="1"/>
      <c r="C462" s="577" t="s">
        <v>5608</v>
      </c>
      <c r="D462" s="158">
        <v>438</v>
      </c>
      <c r="E462" s="3" t="s">
        <v>76</v>
      </c>
      <c r="F462" s="3" t="s">
        <v>989</v>
      </c>
      <c r="G462" s="2" t="s">
        <v>990</v>
      </c>
      <c r="H462" s="2" t="s">
        <v>159</v>
      </c>
      <c r="I462" s="156" t="str">
        <f t="shared" si="29"/>
        <v>2012</v>
      </c>
      <c r="J462" s="156">
        <v>2012</v>
      </c>
      <c r="K462" s="156"/>
      <c r="L462" s="2" t="s">
        <v>991</v>
      </c>
      <c r="M462" s="157" t="str">
        <f t="shared" si="30"/>
        <v>К08104187</v>
      </c>
      <c r="N462" s="3" t="s">
        <v>766</v>
      </c>
      <c r="O462" s="4"/>
      <c r="P462" s="1"/>
      <c r="U462" s="1"/>
      <c r="V462" s="4"/>
      <c r="W462" s="3"/>
    </row>
    <row r="463" spans="1:23" x14ac:dyDescent="0.25">
      <c r="A463" s="154">
        <v>447</v>
      </c>
      <c r="B463" s="1"/>
      <c r="C463" s="1"/>
      <c r="D463" s="158">
        <v>459</v>
      </c>
      <c r="E463" s="3" t="s">
        <v>412</v>
      </c>
      <c r="F463" s="3" t="s">
        <v>413</v>
      </c>
      <c r="G463" s="2" t="s">
        <v>934</v>
      </c>
      <c r="H463" s="2" t="s">
        <v>159</v>
      </c>
      <c r="I463" s="156" t="str">
        <f t="shared" si="29"/>
        <v>2012</v>
      </c>
      <c r="J463" s="156">
        <v>2012</v>
      </c>
      <c r="K463" s="156"/>
      <c r="L463" s="2" t="s">
        <v>935</v>
      </c>
      <c r="M463" s="157" t="str">
        <f t="shared" si="30"/>
        <v>К08104788</v>
      </c>
      <c r="N463" s="3" t="s">
        <v>766</v>
      </c>
      <c r="O463" s="4" t="s">
        <v>928</v>
      </c>
      <c r="P463" s="1"/>
      <c r="U463" s="1"/>
      <c r="V463" s="4"/>
      <c r="W463" s="3"/>
    </row>
    <row r="464" spans="1:23" x14ac:dyDescent="0.25">
      <c r="A464" s="154">
        <v>425</v>
      </c>
      <c r="B464" s="1"/>
      <c r="C464" s="1"/>
      <c r="D464" s="158">
        <v>475</v>
      </c>
      <c r="E464" s="3" t="s">
        <v>421</v>
      </c>
      <c r="F464" s="3" t="s">
        <v>854</v>
      </c>
      <c r="G464" s="2" t="s">
        <v>941</v>
      </c>
      <c r="H464" s="2" t="s">
        <v>159</v>
      </c>
      <c r="I464" s="156" t="str">
        <f t="shared" si="29"/>
        <v>2012</v>
      </c>
      <c r="J464" s="156">
        <v>2012</v>
      </c>
      <c r="K464" s="156"/>
      <c r="L464" s="2" t="s">
        <v>935</v>
      </c>
      <c r="M464" s="157" t="str">
        <f t="shared" si="30"/>
        <v>К08104788</v>
      </c>
      <c r="N464" s="3" t="s">
        <v>766</v>
      </c>
      <c r="O464" s="4" t="s">
        <v>928</v>
      </c>
      <c r="P464" s="1"/>
      <c r="U464" s="1"/>
      <c r="V464" s="4"/>
      <c r="W464" s="3"/>
    </row>
    <row r="465" spans="1:23" x14ac:dyDescent="0.25">
      <c r="A465" s="158">
        <v>426</v>
      </c>
      <c r="B465" s="1"/>
      <c r="C465" s="1"/>
      <c r="D465" s="158">
        <v>482</v>
      </c>
      <c r="E465" s="3" t="s">
        <v>380</v>
      </c>
      <c r="F465" s="3" t="s">
        <v>942</v>
      </c>
      <c r="G465" s="2" t="s">
        <v>944</v>
      </c>
      <c r="H465" s="2" t="s">
        <v>159</v>
      </c>
      <c r="I465" s="156" t="str">
        <f t="shared" ref="I465:I496" si="31">RIGHT(H465,4)</f>
        <v>2012</v>
      </c>
      <c r="J465" s="156">
        <v>2012</v>
      </c>
      <c r="K465" s="156"/>
      <c r="L465" s="2">
        <v>8104788</v>
      </c>
      <c r="M465" s="157" t="str">
        <f t="shared" si="30"/>
        <v>К8104788</v>
      </c>
      <c r="N465" s="3" t="s">
        <v>766</v>
      </c>
      <c r="O465" s="4" t="s">
        <v>928</v>
      </c>
      <c r="P465" s="1"/>
      <c r="U465" s="1"/>
      <c r="V465" s="4"/>
      <c r="W465" s="3"/>
    </row>
    <row r="466" spans="1:23" x14ac:dyDescent="0.25">
      <c r="A466" s="154">
        <v>365</v>
      </c>
      <c r="B466" s="1"/>
      <c r="C466" s="1"/>
      <c r="D466" s="158">
        <v>487</v>
      </c>
      <c r="E466" s="3" t="s">
        <v>867</v>
      </c>
      <c r="F466" s="459" t="s">
        <v>868</v>
      </c>
      <c r="G466" s="2" t="s">
        <v>869</v>
      </c>
      <c r="H466" s="2" t="s">
        <v>870</v>
      </c>
      <c r="I466" s="156" t="str">
        <f t="shared" si="31"/>
        <v>2012</v>
      </c>
      <c r="J466" s="156">
        <v>2012</v>
      </c>
      <c r="K466" s="156"/>
      <c r="L466" s="2" t="s">
        <v>871</v>
      </c>
      <c r="M466" s="157" t="str">
        <f t="shared" si="30"/>
        <v>К08104493</v>
      </c>
      <c r="N466" s="3" t="s">
        <v>766</v>
      </c>
      <c r="O466" s="4" t="s">
        <v>767</v>
      </c>
      <c r="P466" s="1"/>
      <c r="U466" s="1"/>
      <c r="V466" s="4"/>
      <c r="W466" s="3"/>
    </row>
    <row r="467" spans="1:23" x14ac:dyDescent="0.25">
      <c r="A467" s="158">
        <v>366</v>
      </c>
      <c r="B467" s="167"/>
      <c r="C467" s="167"/>
      <c r="D467" s="158">
        <v>510</v>
      </c>
      <c r="E467" s="162" t="s">
        <v>3694</v>
      </c>
      <c r="F467" s="162" t="s">
        <v>822</v>
      </c>
      <c r="G467" s="449" t="s">
        <v>823</v>
      </c>
      <c r="H467" s="449" t="s">
        <v>255</v>
      </c>
      <c r="I467" s="495" t="str">
        <f t="shared" si="31"/>
        <v>2012</v>
      </c>
      <c r="J467" s="495">
        <v>2012</v>
      </c>
      <c r="K467" s="495"/>
      <c r="L467" s="449" t="s">
        <v>824</v>
      </c>
      <c r="M467" s="496" t="str">
        <f t="shared" si="30"/>
        <v>К04700054</v>
      </c>
      <c r="N467" s="162" t="s">
        <v>766</v>
      </c>
      <c r="O467" s="168" t="s">
        <v>767</v>
      </c>
      <c r="P467" s="167"/>
      <c r="Q467" s="167"/>
      <c r="R467" s="162"/>
      <c r="S467" s="167"/>
      <c r="U467" s="1"/>
      <c r="V467" s="4"/>
      <c r="W467" s="3"/>
    </row>
    <row r="468" spans="1:23" x14ac:dyDescent="0.25">
      <c r="A468" s="154">
        <v>367</v>
      </c>
      <c r="B468" s="136" t="s">
        <v>3552</v>
      </c>
      <c r="C468" s="457" t="s">
        <v>3693</v>
      </c>
      <c r="D468" s="158">
        <v>514</v>
      </c>
      <c r="E468" s="485" t="s">
        <v>2305</v>
      </c>
      <c r="F468" s="3" t="s">
        <v>778</v>
      </c>
      <c r="G468" s="2" t="s">
        <v>779</v>
      </c>
      <c r="H468" s="2" t="s">
        <v>780</v>
      </c>
      <c r="I468" s="156" t="str">
        <f t="shared" si="31"/>
        <v>2012</v>
      </c>
      <c r="J468" s="156">
        <v>2012</v>
      </c>
      <c r="K468" s="156"/>
      <c r="L468" s="2" t="s">
        <v>773</v>
      </c>
      <c r="M468" s="157" t="str">
        <f t="shared" si="30"/>
        <v>К08104621</v>
      </c>
      <c r="N468" s="3" t="s">
        <v>766</v>
      </c>
      <c r="O468" s="4" t="s">
        <v>767</v>
      </c>
      <c r="P468" s="1">
        <v>18</v>
      </c>
      <c r="U468" s="1"/>
      <c r="V468" s="4"/>
      <c r="W468" s="3"/>
    </row>
    <row r="469" spans="1:23" x14ac:dyDescent="0.25">
      <c r="A469" s="158">
        <v>368</v>
      </c>
      <c r="B469" s="1"/>
      <c r="C469" s="1"/>
      <c r="D469" s="158">
        <v>531</v>
      </c>
      <c r="E469" s="3" t="s">
        <v>395</v>
      </c>
      <c r="F469" s="3" t="s">
        <v>963</v>
      </c>
      <c r="G469" s="2"/>
      <c r="H469" s="2" t="s">
        <v>159</v>
      </c>
      <c r="I469" s="156" t="str">
        <f t="shared" si="31"/>
        <v>2012</v>
      </c>
      <c r="J469" s="156">
        <v>2012</v>
      </c>
      <c r="K469" s="156"/>
      <c r="L469" s="2" t="s">
        <v>935</v>
      </c>
      <c r="M469" s="157" t="str">
        <f t="shared" si="30"/>
        <v>К08104788</v>
      </c>
      <c r="N469" s="3" t="s">
        <v>766</v>
      </c>
      <c r="O469" s="4" t="s">
        <v>928</v>
      </c>
      <c r="P469" s="1"/>
      <c r="U469" s="1"/>
      <c r="V469" s="4"/>
      <c r="W469" s="3"/>
    </row>
    <row r="470" spans="1:23" s="162" customFormat="1" x14ac:dyDescent="0.25">
      <c r="A470" s="495">
        <v>369</v>
      </c>
      <c r="B470" s="1"/>
      <c r="C470" s="457" t="s">
        <v>3034</v>
      </c>
      <c r="D470" s="154">
        <v>441</v>
      </c>
      <c r="E470" s="3" t="s">
        <v>355</v>
      </c>
      <c r="F470" s="3" t="s">
        <v>825</v>
      </c>
      <c r="G470" s="2" t="s">
        <v>826</v>
      </c>
      <c r="H470" s="2" t="s">
        <v>59</v>
      </c>
      <c r="I470" s="156" t="str">
        <f t="shared" si="31"/>
        <v>2013</v>
      </c>
      <c r="J470" s="156">
        <v>2013</v>
      </c>
      <c r="K470" s="156"/>
      <c r="L470" s="2" t="s">
        <v>827</v>
      </c>
      <c r="M470" s="157" t="str">
        <f t="shared" si="30"/>
        <v>К08106007</v>
      </c>
      <c r="N470" s="3" t="s">
        <v>766</v>
      </c>
      <c r="O470" s="4" t="s">
        <v>767</v>
      </c>
      <c r="P470" s="1"/>
      <c r="Q470" s="1"/>
      <c r="R470" s="3"/>
      <c r="S470" s="1"/>
      <c r="U470" s="167"/>
      <c r="V470" s="168"/>
    </row>
    <row r="471" spans="1:23" x14ac:dyDescent="0.25">
      <c r="A471" s="158">
        <v>370</v>
      </c>
      <c r="B471" s="1"/>
      <c r="C471" s="457" t="s">
        <v>3034</v>
      </c>
      <c r="D471" s="158">
        <v>442</v>
      </c>
      <c r="E471" s="3" t="s">
        <v>355</v>
      </c>
      <c r="F471" s="166" t="s">
        <v>825</v>
      </c>
      <c r="G471" s="2" t="s">
        <v>927</v>
      </c>
      <c r="H471" s="2" t="s">
        <v>59</v>
      </c>
      <c r="I471" s="156" t="str">
        <f t="shared" si="31"/>
        <v>2013</v>
      </c>
      <c r="J471" s="156">
        <v>2013</v>
      </c>
      <c r="K471" s="156"/>
      <c r="L471" s="2">
        <v>8106008</v>
      </c>
      <c r="M471" s="157" t="str">
        <f t="shared" si="30"/>
        <v>К8106008</v>
      </c>
      <c r="N471" s="3" t="s">
        <v>766</v>
      </c>
      <c r="O471" s="4" t="s">
        <v>928</v>
      </c>
      <c r="P471" s="1"/>
      <c r="U471" s="1"/>
      <c r="V471" s="4"/>
      <c r="W471" s="3"/>
    </row>
    <row r="472" spans="1:23" x14ac:dyDescent="0.25">
      <c r="A472" s="154">
        <v>371</v>
      </c>
      <c r="B472" s="1"/>
      <c r="C472" s="457" t="s">
        <v>3034</v>
      </c>
      <c r="D472" s="154">
        <v>443</v>
      </c>
      <c r="E472" s="170" t="s">
        <v>3728</v>
      </c>
      <c r="F472" s="3" t="s">
        <v>556</v>
      </c>
      <c r="G472" s="2" t="s">
        <v>888</v>
      </c>
      <c r="H472" s="2" t="s">
        <v>51</v>
      </c>
      <c r="I472" s="156" t="str">
        <f t="shared" si="31"/>
        <v>2014</v>
      </c>
      <c r="J472" s="156">
        <v>2014</v>
      </c>
      <c r="K472" s="156"/>
      <c r="L472" s="2" t="s">
        <v>889</v>
      </c>
      <c r="M472" s="157" t="str">
        <f t="shared" si="30"/>
        <v>К2360000384</v>
      </c>
      <c r="N472" s="3" t="s">
        <v>766</v>
      </c>
      <c r="O472" s="4" t="s">
        <v>767</v>
      </c>
      <c r="P472" s="1"/>
      <c r="R472" s="170" t="s">
        <v>3731</v>
      </c>
      <c r="S472" s="455" t="s">
        <v>3732</v>
      </c>
      <c r="U472" s="1"/>
      <c r="V472" s="4"/>
      <c r="W472" s="3"/>
    </row>
    <row r="473" spans="1:23" x14ac:dyDescent="0.25">
      <c r="A473" s="158">
        <v>372</v>
      </c>
      <c r="B473" s="1"/>
      <c r="C473" s="457" t="s">
        <v>3034</v>
      </c>
      <c r="D473" s="158">
        <v>444</v>
      </c>
      <c r="E473" s="170" t="s">
        <v>3728</v>
      </c>
      <c r="F473" s="3" t="s">
        <v>556</v>
      </c>
      <c r="G473" s="2" t="s">
        <v>890</v>
      </c>
      <c r="H473" s="2" t="s">
        <v>51</v>
      </c>
      <c r="I473" s="156" t="str">
        <f t="shared" si="31"/>
        <v>2014</v>
      </c>
      <c r="J473" s="156">
        <v>2014</v>
      </c>
      <c r="K473" s="156"/>
      <c r="L473" s="2" t="s">
        <v>891</v>
      </c>
      <c r="M473" s="157" t="str">
        <f t="shared" si="30"/>
        <v>К2360000385</v>
      </c>
      <c r="N473" s="3" t="s">
        <v>766</v>
      </c>
      <c r="O473" s="4" t="s">
        <v>767</v>
      </c>
      <c r="P473" s="1"/>
      <c r="R473" s="170" t="s">
        <v>3731</v>
      </c>
      <c r="S473" s="455" t="s">
        <v>3732</v>
      </c>
      <c r="U473" s="1"/>
      <c r="V473" s="4"/>
      <c r="W473" s="3"/>
    </row>
    <row r="474" spans="1:23" x14ac:dyDescent="0.25">
      <c r="A474" s="154">
        <v>427</v>
      </c>
      <c r="B474" s="1"/>
      <c r="C474" s="577" t="s">
        <v>5608</v>
      </c>
      <c r="D474" s="154">
        <v>488</v>
      </c>
      <c r="E474" s="3" t="s">
        <v>867</v>
      </c>
      <c r="F474" s="459" t="s">
        <v>868</v>
      </c>
      <c r="G474" s="2" t="s">
        <v>947</v>
      </c>
      <c r="H474" s="2" t="s">
        <v>948</v>
      </c>
      <c r="I474" s="156" t="str">
        <f t="shared" si="31"/>
        <v>2014</v>
      </c>
      <c r="J474" s="156">
        <v>2014</v>
      </c>
      <c r="K474" s="156"/>
      <c r="L474" s="2" t="s">
        <v>949</v>
      </c>
      <c r="M474" s="157" t="str">
        <f t="shared" si="30"/>
        <v>К2360000442</v>
      </c>
      <c r="N474" s="3" t="s">
        <v>766</v>
      </c>
      <c r="O474" s="4" t="s">
        <v>928</v>
      </c>
      <c r="P474" s="1"/>
      <c r="U474" s="1"/>
      <c r="V474" s="4"/>
      <c r="W474" s="3"/>
    </row>
    <row r="475" spans="1:23" ht="30" x14ac:dyDescent="0.25">
      <c r="A475" s="158">
        <v>428</v>
      </c>
      <c r="B475" s="1"/>
      <c r="C475" s="457" t="s">
        <v>3034</v>
      </c>
      <c r="D475" s="154">
        <v>523</v>
      </c>
      <c r="E475" s="3" t="s">
        <v>884</v>
      </c>
      <c r="F475" s="3" t="s">
        <v>885</v>
      </c>
      <c r="G475" s="2" t="s">
        <v>886</v>
      </c>
      <c r="H475" s="2" t="s">
        <v>41</v>
      </c>
      <c r="I475" s="156" t="str">
        <f t="shared" si="31"/>
        <v>2015</v>
      </c>
      <c r="J475" s="156">
        <v>2015</v>
      </c>
      <c r="K475" s="156"/>
      <c r="L475" s="2" t="s">
        <v>887</v>
      </c>
      <c r="M475" s="157" t="str">
        <f t="shared" si="30"/>
        <v>К08106010,
04700023</v>
      </c>
      <c r="N475" s="3" t="s">
        <v>766</v>
      </c>
      <c r="O475" s="4" t="s">
        <v>767</v>
      </c>
      <c r="P475" s="1"/>
      <c r="U475" s="1"/>
      <c r="V475" s="4"/>
      <c r="W475" s="3"/>
    </row>
    <row r="476" spans="1:23" ht="30" x14ac:dyDescent="0.25">
      <c r="A476" s="158">
        <v>376</v>
      </c>
      <c r="B476" s="1"/>
      <c r="C476" s="457" t="s">
        <v>3034</v>
      </c>
      <c r="D476" s="158">
        <v>524</v>
      </c>
      <c r="E476" s="3" t="s">
        <v>884</v>
      </c>
      <c r="F476" s="3" t="s">
        <v>885</v>
      </c>
      <c r="G476" s="2" t="s">
        <v>954</v>
      </c>
      <c r="H476" s="2" t="s">
        <v>41</v>
      </c>
      <c r="I476" s="156" t="str">
        <f t="shared" si="31"/>
        <v>2015</v>
      </c>
      <c r="J476" s="156">
        <v>2015</v>
      </c>
      <c r="K476" s="156"/>
      <c r="L476" s="2" t="s">
        <v>955</v>
      </c>
      <c r="M476" s="157" t="str">
        <f t="shared" si="30"/>
        <v>К7240000012,
04700022</v>
      </c>
      <c r="N476" s="3" t="s">
        <v>766</v>
      </c>
      <c r="O476" s="4" t="s">
        <v>928</v>
      </c>
      <c r="P476" s="1"/>
      <c r="U476" s="1"/>
      <c r="V476" s="4"/>
      <c r="W476" s="3"/>
    </row>
    <row r="477" spans="1:23" x14ac:dyDescent="0.25">
      <c r="A477" s="154">
        <v>377</v>
      </c>
      <c r="B477" s="1"/>
      <c r="C477" s="1"/>
      <c r="D477" s="158">
        <v>456</v>
      </c>
      <c r="E477" s="170" t="s">
        <v>3739</v>
      </c>
      <c r="F477" s="3" t="s">
        <v>409</v>
      </c>
      <c r="G477" s="2" t="s">
        <v>939</v>
      </c>
      <c r="H477" s="2" t="s">
        <v>940</v>
      </c>
      <c r="I477" s="156" t="str">
        <f t="shared" si="31"/>
        <v>2016</v>
      </c>
      <c r="J477" s="156">
        <v>2016</v>
      </c>
      <c r="K477" s="156"/>
      <c r="L477" s="2" t="s">
        <v>930</v>
      </c>
      <c r="M477" s="157" t="str">
        <f t="shared" si="30"/>
        <v>К08104787</v>
      </c>
      <c r="N477" s="3" t="s">
        <v>766</v>
      </c>
      <c r="O477" s="4" t="s">
        <v>928</v>
      </c>
      <c r="P477" s="1"/>
      <c r="U477" s="1"/>
      <c r="V477" s="4"/>
      <c r="W477" s="3"/>
    </row>
    <row r="478" spans="1:23" x14ac:dyDescent="0.25">
      <c r="A478" s="158">
        <v>378</v>
      </c>
      <c r="B478" s="1"/>
      <c r="C478" s="457" t="s">
        <v>3034</v>
      </c>
      <c r="D478" s="154">
        <v>520</v>
      </c>
      <c r="E478" s="3" t="s">
        <v>499</v>
      </c>
      <c r="F478" s="3" t="s">
        <v>901</v>
      </c>
      <c r="G478" s="2" t="s">
        <v>902</v>
      </c>
      <c r="H478" s="2" t="s">
        <v>615</v>
      </c>
      <c r="I478" s="156" t="str">
        <f t="shared" si="31"/>
        <v>2016</v>
      </c>
      <c r="J478" s="156">
        <v>2016</v>
      </c>
      <c r="K478" s="156"/>
      <c r="L478" s="2" t="s">
        <v>903</v>
      </c>
      <c r="M478" s="157" t="str">
        <f t="shared" si="30"/>
        <v>К7240000618</v>
      </c>
      <c r="N478" s="3" t="s">
        <v>766</v>
      </c>
      <c r="O478" s="4" t="s">
        <v>767</v>
      </c>
      <c r="P478" s="1"/>
      <c r="U478" s="1"/>
      <c r="V478" s="4"/>
      <c r="W478" s="3"/>
    </row>
    <row r="479" spans="1:23" ht="30" x14ac:dyDescent="0.25">
      <c r="A479" s="154">
        <v>379</v>
      </c>
      <c r="B479" s="1"/>
      <c r="C479" s="457" t="s">
        <v>3034</v>
      </c>
      <c r="D479" s="158">
        <v>521</v>
      </c>
      <c r="E479" s="3" t="s">
        <v>499</v>
      </c>
      <c r="F479" s="3" t="s">
        <v>901</v>
      </c>
      <c r="G479" s="2" t="s">
        <v>904</v>
      </c>
      <c r="H479" s="2" t="s">
        <v>615</v>
      </c>
      <c r="I479" s="156" t="str">
        <f t="shared" si="31"/>
        <v>2016</v>
      </c>
      <c r="J479" s="156">
        <v>2016</v>
      </c>
      <c r="K479" s="156"/>
      <c r="L479" s="2" t="s">
        <v>905</v>
      </c>
      <c r="M479" s="157" t="str">
        <f t="shared" si="30"/>
        <v>К7240000717,
7240000617</v>
      </c>
      <c r="N479" s="3" t="s">
        <v>766</v>
      </c>
      <c r="O479" s="4" t="s">
        <v>767</v>
      </c>
      <c r="P479" s="1"/>
      <c r="U479" s="1"/>
      <c r="V479" s="4"/>
      <c r="W479" s="3"/>
    </row>
    <row r="480" spans="1:23" x14ac:dyDescent="0.25">
      <c r="A480" s="158">
        <v>380</v>
      </c>
      <c r="B480" s="1"/>
      <c r="C480" s="457" t="s">
        <v>3034</v>
      </c>
      <c r="D480" s="158">
        <v>522</v>
      </c>
      <c r="E480" s="3" t="s">
        <v>499</v>
      </c>
      <c r="F480" s="3" t="s">
        <v>901</v>
      </c>
      <c r="G480" s="2" t="s">
        <v>960</v>
      </c>
      <c r="H480" s="2" t="s">
        <v>615</v>
      </c>
      <c r="I480" s="156" t="str">
        <f t="shared" si="31"/>
        <v>2016</v>
      </c>
      <c r="J480" s="156">
        <v>2016</v>
      </c>
      <c r="K480" s="156"/>
      <c r="L480" s="2" t="s">
        <v>961</v>
      </c>
      <c r="M480" s="157" t="str">
        <f t="shared" si="30"/>
        <v>К7240000619</v>
      </c>
      <c r="N480" s="3" t="s">
        <v>766</v>
      </c>
      <c r="O480" s="4" t="s">
        <v>928</v>
      </c>
      <c r="P480" s="1"/>
      <c r="U480" s="1"/>
      <c r="V480" s="4"/>
      <c r="W480" s="3"/>
    </row>
    <row r="481" spans="1:23" x14ac:dyDescent="0.25">
      <c r="A481" s="154">
        <v>429</v>
      </c>
      <c r="B481" s="1"/>
      <c r="C481" s="457" t="s">
        <v>3034</v>
      </c>
      <c r="D481" s="158">
        <v>445</v>
      </c>
      <c r="E481" s="170" t="s">
        <v>3728</v>
      </c>
      <c r="F481" s="170" t="s">
        <v>967</v>
      </c>
      <c r="G481" s="2" t="s">
        <v>968</v>
      </c>
      <c r="H481" s="2" t="s">
        <v>969</v>
      </c>
      <c r="I481" s="156" t="str">
        <f t="shared" si="31"/>
        <v>2017</v>
      </c>
      <c r="J481" s="156">
        <v>2017</v>
      </c>
      <c r="K481" s="156"/>
      <c r="L481" s="2" t="s">
        <v>970</v>
      </c>
      <c r="M481" s="157" t="str">
        <f t="shared" si="30"/>
        <v>К7240000732</v>
      </c>
      <c r="N481" s="3" t="s">
        <v>766</v>
      </c>
      <c r="O481" s="4" t="s">
        <v>971</v>
      </c>
      <c r="P481" s="1"/>
      <c r="R481" s="170" t="s">
        <v>3733</v>
      </c>
      <c r="S481" s="455" t="s">
        <v>3734</v>
      </c>
      <c r="U481" s="1"/>
      <c r="V481" s="4"/>
      <c r="W481" s="3"/>
    </row>
    <row r="482" spans="1:23" x14ac:dyDescent="0.25">
      <c r="A482" s="154">
        <v>381</v>
      </c>
      <c r="B482" s="1"/>
      <c r="C482" s="457" t="s">
        <v>3034</v>
      </c>
      <c r="D482" s="154">
        <v>446</v>
      </c>
      <c r="E482" s="170" t="s">
        <v>3728</v>
      </c>
      <c r="F482" s="3" t="s">
        <v>967</v>
      </c>
      <c r="G482" s="2" t="s">
        <v>972</v>
      </c>
      <c r="H482" s="2" t="s">
        <v>969</v>
      </c>
      <c r="I482" s="156" t="str">
        <f t="shared" si="31"/>
        <v>2017</v>
      </c>
      <c r="J482" s="156">
        <v>2017</v>
      </c>
      <c r="K482" s="156"/>
      <c r="L482" s="2" t="s">
        <v>973</v>
      </c>
      <c r="M482" s="157" t="str">
        <f t="shared" si="30"/>
        <v>К7240000733</v>
      </c>
      <c r="N482" s="3" t="s">
        <v>766</v>
      </c>
      <c r="O482" s="4" t="s">
        <v>971</v>
      </c>
      <c r="P482" s="1"/>
      <c r="R482" s="170" t="s">
        <v>3733</v>
      </c>
      <c r="S482" s="455" t="s">
        <v>3734</v>
      </c>
      <c r="U482" s="1"/>
      <c r="V482" s="4"/>
      <c r="W482" s="3"/>
    </row>
    <row r="483" spans="1:23" x14ac:dyDescent="0.25">
      <c r="A483" s="158">
        <v>382</v>
      </c>
      <c r="B483" s="1"/>
      <c r="C483" s="457" t="s">
        <v>3034</v>
      </c>
      <c r="D483" s="154">
        <v>502</v>
      </c>
      <c r="E483" s="3" t="s">
        <v>24</v>
      </c>
      <c r="F483" s="3" t="s">
        <v>1084</v>
      </c>
      <c r="G483" s="2" t="s">
        <v>817</v>
      </c>
      <c r="H483" s="2" t="s">
        <v>90</v>
      </c>
      <c r="I483" s="156" t="str">
        <f t="shared" si="31"/>
        <v>2008</v>
      </c>
      <c r="J483" s="156"/>
      <c r="K483" s="156"/>
      <c r="L483" s="2" t="s">
        <v>818</v>
      </c>
      <c r="M483" s="157" t="str">
        <f t="shared" si="30"/>
        <v>К08102442а</v>
      </c>
      <c r="N483" s="3" t="s">
        <v>766</v>
      </c>
      <c r="O483" s="4" t="s">
        <v>767</v>
      </c>
      <c r="P483" s="1">
        <v>20</v>
      </c>
      <c r="U483" s="1"/>
      <c r="V483" s="4"/>
      <c r="W483" s="3"/>
    </row>
    <row r="484" spans="1:23" x14ac:dyDescent="0.25">
      <c r="A484" s="154">
        <v>383</v>
      </c>
      <c r="B484" s="1"/>
      <c r="C484" s="457" t="s">
        <v>3034</v>
      </c>
      <c r="D484" s="158">
        <v>503</v>
      </c>
      <c r="E484" s="3" t="s">
        <v>24</v>
      </c>
      <c r="F484" s="3" t="s">
        <v>951</v>
      </c>
      <c r="G484" s="2" t="s">
        <v>817</v>
      </c>
      <c r="H484" s="2" t="s">
        <v>90</v>
      </c>
      <c r="I484" s="156" t="str">
        <f t="shared" si="31"/>
        <v>2008</v>
      </c>
      <c r="J484" s="156"/>
      <c r="K484" s="156"/>
      <c r="L484" s="2" t="s">
        <v>818</v>
      </c>
      <c r="M484" s="157" t="str">
        <f t="shared" si="30"/>
        <v>К08102442а</v>
      </c>
      <c r="N484" s="3" t="s">
        <v>766</v>
      </c>
      <c r="O484" s="4" t="s">
        <v>767</v>
      </c>
      <c r="P484" s="1">
        <v>20</v>
      </c>
      <c r="U484" s="1"/>
      <c r="V484" s="4"/>
      <c r="W484" s="3"/>
    </row>
    <row r="485" spans="1:23" x14ac:dyDescent="0.25">
      <c r="A485" s="158">
        <v>384</v>
      </c>
      <c r="B485" s="1"/>
      <c r="C485" s="457" t="s">
        <v>3034</v>
      </c>
      <c r="D485" s="158">
        <v>505</v>
      </c>
      <c r="E485" s="3" t="s">
        <v>24</v>
      </c>
      <c r="F485" s="3" t="s">
        <v>25</v>
      </c>
      <c r="G485" s="2" t="s">
        <v>924</v>
      </c>
      <c r="H485" s="2" t="s">
        <v>90</v>
      </c>
      <c r="I485" s="156" t="str">
        <f t="shared" si="31"/>
        <v>2008</v>
      </c>
      <c r="J485" s="156"/>
      <c r="K485" s="156"/>
      <c r="L485" s="2" t="s">
        <v>925</v>
      </c>
      <c r="M485" s="157" t="str">
        <f t="shared" si="30"/>
        <v>К08102439_3</v>
      </c>
      <c r="N485" s="3" t="s">
        <v>766</v>
      </c>
      <c r="O485" s="4" t="s">
        <v>926</v>
      </c>
      <c r="P485" s="1"/>
      <c r="U485" s="1"/>
      <c r="V485" s="4"/>
      <c r="W485" s="3"/>
    </row>
    <row r="486" spans="1:23" x14ac:dyDescent="0.25">
      <c r="A486" s="154">
        <v>385</v>
      </c>
      <c r="B486" s="1"/>
      <c r="C486" s="457" t="s">
        <v>3034</v>
      </c>
      <c r="D486" s="154">
        <v>506</v>
      </c>
      <c r="E486" s="3" t="s">
        <v>24</v>
      </c>
      <c r="F486" s="3" t="s">
        <v>951</v>
      </c>
      <c r="G486" s="2"/>
      <c r="H486" s="2" t="s">
        <v>90</v>
      </c>
      <c r="I486" s="156" t="str">
        <f t="shared" si="31"/>
        <v>2008</v>
      </c>
      <c r="J486" s="156"/>
      <c r="K486" s="156"/>
      <c r="L486" s="2" t="s">
        <v>952</v>
      </c>
      <c r="M486" s="157" t="str">
        <f t="shared" si="30"/>
        <v>К08102434_2</v>
      </c>
      <c r="N486" s="3" t="s">
        <v>766</v>
      </c>
      <c r="O486" s="4" t="s">
        <v>928</v>
      </c>
      <c r="P486" s="1"/>
      <c r="U486" s="1"/>
      <c r="V486" s="4"/>
      <c r="W486" s="3"/>
    </row>
    <row r="487" spans="1:23" x14ac:dyDescent="0.25">
      <c r="A487" s="158">
        <v>430</v>
      </c>
      <c r="B487" s="1"/>
      <c r="C487" s="457" t="s">
        <v>3034</v>
      </c>
      <c r="D487" s="158">
        <v>507</v>
      </c>
      <c r="E487" s="3" t="s">
        <v>24</v>
      </c>
      <c r="F487" s="3" t="s">
        <v>157</v>
      </c>
      <c r="G487" s="2" t="s">
        <v>953</v>
      </c>
      <c r="H487" s="2" t="s">
        <v>283</v>
      </c>
      <c r="I487" s="156" t="str">
        <f t="shared" si="31"/>
        <v>2011</v>
      </c>
      <c r="J487" s="156"/>
      <c r="K487" s="156"/>
      <c r="L487" s="469" t="s">
        <v>5574</v>
      </c>
      <c r="M487" s="157" t="str">
        <f t="shared" si="30"/>
        <v>К08102442_3</v>
      </c>
      <c r="N487" s="3" t="s">
        <v>766</v>
      </c>
      <c r="O487" s="4" t="s">
        <v>928</v>
      </c>
      <c r="P487" s="1"/>
      <c r="U487" s="1"/>
      <c r="V487" s="4"/>
      <c r="W487" s="3"/>
    </row>
    <row r="488" spans="1:23" x14ac:dyDescent="0.25">
      <c r="A488" s="154">
        <v>431</v>
      </c>
      <c r="B488" s="1"/>
      <c r="C488" s="457" t="s">
        <v>3034</v>
      </c>
      <c r="D488" s="158">
        <v>508</v>
      </c>
      <c r="E488" s="3" t="s">
        <v>24</v>
      </c>
      <c r="F488" s="3" t="s">
        <v>37</v>
      </c>
      <c r="G488" s="2" t="s">
        <v>994</v>
      </c>
      <c r="H488" s="2" t="s">
        <v>615</v>
      </c>
      <c r="I488" s="156" t="str">
        <f t="shared" si="31"/>
        <v>2016</v>
      </c>
      <c r="J488" s="156"/>
      <c r="K488" s="156"/>
      <c r="L488" s="2" t="s">
        <v>995</v>
      </c>
      <c r="M488" s="157" t="str">
        <f t="shared" si="30"/>
        <v>К71012400140</v>
      </c>
      <c r="N488" s="3" t="s">
        <v>766</v>
      </c>
      <c r="O488" s="4"/>
      <c r="P488" s="1"/>
      <c r="U488" s="1"/>
      <c r="V488" s="4"/>
      <c r="W488" s="3"/>
    </row>
    <row r="489" spans="1:23" x14ac:dyDescent="0.25">
      <c r="A489" s="158">
        <v>386</v>
      </c>
      <c r="B489" s="1"/>
      <c r="C489" s="457" t="s">
        <v>3034</v>
      </c>
      <c r="D489" s="154">
        <v>509</v>
      </c>
      <c r="E489" s="3" t="s">
        <v>24</v>
      </c>
      <c r="F489" s="3" t="s">
        <v>25</v>
      </c>
      <c r="G489" s="2" t="s">
        <v>996</v>
      </c>
      <c r="H489" s="2" t="s">
        <v>124</v>
      </c>
      <c r="I489" s="156" t="str">
        <f t="shared" si="31"/>
        <v>2018</v>
      </c>
      <c r="J489" s="156"/>
      <c r="K489" s="156"/>
      <c r="L489" s="2" t="s">
        <v>997</v>
      </c>
      <c r="M489" s="157" t="str">
        <f t="shared" si="30"/>
        <v>К71012400141</v>
      </c>
      <c r="N489" s="3" t="s">
        <v>766</v>
      </c>
      <c r="O489" s="4"/>
      <c r="P489" s="1"/>
      <c r="U489" s="1"/>
      <c r="V489" s="4"/>
      <c r="W489" s="3"/>
    </row>
    <row r="490" spans="1:23" x14ac:dyDescent="0.25">
      <c r="A490" s="154">
        <v>387</v>
      </c>
      <c r="B490" s="1"/>
      <c r="C490" s="1"/>
      <c r="D490" s="158">
        <v>431</v>
      </c>
      <c r="E490" s="3" t="s">
        <v>770</v>
      </c>
      <c r="F490" s="3" t="s">
        <v>771</v>
      </c>
      <c r="G490" s="2" t="s">
        <v>772</v>
      </c>
      <c r="H490" s="2"/>
      <c r="I490" s="156" t="str">
        <f t="shared" si="31"/>
        <v/>
      </c>
      <c r="J490" s="156"/>
      <c r="K490" s="156"/>
      <c r="L490" s="2" t="s">
        <v>773</v>
      </c>
      <c r="M490" s="157" t="str">
        <f t="shared" si="30"/>
        <v>К08104621</v>
      </c>
      <c r="N490" s="3" t="s">
        <v>766</v>
      </c>
      <c r="O490" s="4" t="s">
        <v>767</v>
      </c>
      <c r="P490" s="1">
        <v>18</v>
      </c>
      <c r="U490" s="1"/>
      <c r="V490" s="4"/>
      <c r="W490" s="3"/>
    </row>
    <row r="491" spans="1:23" x14ac:dyDescent="0.25">
      <c r="A491" s="158">
        <v>432</v>
      </c>
      <c r="B491" s="1"/>
      <c r="C491" s="1"/>
      <c r="D491" s="154">
        <v>432</v>
      </c>
      <c r="E491" s="3" t="s">
        <v>770</v>
      </c>
      <c r="F491" s="43" t="s">
        <v>2680</v>
      </c>
      <c r="G491" s="2" t="s">
        <v>772</v>
      </c>
      <c r="H491" s="2"/>
      <c r="I491" s="156" t="str">
        <f t="shared" si="31"/>
        <v/>
      </c>
      <c r="J491" s="156"/>
      <c r="K491" s="156"/>
      <c r="L491" s="2" t="s">
        <v>773</v>
      </c>
      <c r="M491" s="157" t="str">
        <f t="shared" si="30"/>
        <v>К08104621</v>
      </c>
      <c r="N491" s="475" t="s">
        <v>766</v>
      </c>
      <c r="O491" s="477" t="s">
        <v>767</v>
      </c>
      <c r="P491" s="1">
        <v>18</v>
      </c>
      <c r="U491" s="1"/>
      <c r="V491" s="4"/>
      <c r="W491" s="3"/>
    </row>
    <row r="492" spans="1:23" x14ac:dyDescent="0.25">
      <c r="A492" s="154">
        <v>449</v>
      </c>
      <c r="B492" s="1"/>
      <c r="C492" s="1"/>
      <c r="D492" s="158">
        <v>433</v>
      </c>
      <c r="E492" s="3" t="s">
        <v>819</v>
      </c>
      <c r="F492" s="3" t="s">
        <v>820</v>
      </c>
      <c r="G492" s="2" t="s">
        <v>821</v>
      </c>
      <c r="H492" s="2"/>
      <c r="I492" s="156" t="str">
        <f t="shared" si="31"/>
        <v/>
      </c>
      <c r="J492" s="156"/>
      <c r="K492" s="156"/>
      <c r="L492" s="2"/>
      <c r="M492" s="157" t="str">
        <f t="shared" si="30"/>
        <v>К</v>
      </c>
      <c r="N492" s="3" t="s">
        <v>766</v>
      </c>
      <c r="O492" s="4" t="s">
        <v>767</v>
      </c>
      <c r="P492" s="1"/>
      <c r="U492" s="1"/>
      <c r="V492" s="4"/>
      <c r="W492" s="3"/>
    </row>
    <row r="493" spans="1:23" ht="30" x14ac:dyDescent="0.25">
      <c r="A493" s="158">
        <v>388</v>
      </c>
      <c r="B493" s="1"/>
      <c r="C493" s="1"/>
      <c r="D493" s="154">
        <v>434</v>
      </c>
      <c r="E493" s="3" t="s">
        <v>774</v>
      </c>
      <c r="F493" s="3" t="s">
        <v>775</v>
      </c>
      <c r="G493" s="2" t="s">
        <v>776</v>
      </c>
      <c r="H493" s="2"/>
      <c r="I493" s="156" t="str">
        <f t="shared" si="31"/>
        <v/>
      </c>
      <c r="J493" s="156"/>
      <c r="K493" s="156"/>
      <c r="L493" s="2" t="s">
        <v>773</v>
      </c>
      <c r="M493" s="157" t="str">
        <f t="shared" si="30"/>
        <v>К08104621</v>
      </c>
      <c r="N493" s="3" t="s">
        <v>766</v>
      </c>
      <c r="O493" s="4" t="s">
        <v>767</v>
      </c>
      <c r="P493" s="1">
        <v>18</v>
      </c>
      <c r="U493" s="1"/>
      <c r="V493" s="4"/>
      <c r="W493" s="3"/>
    </row>
    <row r="494" spans="1:23" ht="30" x14ac:dyDescent="0.25">
      <c r="A494" s="154">
        <v>433</v>
      </c>
      <c r="B494" s="1"/>
      <c r="C494" s="1"/>
      <c r="D494" s="158">
        <v>435</v>
      </c>
      <c r="E494" s="3" t="s">
        <v>774</v>
      </c>
      <c r="F494" s="43" t="s">
        <v>2681</v>
      </c>
      <c r="G494" s="2" t="s">
        <v>776</v>
      </c>
      <c r="H494" s="2"/>
      <c r="I494" s="156" t="str">
        <f t="shared" si="31"/>
        <v/>
      </c>
      <c r="J494" s="156"/>
      <c r="K494" s="156"/>
      <c r="L494" s="2" t="s">
        <v>773</v>
      </c>
      <c r="M494" s="157" t="str">
        <f t="shared" si="30"/>
        <v>К08104621</v>
      </c>
      <c r="N494" s="475" t="s">
        <v>766</v>
      </c>
      <c r="O494" s="477" t="s">
        <v>767</v>
      </c>
      <c r="P494" s="1">
        <v>18</v>
      </c>
      <c r="U494" s="1"/>
      <c r="V494" s="4"/>
      <c r="W494" s="3"/>
    </row>
    <row r="495" spans="1:23" x14ac:dyDescent="0.25">
      <c r="A495" s="154">
        <v>389</v>
      </c>
      <c r="B495" s="1"/>
      <c r="C495" s="1"/>
      <c r="D495" s="158">
        <v>449</v>
      </c>
      <c r="E495" s="3" t="s">
        <v>763</v>
      </c>
      <c r="F495" s="3" t="s">
        <v>764</v>
      </c>
      <c r="G495" s="2"/>
      <c r="H495" s="2"/>
      <c r="I495" s="156" t="str">
        <f t="shared" si="31"/>
        <v/>
      </c>
      <c r="J495" s="156"/>
      <c r="K495" s="156"/>
      <c r="L495" s="2"/>
      <c r="M495" s="157" t="str">
        <f t="shared" si="30"/>
        <v>К</v>
      </c>
      <c r="N495" s="3" t="s">
        <v>766</v>
      </c>
      <c r="O495" s="4" t="s">
        <v>928</v>
      </c>
      <c r="P495" s="1"/>
      <c r="U495" s="1"/>
      <c r="V495" s="4"/>
      <c r="W495" s="3"/>
    </row>
    <row r="496" spans="1:23" x14ac:dyDescent="0.25">
      <c r="A496" s="154">
        <v>451</v>
      </c>
      <c r="B496" s="1"/>
      <c r="C496" s="457" t="s">
        <v>3692</v>
      </c>
      <c r="D496" s="158">
        <v>451</v>
      </c>
      <c r="E496" s="3" t="s">
        <v>832</v>
      </c>
      <c r="F496" s="166" t="s">
        <v>833</v>
      </c>
      <c r="G496" s="2" t="s">
        <v>834</v>
      </c>
      <c r="H496" s="2"/>
      <c r="I496" s="156" t="str">
        <f t="shared" si="31"/>
        <v/>
      </c>
      <c r="J496" s="156"/>
      <c r="K496" s="156"/>
      <c r="L496" s="2"/>
      <c r="M496" s="157" t="str">
        <f t="shared" si="30"/>
        <v>К</v>
      </c>
      <c r="N496" s="3" t="s">
        <v>766</v>
      </c>
      <c r="O496" s="4" t="s">
        <v>767</v>
      </c>
      <c r="P496" s="1"/>
      <c r="U496" s="1"/>
      <c r="V496" s="4"/>
      <c r="W496" s="3"/>
    </row>
    <row r="497" spans="1:23" x14ac:dyDescent="0.25">
      <c r="A497" s="158">
        <v>390</v>
      </c>
      <c r="B497" s="1"/>
      <c r="C497" s="1"/>
      <c r="D497" s="158">
        <v>452</v>
      </c>
      <c r="E497" s="3" t="s">
        <v>832</v>
      </c>
      <c r="F497" s="3" t="s">
        <v>833</v>
      </c>
      <c r="G497" s="2" t="s">
        <v>929</v>
      </c>
      <c r="H497" s="2"/>
      <c r="I497" s="156" t="str">
        <f t="shared" ref="I497:I528" si="32">RIGHT(H497,4)</f>
        <v/>
      </c>
      <c r="J497" s="156"/>
      <c r="K497" s="156"/>
      <c r="L497" s="2" t="s">
        <v>930</v>
      </c>
      <c r="M497" s="157" t="str">
        <f t="shared" ref="M497:M560" si="33">CONCATENATE("К",L497)</f>
        <v>К08104787</v>
      </c>
      <c r="N497" s="3" t="s">
        <v>766</v>
      </c>
      <c r="O497" s="4" t="s">
        <v>928</v>
      </c>
      <c r="P497" s="1"/>
      <c r="U497" s="1"/>
      <c r="V497" s="4"/>
      <c r="W497" s="3"/>
    </row>
    <row r="498" spans="1:23" x14ac:dyDescent="0.25">
      <c r="A498" s="154">
        <v>391</v>
      </c>
      <c r="B498" s="1"/>
      <c r="C498" s="1"/>
      <c r="D498" s="154">
        <v>453</v>
      </c>
      <c r="E498" s="3" t="s">
        <v>797</v>
      </c>
      <c r="F498" s="3" t="s">
        <v>798</v>
      </c>
      <c r="G498" s="2" t="s">
        <v>799</v>
      </c>
      <c r="H498" s="2"/>
      <c r="I498" s="156" t="str">
        <f t="shared" si="32"/>
        <v/>
      </c>
      <c r="J498" s="156"/>
      <c r="K498" s="156"/>
      <c r="L498" s="2" t="s">
        <v>800</v>
      </c>
      <c r="M498" s="157" t="str">
        <f t="shared" si="33"/>
        <v>К01370488</v>
      </c>
      <c r="N498" s="3" t="s">
        <v>766</v>
      </c>
      <c r="O498" s="4" t="s">
        <v>767</v>
      </c>
      <c r="P498" s="1">
        <v>20</v>
      </c>
      <c r="U498" s="1"/>
      <c r="V498" s="4"/>
      <c r="W498" s="3"/>
    </row>
    <row r="499" spans="1:23" x14ac:dyDescent="0.25">
      <c r="A499" s="158">
        <v>392</v>
      </c>
      <c r="B499" s="1"/>
      <c r="C499" s="1"/>
      <c r="D499" s="158">
        <v>454</v>
      </c>
      <c r="E499" s="3" t="s">
        <v>797</v>
      </c>
      <c r="F499" s="43" t="s">
        <v>798</v>
      </c>
      <c r="G499" s="2" t="s">
        <v>799</v>
      </c>
      <c r="H499" s="2"/>
      <c r="I499" s="156" t="str">
        <f t="shared" si="32"/>
        <v/>
      </c>
      <c r="J499" s="156"/>
      <c r="K499" s="156"/>
      <c r="L499" s="2" t="s">
        <v>800</v>
      </c>
      <c r="M499" s="157" t="str">
        <f t="shared" si="33"/>
        <v>К01370488</v>
      </c>
      <c r="N499" s="3" t="s">
        <v>766</v>
      </c>
      <c r="O499" s="4" t="s">
        <v>767</v>
      </c>
      <c r="P499" s="1">
        <v>20</v>
      </c>
      <c r="U499" s="1"/>
      <c r="V499" s="4"/>
      <c r="W499" s="3"/>
    </row>
    <row r="500" spans="1:23" x14ac:dyDescent="0.25">
      <c r="A500" s="154">
        <v>393</v>
      </c>
      <c r="B500" s="1"/>
      <c r="C500" s="1"/>
      <c r="D500" s="154">
        <v>457</v>
      </c>
      <c r="E500" s="170" t="s">
        <v>3739</v>
      </c>
      <c r="F500" s="3" t="s">
        <v>409</v>
      </c>
      <c r="G500" s="2"/>
      <c r="H500" s="2"/>
      <c r="I500" s="156" t="str">
        <f t="shared" si="32"/>
        <v/>
      </c>
      <c r="J500" s="156"/>
      <c r="K500" s="156"/>
      <c r="L500" s="2" t="s">
        <v>974</v>
      </c>
      <c r="M500" s="157" t="str">
        <f t="shared" si="33"/>
        <v>К01370457</v>
      </c>
      <c r="N500" s="3" t="s">
        <v>766</v>
      </c>
      <c r="O500" s="4" t="s">
        <v>975</v>
      </c>
      <c r="P500" s="1"/>
      <c r="U500" s="1"/>
      <c r="V500" s="4"/>
      <c r="W500" s="3"/>
    </row>
    <row r="501" spans="1:23" x14ac:dyDescent="0.25">
      <c r="A501" s="158">
        <v>394</v>
      </c>
      <c r="B501" s="1"/>
      <c r="C501" s="1"/>
      <c r="D501" s="158">
        <v>461</v>
      </c>
      <c r="E501" s="3" t="s">
        <v>415</v>
      </c>
      <c r="F501" s="3" t="s">
        <v>801</v>
      </c>
      <c r="G501" s="2" t="s">
        <v>802</v>
      </c>
      <c r="H501" s="2"/>
      <c r="I501" s="156" t="str">
        <f t="shared" si="32"/>
        <v/>
      </c>
      <c r="J501" s="156"/>
      <c r="K501" s="156"/>
      <c r="L501" s="2" t="s">
        <v>803</v>
      </c>
      <c r="M501" s="157" t="str">
        <f t="shared" si="33"/>
        <v>К01370458</v>
      </c>
      <c r="N501" s="3" t="s">
        <v>766</v>
      </c>
      <c r="O501" s="4" t="s">
        <v>767</v>
      </c>
      <c r="P501" s="1">
        <v>20</v>
      </c>
      <c r="U501" s="1"/>
      <c r="V501" s="4"/>
      <c r="W501" s="3"/>
    </row>
    <row r="502" spans="1:23" x14ac:dyDescent="0.25">
      <c r="A502" s="154">
        <v>395</v>
      </c>
      <c r="B502" s="1"/>
      <c r="C502" s="1"/>
      <c r="D502" s="154">
        <v>462</v>
      </c>
      <c r="E502" s="3" t="s">
        <v>415</v>
      </c>
      <c r="F502" s="43" t="s">
        <v>801</v>
      </c>
      <c r="G502" s="2" t="s">
        <v>802</v>
      </c>
      <c r="H502" s="2"/>
      <c r="I502" s="156" t="str">
        <f t="shared" si="32"/>
        <v/>
      </c>
      <c r="J502" s="156"/>
      <c r="K502" s="156"/>
      <c r="L502" s="2" t="s">
        <v>803</v>
      </c>
      <c r="M502" s="157" t="str">
        <f t="shared" si="33"/>
        <v>К01370458</v>
      </c>
      <c r="N502" s="3" t="s">
        <v>766</v>
      </c>
      <c r="O502" s="4" t="s">
        <v>767</v>
      </c>
      <c r="P502" s="1">
        <v>20</v>
      </c>
      <c r="U502" s="1"/>
      <c r="V502" s="4"/>
      <c r="W502" s="3"/>
    </row>
    <row r="503" spans="1:23" x14ac:dyDescent="0.25">
      <c r="A503" s="158">
        <v>434</v>
      </c>
      <c r="B503" s="1"/>
      <c r="C503" s="1"/>
      <c r="D503" s="158">
        <v>463</v>
      </c>
      <c r="E503" s="3" t="s">
        <v>415</v>
      </c>
      <c r="F503" s="3" t="s">
        <v>839</v>
      </c>
      <c r="G503" s="2" t="s">
        <v>840</v>
      </c>
      <c r="H503" s="2"/>
      <c r="I503" s="156" t="str">
        <f t="shared" si="32"/>
        <v/>
      </c>
      <c r="J503" s="156"/>
      <c r="K503" s="156"/>
      <c r="L503" s="2" t="s">
        <v>841</v>
      </c>
      <c r="M503" s="157" t="str">
        <f t="shared" si="33"/>
        <v>К01370459</v>
      </c>
      <c r="N503" s="3" t="s">
        <v>766</v>
      </c>
      <c r="O503" s="4" t="s">
        <v>767</v>
      </c>
      <c r="P503" s="1"/>
      <c r="U503" s="1"/>
      <c r="V503" s="4"/>
      <c r="W503" s="3"/>
    </row>
    <row r="504" spans="1:23" x14ac:dyDescent="0.25">
      <c r="A504" s="154">
        <v>453</v>
      </c>
      <c r="B504" s="1"/>
      <c r="C504" s="1"/>
      <c r="D504" s="154">
        <v>464</v>
      </c>
      <c r="E504" s="3" t="s">
        <v>415</v>
      </c>
      <c r="F504" s="3" t="s">
        <v>804</v>
      </c>
      <c r="G504" s="2" t="s">
        <v>805</v>
      </c>
      <c r="H504" s="2"/>
      <c r="I504" s="156" t="str">
        <f t="shared" si="32"/>
        <v/>
      </c>
      <c r="J504" s="156"/>
      <c r="K504" s="156"/>
      <c r="L504" s="2" t="s">
        <v>806</v>
      </c>
      <c r="M504" s="157" t="str">
        <f t="shared" si="33"/>
        <v>К04700053</v>
      </c>
      <c r="N504" s="3" t="s">
        <v>766</v>
      </c>
      <c r="O504" s="4" t="s">
        <v>767</v>
      </c>
      <c r="P504" s="1">
        <v>20</v>
      </c>
      <c r="U504" s="1"/>
      <c r="V504" s="4"/>
      <c r="W504" s="3"/>
    </row>
    <row r="505" spans="1:23" x14ac:dyDescent="0.25">
      <c r="A505" s="158">
        <v>454</v>
      </c>
      <c r="B505" s="1"/>
      <c r="C505" s="1"/>
      <c r="D505" s="158">
        <v>465</v>
      </c>
      <c r="E505" s="3" t="s">
        <v>415</v>
      </c>
      <c r="F505" s="43" t="s">
        <v>804</v>
      </c>
      <c r="G505" s="2" t="s">
        <v>805</v>
      </c>
      <c r="H505" s="2"/>
      <c r="I505" s="156" t="str">
        <f t="shared" si="32"/>
        <v/>
      </c>
      <c r="J505" s="156"/>
      <c r="K505" s="156"/>
      <c r="L505" s="2" t="s">
        <v>806</v>
      </c>
      <c r="M505" s="157" t="str">
        <f t="shared" si="33"/>
        <v>К04700053</v>
      </c>
      <c r="N505" s="3" t="s">
        <v>766</v>
      </c>
      <c r="O505" s="4" t="s">
        <v>767</v>
      </c>
      <c r="P505" s="1">
        <v>20</v>
      </c>
      <c r="U505" s="1"/>
      <c r="V505" s="4"/>
      <c r="W505" s="3"/>
    </row>
    <row r="506" spans="1:23" x14ac:dyDescent="0.25">
      <c r="A506" s="154">
        <v>455</v>
      </c>
      <c r="B506" s="1"/>
      <c r="C506" s="1"/>
      <c r="D506" s="154">
        <v>467</v>
      </c>
      <c r="E506" s="3" t="s">
        <v>415</v>
      </c>
      <c r="F506" s="3" t="s">
        <v>845</v>
      </c>
      <c r="G506" s="2" t="s">
        <v>846</v>
      </c>
      <c r="H506" s="2"/>
      <c r="I506" s="156" t="str">
        <f t="shared" si="32"/>
        <v/>
      </c>
      <c r="J506" s="156"/>
      <c r="K506" s="156"/>
      <c r="L506" s="2"/>
      <c r="M506" s="157" t="str">
        <f t="shared" si="33"/>
        <v>К</v>
      </c>
      <c r="N506" s="3" t="s">
        <v>766</v>
      </c>
      <c r="O506" s="4" t="s">
        <v>767</v>
      </c>
      <c r="P506" s="1"/>
      <c r="U506" s="1"/>
      <c r="V506" s="4"/>
      <c r="W506" s="3"/>
    </row>
    <row r="507" spans="1:23" x14ac:dyDescent="0.25">
      <c r="A507" s="158">
        <v>456</v>
      </c>
      <c r="B507" s="1"/>
      <c r="C507" s="1"/>
      <c r="D507" s="158">
        <v>468</v>
      </c>
      <c r="E507" s="3" t="s">
        <v>415</v>
      </c>
      <c r="F507" s="3" t="s">
        <v>837</v>
      </c>
      <c r="G507" s="2" t="s">
        <v>931</v>
      </c>
      <c r="H507" s="2"/>
      <c r="I507" s="156" t="str">
        <f t="shared" si="32"/>
        <v/>
      </c>
      <c r="J507" s="156"/>
      <c r="K507" s="156"/>
      <c r="L507" s="2" t="s">
        <v>930</v>
      </c>
      <c r="M507" s="157" t="str">
        <f t="shared" si="33"/>
        <v>К08104787</v>
      </c>
      <c r="N507" s="3" t="s">
        <v>766</v>
      </c>
      <c r="O507" s="4" t="s">
        <v>928</v>
      </c>
      <c r="P507" s="1"/>
      <c r="U507" s="153" t="s">
        <v>3646</v>
      </c>
      <c r="V507" s="4"/>
      <c r="W507" s="3"/>
    </row>
    <row r="508" spans="1:23" x14ac:dyDescent="0.25">
      <c r="A508" s="158">
        <v>398</v>
      </c>
      <c r="B508" s="1"/>
      <c r="C508" s="1"/>
      <c r="D508" s="154">
        <v>471</v>
      </c>
      <c r="E508" s="3" t="s">
        <v>373</v>
      </c>
      <c r="F508" s="3" t="s">
        <v>852</v>
      </c>
      <c r="G508" s="2" t="s">
        <v>853</v>
      </c>
      <c r="H508" s="2"/>
      <c r="I508" s="156" t="str">
        <f t="shared" si="32"/>
        <v/>
      </c>
      <c r="J508" s="156"/>
      <c r="K508" s="156"/>
      <c r="L508" s="2"/>
      <c r="M508" s="157" t="str">
        <f t="shared" si="33"/>
        <v>К</v>
      </c>
      <c r="N508" s="3" t="s">
        <v>766</v>
      </c>
      <c r="O508" s="4" t="s">
        <v>767</v>
      </c>
      <c r="P508" s="1"/>
      <c r="U508" s="153" t="s">
        <v>3646</v>
      </c>
      <c r="V508" s="4"/>
      <c r="W508" s="3"/>
    </row>
    <row r="509" spans="1:23" x14ac:dyDescent="0.25">
      <c r="A509" s="154">
        <v>397</v>
      </c>
      <c r="B509" s="1"/>
      <c r="C509" s="1"/>
      <c r="D509" s="158">
        <v>472</v>
      </c>
      <c r="E509" s="3" t="s">
        <v>421</v>
      </c>
      <c r="F509" s="3" t="s">
        <v>807</v>
      </c>
      <c r="G509" s="2" t="s">
        <v>808</v>
      </c>
      <c r="H509" s="2"/>
      <c r="I509" s="156" t="str">
        <f t="shared" si="32"/>
        <v/>
      </c>
      <c r="J509" s="156"/>
      <c r="K509" s="156"/>
      <c r="L509" s="2" t="s">
        <v>809</v>
      </c>
      <c r="M509" s="157" t="str">
        <f t="shared" si="33"/>
        <v>К01370461</v>
      </c>
      <c r="N509" s="3" t="s">
        <v>766</v>
      </c>
      <c r="O509" s="4" t="s">
        <v>767</v>
      </c>
      <c r="P509" s="1">
        <v>20</v>
      </c>
      <c r="U509" s="153" t="s">
        <v>3646</v>
      </c>
      <c r="V509" s="4"/>
      <c r="W509" s="3"/>
    </row>
    <row r="510" spans="1:23" x14ac:dyDescent="0.25">
      <c r="A510" s="158">
        <v>396</v>
      </c>
      <c r="B510" s="1"/>
      <c r="C510" s="1"/>
      <c r="D510" s="154">
        <v>474</v>
      </c>
      <c r="E510" s="3" t="s">
        <v>421</v>
      </c>
      <c r="F510" s="3" t="s">
        <v>854</v>
      </c>
      <c r="G510" s="2">
        <v>7303798</v>
      </c>
      <c r="H510" s="2"/>
      <c r="I510" s="156" t="str">
        <f t="shared" si="32"/>
        <v/>
      </c>
      <c r="J510" s="156"/>
      <c r="K510" s="156"/>
      <c r="L510" s="2"/>
      <c r="M510" s="157" t="str">
        <f t="shared" si="33"/>
        <v>К</v>
      </c>
      <c r="N510" s="3" t="s">
        <v>766</v>
      </c>
      <c r="O510" s="4" t="s">
        <v>767</v>
      </c>
      <c r="P510" s="1"/>
      <c r="U510" s="153" t="s">
        <v>3646</v>
      </c>
      <c r="V510" s="4"/>
      <c r="W510" s="3"/>
    </row>
    <row r="511" spans="1:23" x14ac:dyDescent="0.25">
      <c r="A511" s="158">
        <v>420</v>
      </c>
      <c r="B511" s="1"/>
      <c r="C511" s="1"/>
      <c r="D511" s="154">
        <v>476</v>
      </c>
      <c r="E511" s="3" t="s">
        <v>380</v>
      </c>
      <c r="F511" s="3" t="s">
        <v>810</v>
      </c>
      <c r="G511" s="2" t="s">
        <v>811</v>
      </c>
      <c r="H511" s="2"/>
      <c r="I511" s="156" t="str">
        <f t="shared" si="32"/>
        <v/>
      </c>
      <c r="J511" s="156"/>
      <c r="K511" s="156"/>
      <c r="L511" s="2" t="s">
        <v>812</v>
      </c>
      <c r="M511" s="157" t="str">
        <f t="shared" si="33"/>
        <v>К01370489</v>
      </c>
      <c r="N511" s="3" t="s">
        <v>766</v>
      </c>
      <c r="O511" s="4" t="s">
        <v>767</v>
      </c>
      <c r="P511" s="1">
        <v>20</v>
      </c>
      <c r="U511" s="153" t="s">
        <v>3646</v>
      </c>
      <c r="V511" s="4"/>
      <c r="W511" s="3"/>
    </row>
    <row r="512" spans="1:23" x14ac:dyDescent="0.25">
      <c r="A512" s="154">
        <v>435</v>
      </c>
      <c r="B512" s="1"/>
      <c r="C512" s="1"/>
      <c r="D512" s="158">
        <v>477</v>
      </c>
      <c r="E512" s="3" t="s">
        <v>380</v>
      </c>
      <c r="F512" s="43" t="s">
        <v>810</v>
      </c>
      <c r="G512" s="2" t="s">
        <v>811</v>
      </c>
      <c r="H512" s="2"/>
      <c r="I512" s="156" t="str">
        <f t="shared" si="32"/>
        <v/>
      </c>
      <c r="J512" s="156"/>
      <c r="K512" s="156"/>
      <c r="L512" s="2" t="s">
        <v>812</v>
      </c>
      <c r="M512" s="157" t="str">
        <f t="shared" si="33"/>
        <v>К01370489</v>
      </c>
      <c r="N512" s="3" t="s">
        <v>766</v>
      </c>
      <c r="O512" s="4" t="s">
        <v>767</v>
      </c>
      <c r="P512" s="1">
        <v>20</v>
      </c>
      <c r="U512" s="153" t="s">
        <v>3646</v>
      </c>
      <c r="V512" s="4"/>
      <c r="W512" s="3"/>
    </row>
    <row r="513" spans="1:23" x14ac:dyDescent="0.25">
      <c r="A513" s="158">
        <v>436</v>
      </c>
      <c r="B513" s="1"/>
      <c r="C513" s="1"/>
      <c r="D513" s="158">
        <v>480</v>
      </c>
      <c r="E513" s="3" t="s">
        <v>380</v>
      </c>
      <c r="F513" s="3" t="s">
        <v>858</v>
      </c>
      <c r="G513" s="2" t="s">
        <v>859</v>
      </c>
      <c r="H513" s="2"/>
      <c r="I513" s="156" t="str">
        <f t="shared" si="32"/>
        <v/>
      </c>
      <c r="J513" s="156"/>
      <c r="K513" s="156"/>
      <c r="L513" s="2"/>
      <c r="M513" s="157" t="str">
        <f t="shared" si="33"/>
        <v>К</v>
      </c>
      <c r="N513" s="3" t="s">
        <v>766</v>
      </c>
      <c r="O513" s="4" t="s">
        <v>767</v>
      </c>
      <c r="P513" s="1"/>
      <c r="U513" s="153" t="s">
        <v>3646</v>
      </c>
      <c r="V513" s="4"/>
      <c r="W513" s="3"/>
    </row>
    <row r="514" spans="1:23" x14ac:dyDescent="0.25">
      <c r="A514" s="154">
        <v>457</v>
      </c>
      <c r="B514" s="1"/>
      <c r="C514" s="1"/>
      <c r="D514" s="154">
        <v>481</v>
      </c>
      <c r="E514" s="3" t="s">
        <v>380</v>
      </c>
      <c r="F514" s="578" t="s">
        <v>942</v>
      </c>
      <c r="G514" s="2" t="s">
        <v>943</v>
      </c>
      <c r="H514" s="2"/>
      <c r="I514" s="156" t="str">
        <f t="shared" si="32"/>
        <v/>
      </c>
      <c r="J514" s="156"/>
      <c r="K514" s="156"/>
      <c r="L514" s="2" t="s">
        <v>930</v>
      </c>
      <c r="M514" s="157" t="str">
        <f t="shared" si="33"/>
        <v>К08104787</v>
      </c>
      <c r="N514" s="3" t="s">
        <v>766</v>
      </c>
      <c r="O514" s="4" t="s">
        <v>928</v>
      </c>
      <c r="P514" s="1"/>
      <c r="U514" s="153" t="s">
        <v>3646</v>
      </c>
      <c r="V514" s="4"/>
      <c r="W514" s="3"/>
    </row>
    <row r="515" spans="1:23" x14ac:dyDescent="0.25">
      <c r="A515" s="158">
        <v>458</v>
      </c>
      <c r="B515" s="1"/>
      <c r="C515" s="1"/>
      <c r="D515" s="158">
        <v>486</v>
      </c>
      <c r="E515" s="3" t="s">
        <v>977</v>
      </c>
      <c r="F515" s="3"/>
      <c r="G515" s="2"/>
      <c r="H515" s="2"/>
      <c r="I515" s="156" t="str">
        <f t="shared" si="32"/>
        <v/>
      </c>
      <c r="J515" s="156"/>
      <c r="K515" s="156"/>
      <c r="L515" s="2" t="s">
        <v>978</v>
      </c>
      <c r="M515" s="157" t="str">
        <f t="shared" si="33"/>
        <v>К01370509</v>
      </c>
      <c r="N515" s="3" t="s">
        <v>766</v>
      </c>
      <c r="O515" s="4" t="s">
        <v>706</v>
      </c>
      <c r="P515" s="1"/>
      <c r="U515" s="1"/>
      <c r="V515" s="4"/>
      <c r="W515" s="3"/>
    </row>
    <row r="516" spans="1:23" s="162" customFormat="1" x14ac:dyDescent="0.25">
      <c r="A516" s="495">
        <v>352</v>
      </c>
      <c r="B516" s="1"/>
      <c r="C516" s="1"/>
      <c r="D516" s="158">
        <v>489</v>
      </c>
      <c r="E516" s="468" t="s">
        <v>2364</v>
      </c>
      <c r="F516" s="468" t="s">
        <v>789</v>
      </c>
      <c r="G516" s="2" t="s">
        <v>790</v>
      </c>
      <c r="H516" s="2"/>
      <c r="I516" s="156" t="str">
        <f t="shared" si="32"/>
        <v/>
      </c>
      <c r="J516" s="156"/>
      <c r="K516" s="156"/>
      <c r="L516" s="2" t="s">
        <v>791</v>
      </c>
      <c r="M516" s="157" t="str">
        <f t="shared" si="33"/>
        <v>К03100165</v>
      </c>
      <c r="N516" s="3" t="s">
        <v>766</v>
      </c>
      <c r="O516" s="4" t="s">
        <v>767</v>
      </c>
      <c r="P516" s="1">
        <v>19</v>
      </c>
      <c r="Q516" s="1"/>
      <c r="R516" s="3"/>
      <c r="S516" s="1"/>
      <c r="U516" s="167"/>
      <c r="V516" s="168"/>
    </row>
    <row r="517" spans="1:23" x14ac:dyDescent="0.25">
      <c r="A517" s="154">
        <v>437</v>
      </c>
      <c r="B517" s="1"/>
      <c r="C517" s="1"/>
      <c r="D517" s="154">
        <v>492</v>
      </c>
      <c r="E517" s="166" t="s">
        <v>2378</v>
      </c>
      <c r="F517" s="166" t="s">
        <v>2377</v>
      </c>
      <c r="G517" s="2" t="s">
        <v>784</v>
      </c>
      <c r="H517" s="2"/>
      <c r="I517" s="156" t="str">
        <f t="shared" si="32"/>
        <v/>
      </c>
      <c r="J517" s="156"/>
      <c r="K517" s="156"/>
      <c r="L517" s="2" t="s">
        <v>785</v>
      </c>
      <c r="M517" s="157" t="str">
        <f t="shared" si="33"/>
        <v>К01370489_2</v>
      </c>
      <c r="N517" s="3" t="s">
        <v>766</v>
      </c>
      <c r="O517" s="4" t="s">
        <v>767</v>
      </c>
      <c r="P517" s="1">
        <v>19</v>
      </c>
      <c r="U517" s="1"/>
      <c r="V517" s="4"/>
      <c r="W517" s="3"/>
    </row>
    <row r="518" spans="1:23" ht="30" x14ac:dyDescent="0.25">
      <c r="A518" s="158">
        <v>438</v>
      </c>
      <c r="B518" s="1"/>
      <c r="C518" s="1"/>
      <c r="D518" s="158">
        <v>493</v>
      </c>
      <c r="E518" s="3" t="s">
        <v>872</v>
      </c>
      <c r="F518" s="3" t="s">
        <v>873</v>
      </c>
      <c r="G518" s="2" t="s">
        <v>874</v>
      </c>
      <c r="H518" s="2"/>
      <c r="I518" s="156" t="str">
        <f t="shared" si="32"/>
        <v/>
      </c>
      <c r="J518" s="156"/>
      <c r="K518" s="156"/>
      <c r="L518" s="2" t="s">
        <v>875</v>
      </c>
      <c r="M518" s="157" t="str">
        <f t="shared" si="33"/>
        <v>К08103093,
08103089</v>
      </c>
      <c r="N518" s="3" t="s">
        <v>766</v>
      </c>
      <c r="O518" s="4" t="s">
        <v>767</v>
      </c>
      <c r="P518" s="1"/>
      <c r="U518" s="1"/>
      <c r="V518" s="4"/>
      <c r="W518" s="3"/>
    </row>
    <row r="519" spans="1:23" x14ac:dyDescent="0.25">
      <c r="A519" s="154">
        <v>401</v>
      </c>
      <c r="B519" s="1"/>
      <c r="C519" s="1"/>
      <c r="D519" s="158">
        <v>494</v>
      </c>
      <c r="E519" s="3" t="s">
        <v>141</v>
      </c>
      <c r="F519" s="3" t="s">
        <v>876</v>
      </c>
      <c r="G519" s="2"/>
      <c r="H519" s="2"/>
      <c r="I519" s="156" t="str">
        <f t="shared" si="32"/>
        <v/>
      </c>
      <c r="J519" s="156"/>
      <c r="K519" s="156"/>
      <c r="L519" s="2" t="s">
        <v>877</v>
      </c>
      <c r="M519" s="157" t="str">
        <f t="shared" si="33"/>
        <v>К08103071_2</v>
      </c>
      <c r="N519" s="3" t="s">
        <v>766</v>
      </c>
      <c r="O519" s="4" t="s">
        <v>767</v>
      </c>
      <c r="P519" s="1"/>
      <c r="U519" s="1"/>
      <c r="V519" s="4"/>
      <c r="W519" s="3"/>
    </row>
    <row r="520" spans="1:23" x14ac:dyDescent="0.25">
      <c r="A520" s="154">
        <v>1371</v>
      </c>
      <c r="B520" s="1"/>
      <c r="C520" s="1"/>
      <c r="D520" s="154">
        <v>495</v>
      </c>
      <c r="E520" s="3" t="s">
        <v>141</v>
      </c>
      <c r="F520" s="3" t="s">
        <v>878</v>
      </c>
      <c r="G520" s="2"/>
      <c r="H520" s="2"/>
      <c r="I520" s="156" t="str">
        <f t="shared" si="32"/>
        <v/>
      </c>
      <c r="J520" s="156"/>
      <c r="K520" s="156"/>
      <c r="L520" s="2" t="s">
        <v>879</v>
      </c>
      <c r="M520" s="157" t="str">
        <f t="shared" si="33"/>
        <v>К08103072_2</v>
      </c>
      <c r="N520" s="3" t="s">
        <v>766</v>
      </c>
      <c r="O520" s="4" t="s">
        <v>767</v>
      </c>
      <c r="P520" s="1"/>
      <c r="U520" s="1"/>
      <c r="V520" s="4"/>
      <c r="W520" s="3"/>
    </row>
    <row r="521" spans="1:23" x14ac:dyDescent="0.25">
      <c r="A521" s="154">
        <v>373</v>
      </c>
      <c r="B521" s="1"/>
      <c r="C521" s="457" t="s">
        <v>3034</v>
      </c>
      <c r="D521" s="158">
        <v>496</v>
      </c>
      <c r="E521" s="3" t="s">
        <v>880</v>
      </c>
      <c r="F521" s="3" t="s">
        <v>881</v>
      </c>
      <c r="G521" s="2"/>
      <c r="H521" s="2"/>
      <c r="I521" s="156" t="str">
        <f t="shared" si="32"/>
        <v/>
      </c>
      <c r="J521" s="156"/>
      <c r="K521" s="156"/>
      <c r="L521" s="2" t="s">
        <v>882</v>
      </c>
      <c r="M521" s="157" t="str">
        <f t="shared" si="33"/>
        <v>К08106151</v>
      </c>
      <c r="N521" s="3" t="s">
        <v>766</v>
      </c>
      <c r="O521" s="4" t="s">
        <v>767</v>
      </c>
      <c r="P521" s="1"/>
      <c r="U521" s="1"/>
      <c r="V521" s="4"/>
      <c r="W521" s="3"/>
    </row>
    <row r="522" spans="1:23" x14ac:dyDescent="0.25">
      <c r="A522" s="158">
        <v>374</v>
      </c>
      <c r="B522" s="1"/>
      <c r="C522" s="457" t="s">
        <v>3034</v>
      </c>
      <c r="D522" s="154">
        <v>497</v>
      </c>
      <c r="E522" s="3" t="s">
        <v>880</v>
      </c>
      <c r="F522" s="3" t="s">
        <v>881</v>
      </c>
      <c r="G522" s="2"/>
      <c r="H522" s="2"/>
      <c r="I522" s="156" t="str">
        <f t="shared" si="32"/>
        <v/>
      </c>
      <c r="J522" s="156"/>
      <c r="K522" s="156"/>
      <c r="L522" s="2" t="s">
        <v>950</v>
      </c>
      <c r="M522" s="157" t="str">
        <f t="shared" si="33"/>
        <v>К08106150</v>
      </c>
      <c r="N522" s="3" t="s">
        <v>766</v>
      </c>
      <c r="O522" s="4" t="s">
        <v>928</v>
      </c>
      <c r="P522" s="1"/>
      <c r="U522" s="1"/>
      <c r="V522" s="4"/>
      <c r="W522" s="3"/>
    </row>
    <row r="523" spans="1:23" x14ac:dyDescent="0.25">
      <c r="A523" s="154">
        <v>375</v>
      </c>
      <c r="B523" s="1"/>
      <c r="C523" s="457"/>
      <c r="D523" s="158">
        <v>498</v>
      </c>
      <c r="E523" s="3" t="s">
        <v>880</v>
      </c>
      <c r="F523" s="3" t="s">
        <v>992</v>
      </c>
      <c r="G523" s="2"/>
      <c r="H523" s="2"/>
      <c r="I523" s="156" t="str">
        <f t="shared" si="32"/>
        <v/>
      </c>
      <c r="J523" s="156"/>
      <c r="K523" s="156"/>
      <c r="L523" s="2" t="s">
        <v>993</v>
      </c>
      <c r="M523" s="157" t="str">
        <f t="shared" si="33"/>
        <v>К08106149</v>
      </c>
      <c r="N523" s="3" t="s">
        <v>766</v>
      </c>
      <c r="O523" s="4"/>
      <c r="P523" s="1"/>
      <c r="U523" s="1"/>
      <c r="V523" s="4"/>
      <c r="W523" s="3"/>
    </row>
    <row r="524" spans="1:23" x14ac:dyDescent="0.25">
      <c r="A524" s="154">
        <v>403</v>
      </c>
      <c r="B524" s="1"/>
      <c r="C524" s="457"/>
      <c r="D524" s="154">
        <v>499</v>
      </c>
      <c r="E524" s="3" t="s">
        <v>880</v>
      </c>
      <c r="F524" s="3" t="s">
        <v>992</v>
      </c>
      <c r="G524" s="2"/>
      <c r="H524" s="2"/>
      <c r="I524" s="156" t="str">
        <f t="shared" si="32"/>
        <v/>
      </c>
      <c r="J524" s="156"/>
      <c r="K524" s="156"/>
      <c r="L524" s="2" t="s">
        <v>993</v>
      </c>
      <c r="M524" s="157" t="str">
        <f t="shared" si="33"/>
        <v>К08106149</v>
      </c>
      <c r="N524" s="3" t="s">
        <v>766</v>
      </c>
      <c r="O524" s="4"/>
      <c r="P524" s="1"/>
      <c r="U524" s="1"/>
      <c r="V524" s="4"/>
      <c r="W524" s="3"/>
    </row>
    <row r="525" spans="1:23" x14ac:dyDescent="0.25">
      <c r="A525" s="158">
        <v>404</v>
      </c>
      <c r="B525" s="1"/>
      <c r="C525" s="457"/>
      <c r="D525" s="158">
        <v>500</v>
      </c>
      <c r="E525" s="3" t="s">
        <v>880</v>
      </c>
      <c r="F525" s="3" t="s">
        <v>992</v>
      </c>
      <c r="G525" s="2"/>
      <c r="H525" s="2"/>
      <c r="I525" s="156" t="str">
        <f t="shared" si="32"/>
        <v/>
      </c>
      <c r="J525" s="156"/>
      <c r="K525" s="156"/>
      <c r="L525" s="2" t="s">
        <v>950</v>
      </c>
      <c r="M525" s="157" t="str">
        <f t="shared" si="33"/>
        <v>К08106150</v>
      </c>
      <c r="N525" s="3" t="s">
        <v>766</v>
      </c>
      <c r="O525" s="4"/>
      <c r="P525" s="1"/>
      <c r="U525" s="1"/>
      <c r="V525" s="4"/>
      <c r="W525" s="3"/>
    </row>
    <row r="526" spans="1:23" x14ac:dyDescent="0.25">
      <c r="A526" s="154">
        <v>405</v>
      </c>
      <c r="B526" s="1"/>
      <c r="C526" s="457"/>
      <c r="D526" s="158">
        <v>501</v>
      </c>
      <c r="E526" s="3" t="s">
        <v>880</v>
      </c>
      <c r="F526" s="3" t="s">
        <v>992</v>
      </c>
      <c r="G526" s="2"/>
      <c r="H526" s="2"/>
      <c r="I526" s="156" t="str">
        <f t="shared" si="32"/>
        <v/>
      </c>
      <c r="J526" s="156"/>
      <c r="K526" s="156"/>
      <c r="L526" s="2" t="s">
        <v>882</v>
      </c>
      <c r="M526" s="157" t="str">
        <f t="shared" si="33"/>
        <v>К08106151</v>
      </c>
      <c r="N526" s="3" t="s">
        <v>766</v>
      </c>
      <c r="O526" s="4"/>
      <c r="P526" s="1"/>
      <c r="U526" s="1"/>
      <c r="V526" s="4"/>
      <c r="W526" s="3"/>
    </row>
    <row r="527" spans="1:23" x14ac:dyDescent="0.25">
      <c r="A527" s="158">
        <v>406</v>
      </c>
      <c r="B527" s="1"/>
      <c r="C527" s="457" t="s">
        <v>3034</v>
      </c>
      <c r="D527" s="154">
        <v>504</v>
      </c>
      <c r="E527" s="3" t="s">
        <v>24</v>
      </c>
      <c r="F527" s="3" t="s">
        <v>157</v>
      </c>
      <c r="G527" s="2"/>
      <c r="H527" s="2"/>
      <c r="I527" s="156" t="str">
        <f t="shared" si="32"/>
        <v/>
      </c>
      <c r="J527" s="156"/>
      <c r="K527" s="156"/>
      <c r="L527" s="2" t="s">
        <v>883</v>
      </c>
      <c r="M527" s="157" t="str">
        <f t="shared" si="33"/>
        <v>К08102442</v>
      </c>
      <c r="N527" s="3" t="s">
        <v>766</v>
      </c>
      <c r="O527" s="4" t="s">
        <v>767</v>
      </c>
      <c r="P527" s="1"/>
      <c r="U527" s="1"/>
      <c r="V527" s="4"/>
      <c r="W527" s="3"/>
    </row>
    <row r="528" spans="1:23" x14ac:dyDescent="0.25">
      <c r="A528" s="154">
        <v>439</v>
      </c>
      <c r="B528" s="136" t="s">
        <v>3552</v>
      </c>
      <c r="C528" s="136"/>
      <c r="D528" s="158">
        <v>515</v>
      </c>
      <c r="E528" s="485" t="s">
        <v>3695</v>
      </c>
      <c r="F528" s="3" t="s">
        <v>792</v>
      </c>
      <c r="G528" s="2" t="s">
        <v>793</v>
      </c>
      <c r="H528" s="2"/>
      <c r="I528" s="156" t="str">
        <f t="shared" si="32"/>
        <v/>
      </c>
      <c r="J528" s="156"/>
      <c r="K528" s="156"/>
      <c r="L528" s="2" t="s">
        <v>773</v>
      </c>
      <c r="M528" s="157" t="str">
        <f t="shared" si="33"/>
        <v>К08104621</v>
      </c>
      <c r="N528" s="3" t="s">
        <v>766</v>
      </c>
      <c r="O528" s="4" t="s">
        <v>767</v>
      </c>
      <c r="P528" s="1">
        <v>19</v>
      </c>
      <c r="U528" s="1"/>
      <c r="V528" s="4"/>
      <c r="W528" s="3"/>
    </row>
    <row r="529" spans="1:23" x14ac:dyDescent="0.25">
      <c r="A529" s="154">
        <v>407</v>
      </c>
      <c r="B529" s="136" t="s">
        <v>3552</v>
      </c>
      <c r="C529" s="136"/>
      <c r="D529" s="154">
        <v>516</v>
      </c>
      <c r="E529" s="485" t="s">
        <v>3695</v>
      </c>
      <c r="F529" s="3" t="s">
        <v>794</v>
      </c>
      <c r="G529" s="2" t="s">
        <v>795</v>
      </c>
      <c r="H529" s="2"/>
      <c r="I529" s="156" t="str">
        <f t="shared" ref="I529:I560" si="34">RIGHT(H529,4)</f>
        <v/>
      </c>
      <c r="J529" s="156"/>
      <c r="K529" s="156"/>
      <c r="L529" s="2" t="s">
        <v>773</v>
      </c>
      <c r="M529" s="157" t="str">
        <f t="shared" si="33"/>
        <v>К08104621</v>
      </c>
      <c r="N529" s="3" t="s">
        <v>766</v>
      </c>
      <c r="O529" s="4" t="s">
        <v>767</v>
      </c>
      <c r="P529" s="1">
        <v>19</v>
      </c>
      <c r="U529" s="1"/>
      <c r="V529" s="4"/>
      <c r="W529" s="3"/>
    </row>
    <row r="530" spans="1:23" x14ac:dyDescent="0.25">
      <c r="A530" s="158">
        <v>440</v>
      </c>
      <c r="B530" s="136" t="s">
        <v>3552</v>
      </c>
      <c r="C530" s="136"/>
      <c r="D530" s="158">
        <v>517</v>
      </c>
      <c r="E530" s="485" t="s">
        <v>3695</v>
      </c>
      <c r="F530" s="3" t="s">
        <v>794</v>
      </c>
      <c r="G530" s="2" t="s">
        <v>796</v>
      </c>
      <c r="H530" s="2"/>
      <c r="I530" s="156" t="str">
        <f t="shared" si="34"/>
        <v/>
      </c>
      <c r="J530" s="156"/>
      <c r="K530" s="156"/>
      <c r="L530" s="2" t="s">
        <v>773</v>
      </c>
      <c r="M530" s="157" t="str">
        <f t="shared" si="33"/>
        <v>К08104621</v>
      </c>
      <c r="N530" s="3" t="s">
        <v>766</v>
      </c>
      <c r="O530" s="4" t="s">
        <v>767</v>
      </c>
      <c r="P530" s="1">
        <v>19</v>
      </c>
      <c r="U530" s="1"/>
      <c r="V530" s="4"/>
      <c r="W530" s="3"/>
    </row>
    <row r="531" spans="1:23" x14ac:dyDescent="0.25">
      <c r="A531" s="154">
        <v>459</v>
      </c>
      <c r="B531" s="1"/>
      <c r="C531" s="1"/>
      <c r="D531" s="158">
        <v>519</v>
      </c>
      <c r="E531" s="468" t="s">
        <v>2364</v>
      </c>
      <c r="F531" s="43" t="s">
        <v>789</v>
      </c>
      <c r="G531" s="2" t="s">
        <v>790</v>
      </c>
      <c r="H531" s="2"/>
      <c r="I531" s="156" t="str">
        <f t="shared" si="34"/>
        <v/>
      </c>
      <c r="J531" s="156"/>
      <c r="K531" s="156"/>
      <c r="L531" s="2" t="s">
        <v>791</v>
      </c>
      <c r="M531" s="157" t="str">
        <f t="shared" si="33"/>
        <v>К03100165</v>
      </c>
      <c r="N531" s="475" t="s">
        <v>766</v>
      </c>
      <c r="O531" s="477" t="s">
        <v>767</v>
      </c>
      <c r="P531" s="1">
        <v>19</v>
      </c>
      <c r="U531" s="1"/>
      <c r="V531" s="4"/>
      <c r="W531" s="3"/>
    </row>
    <row r="532" spans="1:23" x14ac:dyDescent="0.25">
      <c r="A532" s="158">
        <v>446</v>
      </c>
      <c r="B532" s="1"/>
      <c r="C532" s="457" t="s">
        <v>3034</v>
      </c>
      <c r="D532" s="154">
        <v>525</v>
      </c>
      <c r="E532" s="3" t="s">
        <v>884</v>
      </c>
      <c r="F532" s="3" t="s">
        <v>998</v>
      </c>
      <c r="G532" s="2" t="s">
        <v>999</v>
      </c>
      <c r="H532" s="2"/>
      <c r="I532" s="156" t="str">
        <f t="shared" si="34"/>
        <v/>
      </c>
      <c r="J532" s="156"/>
      <c r="K532" s="156"/>
      <c r="L532" s="2" t="s">
        <v>1000</v>
      </c>
      <c r="M532" s="157" t="str">
        <f t="shared" si="33"/>
        <v>К08106070</v>
      </c>
      <c r="N532" s="3" t="s">
        <v>766</v>
      </c>
      <c r="O532" s="4"/>
      <c r="P532" s="1"/>
      <c r="U532" s="1"/>
      <c r="V532" s="4"/>
      <c r="W532" s="3"/>
    </row>
    <row r="533" spans="1:23" x14ac:dyDescent="0.25">
      <c r="A533" s="158">
        <v>408</v>
      </c>
      <c r="B533" s="1"/>
      <c r="C533" s="1"/>
      <c r="D533" s="154">
        <v>527</v>
      </c>
      <c r="E533" s="3" t="s">
        <v>395</v>
      </c>
      <c r="F533" s="3" t="s">
        <v>396</v>
      </c>
      <c r="G533" s="2"/>
      <c r="H533" s="2"/>
      <c r="I533" s="156" t="str">
        <f t="shared" si="34"/>
        <v/>
      </c>
      <c r="J533" s="156"/>
      <c r="K533" s="156"/>
      <c r="L533" s="2" t="s">
        <v>803</v>
      </c>
      <c r="M533" s="157" t="str">
        <f t="shared" si="33"/>
        <v>К01370458</v>
      </c>
      <c r="N533" s="3" t="s">
        <v>766</v>
      </c>
      <c r="O533" s="4" t="s">
        <v>767</v>
      </c>
      <c r="P533" s="1"/>
      <c r="U533" s="1"/>
      <c r="V533" s="4"/>
      <c r="W533" s="3"/>
    </row>
    <row r="534" spans="1:23" x14ac:dyDescent="0.25">
      <c r="A534" s="154">
        <v>409</v>
      </c>
      <c r="B534" s="1"/>
      <c r="C534" s="1"/>
      <c r="D534" s="158">
        <v>529</v>
      </c>
      <c r="E534" s="3" t="s">
        <v>395</v>
      </c>
      <c r="F534" s="3" t="s">
        <v>396</v>
      </c>
      <c r="G534" s="2" t="s">
        <v>906</v>
      </c>
      <c r="H534" s="2"/>
      <c r="I534" s="156" t="str">
        <f t="shared" si="34"/>
        <v/>
      </c>
      <c r="J534" s="156"/>
      <c r="K534" s="156"/>
      <c r="L534" s="2"/>
      <c r="M534" s="157" t="str">
        <f t="shared" si="33"/>
        <v>К</v>
      </c>
      <c r="N534" s="3" t="s">
        <v>766</v>
      </c>
      <c r="O534" s="4" t="s">
        <v>767</v>
      </c>
      <c r="P534" s="1"/>
      <c r="U534" s="1"/>
      <c r="V534" s="4"/>
      <c r="W534" s="3"/>
    </row>
    <row r="535" spans="1:23" x14ac:dyDescent="0.25">
      <c r="A535" s="158">
        <v>410</v>
      </c>
      <c r="B535" s="1"/>
      <c r="C535" s="1"/>
      <c r="D535" s="154">
        <v>530</v>
      </c>
      <c r="E535" s="3" t="s">
        <v>395</v>
      </c>
      <c r="F535" s="3" t="s">
        <v>396</v>
      </c>
      <c r="G535" s="2" t="s">
        <v>962</v>
      </c>
      <c r="H535" s="2"/>
      <c r="I535" s="156" t="str">
        <f t="shared" si="34"/>
        <v/>
      </c>
      <c r="J535" s="156"/>
      <c r="K535" s="156"/>
      <c r="L535" s="2" t="s">
        <v>930</v>
      </c>
      <c r="M535" s="157" t="str">
        <f t="shared" si="33"/>
        <v>К08104787</v>
      </c>
      <c r="N535" s="3" t="s">
        <v>766</v>
      </c>
      <c r="O535" s="4" t="s">
        <v>928</v>
      </c>
      <c r="P535" s="1"/>
      <c r="U535" s="1"/>
      <c r="V535" s="4"/>
      <c r="W535" s="3"/>
    </row>
    <row r="536" spans="1:23" x14ac:dyDescent="0.25">
      <c r="A536" s="154">
        <v>441</v>
      </c>
      <c r="B536" s="1"/>
      <c r="C536" s="1"/>
      <c r="D536" s="154">
        <v>532</v>
      </c>
      <c r="E536" s="3" t="s">
        <v>395</v>
      </c>
      <c r="F536" s="3"/>
      <c r="G536" s="2"/>
      <c r="H536" s="2"/>
      <c r="I536" s="156" t="str">
        <f t="shared" si="34"/>
        <v/>
      </c>
      <c r="J536" s="156"/>
      <c r="K536" s="156"/>
      <c r="L536" s="2" t="s">
        <v>976</v>
      </c>
      <c r="M536" s="157" t="str">
        <f t="shared" si="33"/>
        <v>К01370460</v>
      </c>
      <c r="N536" s="3" t="s">
        <v>766</v>
      </c>
      <c r="O536" s="4" t="s">
        <v>975</v>
      </c>
      <c r="P536" s="1"/>
      <c r="U536" s="1"/>
      <c r="V536" s="4"/>
      <c r="W536" s="3"/>
    </row>
    <row r="537" spans="1:23" x14ac:dyDescent="0.25">
      <c r="A537" s="158">
        <v>442</v>
      </c>
      <c r="B537" s="1"/>
      <c r="C537" s="1"/>
      <c r="D537" s="158">
        <v>533</v>
      </c>
      <c r="E537" s="3" t="s">
        <v>395</v>
      </c>
      <c r="F537" s="3" t="s">
        <v>979</v>
      </c>
      <c r="G537" s="2"/>
      <c r="H537" s="2"/>
      <c r="I537" s="156" t="str">
        <f t="shared" si="34"/>
        <v/>
      </c>
      <c r="J537" s="156"/>
      <c r="K537" s="156"/>
      <c r="L537" s="2" t="s">
        <v>980</v>
      </c>
      <c r="M537" s="157" t="str">
        <f t="shared" si="33"/>
        <v>К01370462</v>
      </c>
      <c r="N537" s="3" t="s">
        <v>766</v>
      </c>
      <c r="O537" s="4" t="s">
        <v>706</v>
      </c>
      <c r="P537" s="1"/>
      <c r="U537" s="1"/>
      <c r="V537" s="4"/>
      <c r="W537" s="3"/>
    </row>
    <row r="538" spans="1:23" x14ac:dyDescent="0.25">
      <c r="A538" s="158">
        <v>448</v>
      </c>
      <c r="B538" s="1"/>
      <c r="C538" s="1"/>
      <c r="D538" s="154">
        <v>534</v>
      </c>
      <c r="E538" s="3" t="s">
        <v>908</v>
      </c>
      <c r="F538" s="487" t="s">
        <v>909</v>
      </c>
      <c r="G538" s="2" t="s">
        <v>910</v>
      </c>
      <c r="H538" s="2"/>
      <c r="I538" s="156" t="str">
        <f t="shared" si="34"/>
        <v/>
      </c>
      <c r="J538" s="156"/>
      <c r="K538" s="156"/>
      <c r="L538" s="2"/>
      <c r="M538" s="157" t="str">
        <f t="shared" si="33"/>
        <v>К</v>
      </c>
      <c r="N538" s="3" t="s">
        <v>766</v>
      </c>
      <c r="O538" s="4" t="s">
        <v>767</v>
      </c>
      <c r="P538" s="1"/>
      <c r="U538" s="1"/>
      <c r="V538" s="4"/>
      <c r="W538" s="3"/>
    </row>
    <row r="539" spans="1:23" x14ac:dyDescent="0.25">
      <c r="A539" s="158">
        <v>450</v>
      </c>
      <c r="B539" s="1"/>
      <c r="C539" s="457" t="s">
        <v>3034</v>
      </c>
      <c r="D539" s="158">
        <v>535</v>
      </c>
      <c r="E539" s="3" t="s">
        <v>911</v>
      </c>
      <c r="F539" s="3" t="s">
        <v>916</v>
      </c>
      <c r="G539" s="2" t="s">
        <v>917</v>
      </c>
      <c r="H539" s="2"/>
      <c r="I539" s="156" t="str">
        <f t="shared" si="34"/>
        <v/>
      </c>
      <c r="J539" s="156"/>
      <c r="K539" s="156"/>
      <c r="L539" s="2" t="s">
        <v>918</v>
      </c>
      <c r="M539" s="157" t="str">
        <f t="shared" si="33"/>
        <v>К04700051</v>
      </c>
      <c r="N539" s="3" t="s">
        <v>766</v>
      </c>
      <c r="O539" s="4" t="s">
        <v>767</v>
      </c>
      <c r="P539" s="1"/>
      <c r="U539" s="1"/>
      <c r="V539" s="4"/>
      <c r="W539" s="3"/>
    </row>
    <row r="540" spans="1:23" x14ac:dyDescent="0.25">
      <c r="A540" s="154">
        <v>411</v>
      </c>
      <c r="B540" s="1"/>
      <c r="C540" s="1"/>
      <c r="D540" s="154">
        <v>537</v>
      </c>
      <c r="E540" s="3" t="s">
        <v>911</v>
      </c>
      <c r="F540" s="3" t="s">
        <v>964</v>
      </c>
      <c r="G540" s="2" t="s">
        <v>965</v>
      </c>
      <c r="H540" s="2"/>
      <c r="I540" s="156" t="str">
        <f t="shared" si="34"/>
        <v/>
      </c>
      <c r="J540" s="156"/>
      <c r="K540" s="156"/>
      <c r="L540" s="2" t="s">
        <v>966</v>
      </c>
      <c r="M540" s="157" t="str">
        <f t="shared" si="33"/>
        <v>К04700052</v>
      </c>
      <c r="N540" s="3" t="s">
        <v>766</v>
      </c>
      <c r="O540" s="4" t="s">
        <v>928</v>
      </c>
      <c r="P540" s="1"/>
      <c r="U540" s="1"/>
      <c r="V540" s="4"/>
      <c r="W540" s="3"/>
    </row>
    <row r="541" spans="1:23" x14ac:dyDescent="0.25">
      <c r="A541" s="158">
        <v>412</v>
      </c>
      <c r="B541" s="136" t="s">
        <v>3552</v>
      </c>
      <c r="C541" s="136"/>
      <c r="D541" s="154">
        <v>539</v>
      </c>
      <c r="E541" s="3" t="s">
        <v>2676</v>
      </c>
      <c r="F541" s="43" t="s">
        <v>792</v>
      </c>
      <c r="G541" s="2" t="s">
        <v>793</v>
      </c>
      <c r="H541" s="2"/>
      <c r="I541" s="156" t="str">
        <f t="shared" si="34"/>
        <v/>
      </c>
      <c r="J541" s="156"/>
      <c r="K541" s="156"/>
      <c r="L541" s="2" t="s">
        <v>773</v>
      </c>
      <c r="M541" s="157" t="str">
        <f t="shared" si="33"/>
        <v>К08104621</v>
      </c>
      <c r="N541" s="475" t="s">
        <v>766</v>
      </c>
      <c r="O541" s="477" t="s">
        <v>767</v>
      </c>
      <c r="P541" s="1">
        <v>19</v>
      </c>
      <c r="U541" s="1"/>
      <c r="V541" s="4"/>
      <c r="W541" s="3"/>
    </row>
    <row r="542" spans="1:23" x14ac:dyDescent="0.25">
      <c r="A542" s="154">
        <v>413</v>
      </c>
      <c r="B542" s="136" t="s">
        <v>3552</v>
      </c>
      <c r="C542" s="136"/>
      <c r="D542" s="158">
        <v>540</v>
      </c>
      <c r="E542" s="3" t="s">
        <v>2676</v>
      </c>
      <c r="F542" s="43" t="s">
        <v>794</v>
      </c>
      <c r="G542" s="2" t="s">
        <v>795</v>
      </c>
      <c r="H542" s="2"/>
      <c r="I542" s="156" t="str">
        <f t="shared" si="34"/>
        <v/>
      </c>
      <c r="J542" s="156"/>
      <c r="K542" s="156"/>
      <c r="L542" s="2" t="s">
        <v>773</v>
      </c>
      <c r="M542" s="157" t="str">
        <f t="shared" si="33"/>
        <v>К08104621</v>
      </c>
      <c r="N542" s="475" t="s">
        <v>766</v>
      </c>
      <c r="O542" s="477" t="s">
        <v>767</v>
      </c>
      <c r="P542" s="1">
        <v>19</v>
      </c>
      <c r="U542" s="1"/>
      <c r="V542" s="4"/>
      <c r="W542" s="3"/>
    </row>
    <row r="543" spans="1:23" x14ac:dyDescent="0.25">
      <c r="A543" s="154">
        <v>443</v>
      </c>
      <c r="B543" s="136" t="s">
        <v>3552</v>
      </c>
      <c r="C543" s="136"/>
      <c r="D543" s="154">
        <v>541</v>
      </c>
      <c r="E543" s="3" t="s">
        <v>2676</v>
      </c>
      <c r="F543" s="43" t="s">
        <v>794</v>
      </c>
      <c r="G543" s="2" t="s">
        <v>796</v>
      </c>
      <c r="H543" s="2"/>
      <c r="I543" s="156" t="str">
        <f t="shared" si="34"/>
        <v/>
      </c>
      <c r="J543" s="156"/>
      <c r="K543" s="156"/>
      <c r="L543" s="2" t="s">
        <v>773</v>
      </c>
      <c r="M543" s="157" t="str">
        <f t="shared" si="33"/>
        <v>К08104621</v>
      </c>
      <c r="N543" s="475" t="s">
        <v>766</v>
      </c>
      <c r="O543" s="477" t="s">
        <v>767</v>
      </c>
      <c r="P543" s="1">
        <v>19</v>
      </c>
      <c r="U543" s="1"/>
      <c r="V543" s="4"/>
      <c r="W543" s="3"/>
    </row>
    <row r="544" spans="1:23" x14ac:dyDescent="0.25">
      <c r="A544" s="158">
        <v>414</v>
      </c>
      <c r="B544" s="1"/>
      <c r="C544" s="1"/>
      <c r="D544" s="158">
        <v>543</v>
      </c>
      <c r="E544" s="3"/>
      <c r="F544" s="468" t="s">
        <v>909</v>
      </c>
      <c r="G544" s="2" t="s">
        <v>923</v>
      </c>
      <c r="H544" s="2"/>
      <c r="I544" s="156" t="str">
        <f t="shared" si="34"/>
        <v/>
      </c>
      <c r="J544" s="156"/>
      <c r="K544" s="156"/>
      <c r="L544" s="2"/>
      <c r="M544" s="157" t="str">
        <f t="shared" si="33"/>
        <v>К</v>
      </c>
      <c r="N544" s="3" t="s">
        <v>766</v>
      </c>
      <c r="O544" s="4" t="s">
        <v>767</v>
      </c>
      <c r="P544" s="1"/>
      <c r="U544" s="1"/>
      <c r="V544" s="4"/>
      <c r="W544" s="3"/>
    </row>
    <row r="545" spans="1:24" x14ac:dyDescent="0.25">
      <c r="A545" s="154">
        <v>415</v>
      </c>
      <c r="B545" s="167"/>
      <c r="C545" s="167"/>
      <c r="D545" s="154">
        <v>546</v>
      </c>
      <c r="E545" s="162" t="s">
        <v>2112</v>
      </c>
      <c r="F545" s="162" t="s">
        <v>3581</v>
      </c>
      <c r="G545" s="449">
        <v>213762</v>
      </c>
      <c r="H545" s="449" t="s">
        <v>735</v>
      </c>
      <c r="I545" s="495" t="str">
        <f t="shared" si="34"/>
        <v>2000</v>
      </c>
      <c r="J545" s="495">
        <v>2000</v>
      </c>
      <c r="K545" s="495"/>
      <c r="L545" s="449" t="s">
        <v>3161</v>
      </c>
      <c r="M545" s="157" t="str">
        <f t="shared" si="33"/>
        <v>К01370266</v>
      </c>
      <c r="N545" s="162" t="s">
        <v>3633</v>
      </c>
      <c r="O545" s="168"/>
      <c r="P545" s="167"/>
      <c r="Q545" s="3"/>
      <c r="S545" s="3"/>
      <c r="U545" s="1"/>
      <c r="V545" s="4"/>
      <c r="W545" s="3"/>
    </row>
    <row r="546" spans="1:24" x14ac:dyDescent="0.25">
      <c r="A546" s="158">
        <v>416</v>
      </c>
      <c r="B546" s="1"/>
      <c r="C546" s="1"/>
      <c r="D546" s="158">
        <v>552</v>
      </c>
      <c r="E546" s="3" t="s">
        <v>1339</v>
      </c>
      <c r="F546" s="43" t="s">
        <v>3450</v>
      </c>
      <c r="G546" s="2" t="s">
        <v>3138</v>
      </c>
      <c r="H546" s="589" t="s">
        <v>1355</v>
      </c>
      <c r="I546" s="156" t="str">
        <f t="shared" si="34"/>
        <v>2002</v>
      </c>
      <c r="J546" s="156"/>
      <c r="K546" s="156"/>
      <c r="L546" s="2" t="s">
        <v>3139</v>
      </c>
      <c r="M546" s="157" t="str">
        <f t="shared" si="33"/>
        <v>К01370674</v>
      </c>
      <c r="N546" s="161" t="s">
        <v>3633</v>
      </c>
      <c r="O546" s="4" t="s">
        <v>2635</v>
      </c>
      <c r="P546" s="1"/>
      <c r="Q546" s="3"/>
      <c r="S546" s="3"/>
      <c r="U546" s="1"/>
      <c r="V546" s="4"/>
      <c r="W546" s="3"/>
    </row>
    <row r="547" spans="1:24" x14ac:dyDescent="0.25">
      <c r="A547" s="154">
        <v>417</v>
      </c>
      <c r="B547" s="456" t="s">
        <v>3552</v>
      </c>
      <c r="C547" s="457" t="s">
        <v>3034</v>
      </c>
      <c r="D547" s="154">
        <v>693</v>
      </c>
      <c r="E547" s="3" t="s">
        <v>325</v>
      </c>
      <c r="F547" s="43" t="s">
        <v>593</v>
      </c>
      <c r="G547" s="2" t="s">
        <v>3199</v>
      </c>
      <c r="H547" s="2" t="s">
        <v>327</v>
      </c>
      <c r="I547" s="156" t="str">
        <f t="shared" si="34"/>
        <v>2003</v>
      </c>
      <c r="J547" s="156"/>
      <c r="K547" s="156"/>
      <c r="L547" s="2" t="s">
        <v>3200</v>
      </c>
      <c r="M547" s="157" t="str">
        <f t="shared" si="33"/>
        <v>К01370844</v>
      </c>
      <c r="N547" s="161" t="s">
        <v>3633</v>
      </c>
      <c r="O547" s="181" t="s">
        <v>1817</v>
      </c>
      <c r="P547" s="1"/>
      <c r="U547" s="1"/>
      <c r="V547" s="4"/>
      <c r="W547" s="3"/>
    </row>
    <row r="548" spans="1:24" x14ac:dyDescent="0.25">
      <c r="A548" s="158">
        <v>418</v>
      </c>
      <c r="B548" s="456" t="s">
        <v>3552</v>
      </c>
      <c r="C548" s="457" t="s">
        <v>3693</v>
      </c>
      <c r="D548" s="158">
        <v>599</v>
      </c>
      <c r="E548" s="711" t="s">
        <v>444</v>
      </c>
      <c r="F548" s="711" t="s">
        <v>445</v>
      </c>
      <c r="G548" s="712" t="s">
        <v>3180</v>
      </c>
      <c r="H548" s="497" t="s">
        <v>464</v>
      </c>
      <c r="I548" s="156" t="str">
        <f t="shared" si="34"/>
        <v>2006</v>
      </c>
      <c r="J548" s="156">
        <v>2006</v>
      </c>
      <c r="K548" s="156"/>
      <c r="L548" s="2" t="s">
        <v>3181</v>
      </c>
      <c r="M548" s="157" t="str">
        <f t="shared" si="33"/>
        <v>К04700271</v>
      </c>
      <c r="N548" s="161" t="s">
        <v>3633</v>
      </c>
      <c r="O548" s="4"/>
      <c r="P548" s="1"/>
      <c r="R548" s="170" t="s">
        <v>3740</v>
      </c>
      <c r="S548" s="455" t="s">
        <v>3741</v>
      </c>
      <c r="U548" s="1"/>
      <c r="V548" s="4"/>
      <c r="W548" s="3"/>
    </row>
    <row r="549" spans="1:24" ht="45" x14ac:dyDescent="0.25">
      <c r="A549" s="154">
        <v>419</v>
      </c>
      <c r="B549" s="1"/>
      <c r="C549" s="1"/>
      <c r="D549" s="158">
        <v>675</v>
      </c>
      <c r="E549" s="3" t="s">
        <v>3101</v>
      </c>
      <c r="F549" s="43" t="s">
        <v>3443</v>
      </c>
      <c r="G549" s="2" t="s">
        <v>3102</v>
      </c>
      <c r="H549" s="2" t="s">
        <v>3103</v>
      </c>
      <c r="I549" s="156" t="str">
        <f t="shared" si="34"/>
        <v>2007</v>
      </c>
      <c r="J549" s="156">
        <v>2007</v>
      </c>
      <c r="K549" s="156"/>
      <c r="L549" s="2" t="s">
        <v>3072</v>
      </c>
      <c r="M549" s="157" t="str">
        <f t="shared" si="33"/>
        <v>К08102573</v>
      </c>
      <c r="N549" s="161" t="s">
        <v>3633</v>
      </c>
      <c r="O549" s="4" t="s">
        <v>3100</v>
      </c>
      <c r="P549" s="1"/>
      <c r="T549" s="149" t="s">
        <v>14</v>
      </c>
      <c r="U549" s="149" t="s">
        <v>16</v>
      </c>
      <c r="V549" s="149" t="s">
        <v>17</v>
      </c>
      <c r="W549" s="153" t="s">
        <v>3642</v>
      </c>
      <c r="X549" s="153" t="s">
        <v>746</v>
      </c>
    </row>
    <row r="550" spans="1:24" x14ac:dyDescent="0.25">
      <c r="A550" s="154">
        <v>1369</v>
      </c>
      <c r="B550" s="456" t="s">
        <v>3552</v>
      </c>
      <c r="C550" s="457" t="s">
        <v>3034</v>
      </c>
      <c r="D550" s="158">
        <v>694</v>
      </c>
      <c r="E550" s="3" t="s">
        <v>325</v>
      </c>
      <c r="F550" s="43" t="s">
        <v>1936</v>
      </c>
      <c r="G550" s="2" t="s">
        <v>1094</v>
      </c>
      <c r="H550" s="2">
        <v>2007</v>
      </c>
      <c r="I550" s="156" t="str">
        <f t="shared" si="34"/>
        <v>2007</v>
      </c>
      <c r="J550" s="156">
        <v>2007</v>
      </c>
      <c r="K550" s="156"/>
      <c r="L550" s="2" t="s">
        <v>3198</v>
      </c>
      <c r="M550" s="157" t="str">
        <f t="shared" si="33"/>
        <v>К08102140</v>
      </c>
      <c r="N550" s="161" t="s">
        <v>3633</v>
      </c>
      <c r="O550" s="181" t="s">
        <v>3765</v>
      </c>
      <c r="P550" s="1"/>
      <c r="U550" s="1"/>
      <c r="V550" s="4"/>
      <c r="W550" s="3"/>
    </row>
    <row r="551" spans="1:24" x14ac:dyDescent="0.25">
      <c r="A551" s="158">
        <v>1316</v>
      </c>
      <c r="B551" s="1"/>
      <c r="C551" s="457" t="s">
        <v>3693</v>
      </c>
      <c r="D551" s="158">
        <v>556</v>
      </c>
      <c r="E551" s="709" t="s">
        <v>512</v>
      </c>
      <c r="F551" s="709" t="s">
        <v>350</v>
      </c>
      <c r="G551" s="710" t="s">
        <v>1983</v>
      </c>
      <c r="H551" s="710" t="s">
        <v>90</v>
      </c>
      <c r="I551" s="599" t="str">
        <f t="shared" si="34"/>
        <v>2008</v>
      </c>
      <c r="J551" s="599">
        <v>2008</v>
      </c>
      <c r="K551" s="156"/>
      <c r="L551" s="2" t="s">
        <v>1984</v>
      </c>
      <c r="M551" s="157" t="str">
        <f t="shared" si="33"/>
        <v>К04101991</v>
      </c>
      <c r="N551" s="161" t="s">
        <v>3633</v>
      </c>
      <c r="O551" s="4" t="s">
        <v>1961</v>
      </c>
      <c r="P551" s="1"/>
      <c r="R551" s="295" t="s">
        <v>3971</v>
      </c>
      <c r="S551" s="310">
        <v>40525</v>
      </c>
      <c r="U551" s="1"/>
      <c r="V551" s="4"/>
      <c r="W551" s="3"/>
    </row>
    <row r="552" spans="1:24" x14ac:dyDescent="0.25">
      <c r="A552" s="154">
        <v>635</v>
      </c>
      <c r="B552" s="1"/>
      <c r="C552" s="457" t="s">
        <v>3034</v>
      </c>
      <c r="D552" s="158">
        <v>580</v>
      </c>
      <c r="E552" s="709" t="s">
        <v>1242</v>
      </c>
      <c r="F552" s="709" t="s">
        <v>3433</v>
      </c>
      <c r="G552" s="710" t="s">
        <v>3035</v>
      </c>
      <c r="H552" s="710" t="s">
        <v>90</v>
      </c>
      <c r="I552" s="599" t="str">
        <f t="shared" si="34"/>
        <v>2008</v>
      </c>
      <c r="J552" s="599">
        <v>2008</v>
      </c>
      <c r="K552" s="156"/>
      <c r="L552" s="2" t="s">
        <v>3036</v>
      </c>
      <c r="M552" s="157" t="str">
        <f t="shared" si="33"/>
        <v>К08103091</v>
      </c>
      <c r="N552" s="161" t="s">
        <v>3633</v>
      </c>
      <c r="O552" s="4" t="s">
        <v>3034</v>
      </c>
      <c r="P552" s="1"/>
      <c r="T552" s="162"/>
      <c r="U552" s="167"/>
      <c r="V552" s="168"/>
      <c r="W552" s="3"/>
    </row>
    <row r="553" spans="1:24" x14ac:dyDescent="0.25">
      <c r="A553" s="154">
        <v>537</v>
      </c>
      <c r="B553" s="1"/>
      <c r="C553" s="457" t="s">
        <v>3034</v>
      </c>
      <c r="D553" s="158">
        <v>582</v>
      </c>
      <c r="E553" s="709" t="s">
        <v>1242</v>
      </c>
      <c r="F553" s="709" t="s">
        <v>1243</v>
      </c>
      <c r="G553" s="710" t="s">
        <v>3005</v>
      </c>
      <c r="H553" s="710" t="s">
        <v>90</v>
      </c>
      <c r="I553" s="599" t="str">
        <f t="shared" si="34"/>
        <v>2008</v>
      </c>
      <c r="J553" s="599">
        <v>2008</v>
      </c>
      <c r="K553" s="156"/>
      <c r="L553" s="2" t="s">
        <v>3006</v>
      </c>
      <c r="M553" s="157" t="str">
        <f t="shared" si="33"/>
        <v>К08103090</v>
      </c>
      <c r="N553" s="161" t="s">
        <v>3633</v>
      </c>
      <c r="O553" s="4">
        <v>2</v>
      </c>
      <c r="P553" s="1"/>
      <c r="U553" s="1"/>
      <c r="V553" s="4"/>
      <c r="W553" s="3"/>
    </row>
    <row r="554" spans="1:24" x14ac:dyDescent="0.25">
      <c r="A554" s="158">
        <v>538</v>
      </c>
      <c r="B554" s="1"/>
      <c r="C554" s="457" t="s">
        <v>3034</v>
      </c>
      <c r="D554" s="154">
        <v>583</v>
      </c>
      <c r="E554" s="709" t="s">
        <v>1242</v>
      </c>
      <c r="F554" s="709" t="s">
        <v>1243</v>
      </c>
      <c r="G554" s="710" t="s">
        <v>3048</v>
      </c>
      <c r="H554" s="710" t="s">
        <v>90</v>
      </c>
      <c r="I554" s="599" t="str">
        <f t="shared" si="34"/>
        <v>2008</v>
      </c>
      <c r="J554" s="599">
        <v>2008</v>
      </c>
      <c r="K554" s="156"/>
      <c r="L554" s="2" t="s">
        <v>3049</v>
      </c>
      <c r="M554" s="157" t="str">
        <f t="shared" si="33"/>
        <v>К08103075</v>
      </c>
      <c r="N554" s="161" t="s">
        <v>3633</v>
      </c>
      <c r="O554" s="4" t="s">
        <v>1843</v>
      </c>
      <c r="P554" s="1"/>
      <c r="U554" s="1"/>
      <c r="V554" s="4"/>
      <c r="W554" s="3"/>
    </row>
    <row r="555" spans="1:24" x14ac:dyDescent="0.25">
      <c r="A555" s="158">
        <v>616</v>
      </c>
      <c r="B555" s="1"/>
      <c r="C555" s="457" t="s">
        <v>3034</v>
      </c>
      <c r="D555" s="158">
        <v>585</v>
      </c>
      <c r="E555" s="709" t="s">
        <v>1242</v>
      </c>
      <c r="F555" s="709" t="s">
        <v>1243</v>
      </c>
      <c r="G555" s="710" t="s">
        <v>3075</v>
      </c>
      <c r="H555" s="710" t="s">
        <v>90</v>
      </c>
      <c r="I555" s="599" t="str">
        <f t="shared" si="34"/>
        <v>2008</v>
      </c>
      <c r="J555" s="599">
        <v>2008</v>
      </c>
      <c r="K555" s="156"/>
      <c r="L555" s="2" t="s">
        <v>3076</v>
      </c>
      <c r="M555" s="157" t="str">
        <f t="shared" si="33"/>
        <v>К08102446</v>
      </c>
      <c r="N555" s="161" t="s">
        <v>3633</v>
      </c>
      <c r="O555" s="4" t="s">
        <v>3074</v>
      </c>
      <c r="P555" s="1"/>
      <c r="U555" s="1"/>
      <c r="V555" s="4"/>
      <c r="W555" s="3"/>
    </row>
    <row r="556" spans="1:24" x14ac:dyDescent="0.25">
      <c r="A556" s="154">
        <v>617</v>
      </c>
      <c r="B556" s="1"/>
      <c r="C556" s="457" t="s">
        <v>3034</v>
      </c>
      <c r="D556" s="158">
        <v>587</v>
      </c>
      <c r="E556" s="709" t="s">
        <v>1242</v>
      </c>
      <c r="F556" s="709" t="s">
        <v>3435</v>
      </c>
      <c r="G556" s="710" t="s">
        <v>3146</v>
      </c>
      <c r="H556" s="710" t="s">
        <v>90</v>
      </c>
      <c r="I556" s="599" t="str">
        <f t="shared" si="34"/>
        <v>2008</v>
      </c>
      <c r="J556" s="599">
        <v>2008</v>
      </c>
      <c r="K556" s="156"/>
      <c r="L556" s="2" t="s">
        <v>3147</v>
      </c>
      <c r="M556" s="157" t="str">
        <f t="shared" si="33"/>
        <v>К08106039</v>
      </c>
      <c r="N556" s="161" t="s">
        <v>3633</v>
      </c>
      <c r="O556" s="4" t="s">
        <v>2635</v>
      </c>
      <c r="P556" s="1"/>
      <c r="U556" s="1"/>
      <c r="V556" s="4"/>
      <c r="W556" s="3"/>
    </row>
    <row r="557" spans="1:24" s="162" customFormat="1" x14ac:dyDescent="0.25">
      <c r="A557" s="495">
        <v>636</v>
      </c>
      <c r="B557" s="1"/>
      <c r="C557" s="457" t="s">
        <v>3034</v>
      </c>
      <c r="D557" s="154">
        <v>590</v>
      </c>
      <c r="E557" s="709" t="s">
        <v>1242</v>
      </c>
      <c r="F557" s="709" t="s">
        <v>3435</v>
      </c>
      <c r="G557" s="710" t="s">
        <v>3178</v>
      </c>
      <c r="H557" s="710" t="s">
        <v>90</v>
      </c>
      <c r="I557" s="599" t="str">
        <f t="shared" si="34"/>
        <v>2008</v>
      </c>
      <c r="J557" s="599">
        <v>2008</v>
      </c>
      <c r="K557" s="156"/>
      <c r="L557" s="2" t="s">
        <v>3179</v>
      </c>
      <c r="M557" s="157" t="str">
        <f t="shared" si="33"/>
        <v>К08102581_2</v>
      </c>
      <c r="N557" s="161" t="s">
        <v>3633</v>
      </c>
      <c r="O557" s="4"/>
      <c r="P557" s="1"/>
      <c r="Q557" s="1"/>
      <c r="R557" s="3"/>
      <c r="S557" s="1"/>
      <c r="U557" s="167"/>
      <c r="V557" s="168"/>
    </row>
    <row r="558" spans="1:24" x14ac:dyDescent="0.25">
      <c r="A558" s="158">
        <v>618</v>
      </c>
      <c r="B558" s="1"/>
      <c r="C558" s="1"/>
      <c r="D558" s="158">
        <v>591</v>
      </c>
      <c r="E558" s="596" t="s">
        <v>3039</v>
      </c>
      <c r="F558" s="600" t="s">
        <v>3434</v>
      </c>
      <c r="G558" s="597" t="s">
        <v>3040</v>
      </c>
      <c r="H558" s="598" t="s">
        <v>90</v>
      </c>
      <c r="I558" s="599" t="str">
        <f t="shared" si="34"/>
        <v>2008</v>
      </c>
      <c r="J558" s="599">
        <v>2008</v>
      </c>
      <c r="K558" s="156"/>
      <c r="L558" s="2" t="s">
        <v>3041</v>
      </c>
      <c r="M558" s="157" t="str">
        <f t="shared" si="33"/>
        <v>К01350045</v>
      </c>
      <c r="N558" s="161" t="s">
        <v>3633</v>
      </c>
      <c r="O558" s="4" t="s">
        <v>2122</v>
      </c>
      <c r="P558" s="1"/>
      <c r="U558" s="1"/>
      <c r="V558" s="4"/>
      <c r="W558" s="3"/>
    </row>
    <row r="559" spans="1:24" x14ac:dyDescent="0.25">
      <c r="A559" s="154">
        <v>637</v>
      </c>
      <c r="B559" s="1"/>
      <c r="C559" s="1"/>
      <c r="D559" s="158">
        <v>592</v>
      </c>
      <c r="E559" s="596" t="s">
        <v>2331</v>
      </c>
      <c r="F559" s="596" t="s">
        <v>1985</v>
      </c>
      <c r="G559" s="597" t="s">
        <v>1986</v>
      </c>
      <c r="H559" s="598" t="s">
        <v>90</v>
      </c>
      <c r="I559" s="599" t="str">
        <f t="shared" si="34"/>
        <v>2008</v>
      </c>
      <c r="J559" s="599">
        <v>2008</v>
      </c>
      <c r="K559" s="156"/>
      <c r="L559" s="2" t="s">
        <v>1987</v>
      </c>
      <c r="M559" s="157" t="str">
        <f t="shared" si="33"/>
        <v>К01350046</v>
      </c>
      <c r="N559" s="161" t="s">
        <v>3633</v>
      </c>
      <c r="O559" s="4" t="s">
        <v>1961</v>
      </c>
      <c r="P559" s="1"/>
      <c r="U559" s="1"/>
      <c r="V559" s="4"/>
      <c r="W559" s="3"/>
    </row>
    <row r="560" spans="1:24" x14ac:dyDescent="0.25">
      <c r="A560" s="158">
        <v>638</v>
      </c>
      <c r="B560" s="456" t="s">
        <v>3552</v>
      </c>
      <c r="C560" s="457" t="s">
        <v>3693</v>
      </c>
      <c r="D560" s="154">
        <v>600</v>
      </c>
      <c r="E560" s="711" t="s">
        <v>444</v>
      </c>
      <c r="F560" s="711" t="s">
        <v>445</v>
      </c>
      <c r="G560" s="712" t="s">
        <v>3182</v>
      </c>
      <c r="H560" s="497" t="s">
        <v>90</v>
      </c>
      <c r="I560" s="156" t="str">
        <f t="shared" si="34"/>
        <v>2008</v>
      </c>
      <c r="J560" s="156">
        <v>2008</v>
      </c>
      <c r="K560" s="156"/>
      <c r="L560" s="2" t="s">
        <v>3183</v>
      </c>
      <c r="M560" s="157" t="str">
        <f t="shared" si="33"/>
        <v>К08103080_2</v>
      </c>
      <c r="N560" s="161" t="s">
        <v>3633</v>
      </c>
      <c r="O560" s="4"/>
      <c r="P560" s="1"/>
      <c r="R560" s="170" t="s">
        <v>3740</v>
      </c>
      <c r="S560" s="455" t="s">
        <v>3741</v>
      </c>
      <c r="U560" s="1"/>
      <c r="V560" s="4"/>
      <c r="W560" s="3"/>
    </row>
    <row r="561" spans="1:23" x14ac:dyDescent="0.25">
      <c r="A561" s="154">
        <v>639</v>
      </c>
      <c r="B561" s="1"/>
      <c r="C561" s="457" t="s">
        <v>3034</v>
      </c>
      <c r="D561" s="158">
        <v>605</v>
      </c>
      <c r="E561" s="3" t="s">
        <v>880</v>
      </c>
      <c r="F561" s="43" t="s">
        <v>2980</v>
      </c>
      <c r="G561" s="2" t="s">
        <v>1400</v>
      </c>
      <c r="H561" s="2" t="s">
        <v>90</v>
      </c>
      <c r="I561" s="156" t="str">
        <f t="shared" ref="I561:I592" si="35">RIGHT(H561,4)</f>
        <v>2008</v>
      </c>
      <c r="J561" s="156"/>
      <c r="K561" s="156"/>
      <c r="L561" s="2" t="s">
        <v>3187</v>
      </c>
      <c r="M561" s="157" t="str">
        <f t="shared" ref="M561:M624" si="36">CONCATENATE("К",L561)</f>
        <v>К08102681_2</v>
      </c>
      <c r="N561" s="161" t="s">
        <v>3633</v>
      </c>
      <c r="O561" s="4"/>
      <c r="P561" s="1"/>
      <c r="U561" s="1"/>
      <c r="V561" s="4"/>
      <c r="W561" s="3"/>
    </row>
    <row r="562" spans="1:23" x14ac:dyDescent="0.25">
      <c r="A562" s="158">
        <v>514</v>
      </c>
      <c r="B562" s="1"/>
      <c r="C562" s="457" t="s">
        <v>3034</v>
      </c>
      <c r="D562" s="154">
        <v>635</v>
      </c>
      <c r="E562" s="3" t="s">
        <v>24</v>
      </c>
      <c r="F562" s="3" t="s">
        <v>1084</v>
      </c>
      <c r="G562" s="2"/>
      <c r="H562" s="2" t="s">
        <v>90</v>
      </c>
      <c r="I562" s="156" t="str">
        <f t="shared" si="35"/>
        <v>2008</v>
      </c>
      <c r="J562" s="156"/>
      <c r="K562" s="156"/>
      <c r="L562" s="2" t="s">
        <v>1417</v>
      </c>
      <c r="M562" s="157" t="str">
        <f t="shared" si="36"/>
        <v>К08102650</v>
      </c>
      <c r="N562" s="161" t="s">
        <v>3633</v>
      </c>
      <c r="O562" s="4" t="s">
        <v>1181</v>
      </c>
      <c r="P562" s="1"/>
      <c r="U562" s="1"/>
      <c r="V562" s="4"/>
      <c r="W562" s="3"/>
    </row>
    <row r="563" spans="1:23" x14ac:dyDescent="0.25">
      <c r="A563" s="158">
        <v>640</v>
      </c>
      <c r="B563" s="1"/>
      <c r="C563" s="457" t="s">
        <v>3034</v>
      </c>
      <c r="D563" s="154">
        <v>651</v>
      </c>
      <c r="E563" s="3" t="s">
        <v>24</v>
      </c>
      <c r="F563" s="3" t="s">
        <v>1084</v>
      </c>
      <c r="G563" s="2" t="s">
        <v>3158</v>
      </c>
      <c r="H563" s="2" t="s">
        <v>90</v>
      </c>
      <c r="I563" s="156" t="str">
        <f t="shared" si="35"/>
        <v>2008</v>
      </c>
      <c r="J563" s="156"/>
      <c r="K563" s="156"/>
      <c r="L563" s="2" t="s">
        <v>3159</v>
      </c>
      <c r="M563" s="157" t="str">
        <f t="shared" si="36"/>
        <v>К08102274</v>
      </c>
      <c r="N563" s="161" t="s">
        <v>3633</v>
      </c>
      <c r="O563" s="4" t="s">
        <v>3160</v>
      </c>
      <c r="P563" s="1"/>
      <c r="U563" s="1"/>
      <c r="V563" s="4"/>
      <c r="W563" s="3"/>
    </row>
    <row r="564" spans="1:23" x14ac:dyDescent="0.25">
      <c r="A564" s="158">
        <v>546</v>
      </c>
      <c r="B564" s="1"/>
      <c r="C564" s="457" t="s">
        <v>3034</v>
      </c>
      <c r="D564" s="154">
        <v>667</v>
      </c>
      <c r="E564" s="170" t="s">
        <v>499</v>
      </c>
      <c r="F564" s="499" t="s">
        <v>3463</v>
      </c>
      <c r="G564" s="2" t="s">
        <v>2023</v>
      </c>
      <c r="H564" s="2" t="s">
        <v>90</v>
      </c>
      <c r="I564" s="156" t="str">
        <f t="shared" si="35"/>
        <v>2008</v>
      </c>
      <c r="J564" s="156">
        <v>2008</v>
      </c>
      <c r="K564" s="156"/>
      <c r="L564" s="2">
        <v>8102418</v>
      </c>
      <c r="M564" s="157" t="str">
        <f t="shared" si="36"/>
        <v>К8102418</v>
      </c>
      <c r="N564" s="161" t="s">
        <v>3633</v>
      </c>
      <c r="O564" s="4" t="s">
        <v>766</v>
      </c>
      <c r="P564" s="1"/>
      <c r="U564" s="1"/>
      <c r="V564" s="4"/>
      <c r="W564" s="3"/>
    </row>
    <row r="565" spans="1:23" x14ac:dyDescent="0.25">
      <c r="A565" s="158">
        <v>554</v>
      </c>
      <c r="B565" s="1"/>
      <c r="C565" s="457" t="s">
        <v>3034</v>
      </c>
      <c r="D565" s="154">
        <v>670</v>
      </c>
      <c r="E565" s="3" t="s">
        <v>884</v>
      </c>
      <c r="F565" s="43" t="s">
        <v>885</v>
      </c>
      <c r="G565" s="2" t="s">
        <v>2019</v>
      </c>
      <c r="H565" s="2" t="s">
        <v>2020</v>
      </c>
      <c r="I565" s="156" t="str">
        <f t="shared" si="35"/>
        <v>2008</v>
      </c>
      <c r="J565" s="156"/>
      <c r="K565" s="156"/>
      <c r="L565" s="2"/>
      <c r="M565" s="157" t="str">
        <f t="shared" si="36"/>
        <v>К</v>
      </c>
      <c r="N565" s="161" t="s">
        <v>3633</v>
      </c>
      <c r="O565" s="4" t="s">
        <v>766</v>
      </c>
      <c r="P565" s="1"/>
      <c r="U565" s="1"/>
      <c r="V565" s="4"/>
      <c r="W565" s="3"/>
    </row>
    <row r="566" spans="1:23" x14ac:dyDescent="0.25">
      <c r="A566" s="158">
        <v>600</v>
      </c>
      <c r="B566" s="1"/>
      <c r="C566" s="1"/>
      <c r="D566" s="154">
        <v>695</v>
      </c>
      <c r="E566" s="3" t="s">
        <v>3104</v>
      </c>
      <c r="F566" s="43" t="s">
        <v>3444</v>
      </c>
      <c r="G566" s="2" t="s">
        <v>3105</v>
      </c>
      <c r="H566" s="2" t="s">
        <v>90</v>
      </c>
      <c r="I566" s="156" t="str">
        <f t="shared" si="35"/>
        <v>2008</v>
      </c>
      <c r="J566" s="156"/>
      <c r="K566" s="156"/>
      <c r="L566" s="2" t="s">
        <v>3106</v>
      </c>
      <c r="M566" s="157" t="str">
        <f t="shared" si="36"/>
        <v>К08102445</v>
      </c>
      <c r="N566" s="161" t="s">
        <v>3633</v>
      </c>
      <c r="O566" s="4" t="s">
        <v>3100</v>
      </c>
      <c r="P566" s="1"/>
      <c r="U566" s="1"/>
      <c r="V566" s="4"/>
      <c r="W566" s="3"/>
    </row>
    <row r="567" spans="1:23" x14ac:dyDescent="0.25">
      <c r="A567" s="158">
        <v>630</v>
      </c>
      <c r="B567" s="1"/>
      <c r="C567" s="1"/>
      <c r="D567" s="158">
        <v>697</v>
      </c>
      <c r="E567" s="3"/>
      <c r="F567" s="43" t="s">
        <v>3445</v>
      </c>
      <c r="G567" s="2" t="s">
        <v>3107</v>
      </c>
      <c r="H567" s="2" t="s">
        <v>90</v>
      </c>
      <c r="I567" s="156" t="str">
        <f t="shared" si="35"/>
        <v>2008</v>
      </c>
      <c r="J567" s="156"/>
      <c r="K567" s="156"/>
      <c r="L567" s="2" t="s">
        <v>3106</v>
      </c>
      <c r="M567" s="157" t="str">
        <f t="shared" si="36"/>
        <v>К08102445</v>
      </c>
      <c r="N567" s="161" t="s">
        <v>3633</v>
      </c>
      <c r="O567" s="4" t="s">
        <v>3100</v>
      </c>
      <c r="P567" s="1"/>
      <c r="U567" s="1"/>
      <c r="V567" s="4"/>
      <c r="W567" s="3"/>
    </row>
    <row r="568" spans="1:23" x14ac:dyDescent="0.25">
      <c r="A568" s="154">
        <v>631</v>
      </c>
      <c r="B568" s="456" t="s">
        <v>3552</v>
      </c>
      <c r="C568" s="457" t="s">
        <v>3693</v>
      </c>
      <c r="D568" s="154">
        <v>565</v>
      </c>
      <c r="E568" s="3" t="s">
        <v>370</v>
      </c>
      <c r="F568" s="3" t="s">
        <v>459</v>
      </c>
      <c r="G568" s="469" t="s">
        <v>4941</v>
      </c>
      <c r="H568" s="469" t="s">
        <v>79</v>
      </c>
      <c r="I568" s="156" t="str">
        <f t="shared" si="35"/>
        <v>2009</v>
      </c>
      <c r="J568" s="156">
        <v>2009</v>
      </c>
      <c r="K568" s="156"/>
      <c r="L568" s="2"/>
      <c r="M568" s="157" t="str">
        <f t="shared" si="36"/>
        <v>К</v>
      </c>
      <c r="N568" s="161" t="s">
        <v>3633</v>
      </c>
      <c r="O568" s="4" t="s">
        <v>515</v>
      </c>
      <c r="P568" s="1"/>
      <c r="U568" s="1"/>
      <c r="V568" s="4"/>
      <c r="W568" s="3"/>
    </row>
    <row r="569" spans="1:23" x14ac:dyDescent="0.25">
      <c r="A569" s="154">
        <v>601</v>
      </c>
      <c r="B569" s="1"/>
      <c r="C569" s="1"/>
      <c r="D569" s="154">
        <v>567</v>
      </c>
      <c r="E569" s="3" t="s">
        <v>3140</v>
      </c>
      <c r="F569" s="43" t="s">
        <v>3451</v>
      </c>
      <c r="G569" s="2"/>
      <c r="H569" s="589" t="s">
        <v>79</v>
      </c>
      <c r="I569" s="156" t="str">
        <f t="shared" si="35"/>
        <v>2009</v>
      </c>
      <c r="J569" s="156"/>
      <c r="K569" s="156"/>
      <c r="L569" s="2" t="s">
        <v>3141</v>
      </c>
      <c r="M569" s="157" t="str">
        <f t="shared" si="36"/>
        <v>К08102089</v>
      </c>
      <c r="N569" s="161" t="s">
        <v>3633</v>
      </c>
      <c r="O569" s="4" t="s">
        <v>2635</v>
      </c>
      <c r="P569" s="1"/>
      <c r="U569" s="1"/>
      <c r="V569" s="4"/>
      <c r="W569" s="3"/>
    </row>
    <row r="570" spans="1:23" x14ac:dyDescent="0.25">
      <c r="A570" s="158">
        <v>602</v>
      </c>
      <c r="B570" s="167"/>
      <c r="C570" s="167"/>
      <c r="D570" s="158">
        <v>683</v>
      </c>
      <c r="E570" s="162" t="s">
        <v>3769</v>
      </c>
      <c r="F570" s="162" t="s">
        <v>3458</v>
      </c>
      <c r="G570" s="449" t="s">
        <v>3193</v>
      </c>
      <c r="H570" s="449" t="s">
        <v>79</v>
      </c>
      <c r="I570" s="495" t="str">
        <f t="shared" si="35"/>
        <v>2009</v>
      </c>
      <c r="J570" s="495">
        <v>2009</v>
      </c>
      <c r="K570" s="495"/>
      <c r="L570" s="449" t="s">
        <v>3194</v>
      </c>
      <c r="M570" s="496" t="str">
        <f t="shared" si="36"/>
        <v>К08102655</v>
      </c>
      <c r="N570" s="162" t="s">
        <v>3633</v>
      </c>
      <c r="O570" s="168"/>
      <c r="P570" s="167"/>
      <c r="Q570" s="167"/>
      <c r="R570" s="162"/>
      <c r="S570" s="167"/>
      <c r="U570" s="1"/>
      <c r="V570" s="4"/>
      <c r="W570" s="3"/>
    </row>
    <row r="571" spans="1:23" x14ac:dyDescent="0.25">
      <c r="A571" s="154">
        <v>857</v>
      </c>
      <c r="B571" s="136" t="s">
        <v>3638</v>
      </c>
      <c r="C571" s="457" t="s">
        <v>3693</v>
      </c>
      <c r="D571" s="154">
        <v>544</v>
      </c>
      <c r="E571" s="162" t="s">
        <v>2112</v>
      </c>
      <c r="F571" s="162" t="s">
        <v>3436</v>
      </c>
      <c r="G571" s="449" t="s">
        <v>3054</v>
      </c>
      <c r="H571" s="449" t="s">
        <v>47</v>
      </c>
      <c r="I571" s="495" t="str">
        <f t="shared" si="35"/>
        <v>2010</v>
      </c>
      <c r="J571" s="495">
        <v>2010</v>
      </c>
      <c r="K571" s="156"/>
      <c r="L571" s="2" t="s">
        <v>3055</v>
      </c>
      <c r="M571" s="157" t="str">
        <f t="shared" si="36"/>
        <v>К08103085</v>
      </c>
      <c r="N571" s="161" t="s">
        <v>3633</v>
      </c>
      <c r="O571" s="4" t="s">
        <v>1847</v>
      </c>
      <c r="P571" s="1"/>
      <c r="W571" s="3"/>
    </row>
    <row r="572" spans="1:23" x14ac:dyDescent="0.25">
      <c r="A572" s="158">
        <v>506</v>
      </c>
      <c r="B572" s="1"/>
      <c r="C572" s="1"/>
      <c r="D572" s="154">
        <v>593</v>
      </c>
      <c r="E572" s="485" t="s">
        <v>2331</v>
      </c>
      <c r="F572" s="3" t="s">
        <v>1967</v>
      </c>
      <c r="G572" s="2" t="s">
        <v>1972</v>
      </c>
      <c r="H572" s="2" t="s">
        <v>283</v>
      </c>
      <c r="I572" s="156" t="str">
        <f t="shared" si="35"/>
        <v>2011</v>
      </c>
      <c r="J572" s="156"/>
      <c r="K572" s="156"/>
      <c r="L572" s="2" t="s">
        <v>1973</v>
      </c>
      <c r="M572" s="157" t="str">
        <f t="shared" si="36"/>
        <v>К08103094</v>
      </c>
      <c r="N572" s="161" t="s">
        <v>3633</v>
      </c>
      <c r="O572" s="4" t="s">
        <v>1961</v>
      </c>
      <c r="P572" s="1"/>
      <c r="U572" s="1"/>
      <c r="V572" s="4"/>
      <c r="W572" s="3"/>
    </row>
    <row r="573" spans="1:23" ht="30" x14ac:dyDescent="0.25">
      <c r="A573" s="154">
        <v>619</v>
      </c>
      <c r="B573" s="1"/>
      <c r="C573" s="1"/>
      <c r="D573" s="158">
        <v>594</v>
      </c>
      <c r="E573" s="485" t="s">
        <v>2331</v>
      </c>
      <c r="F573" s="468" t="s">
        <v>2366</v>
      </c>
      <c r="G573" s="2" t="s">
        <v>1974</v>
      </c>
      <c r="H573" s="2" t="s">
        <v>283</v>
      </c>
      <c r="I573" s="156" t="str">
        <f t="shared" si="35"/>
        <v>2011</v>
      </c>
      <c r="J573" s="156">
        <v>2011</v>
      </c>
      <c r="K573" s="156"/>
      <c r="L573" s="2" t="s">
        <v>1975</v>
      </c>
      <c r="M573" s="157" t="str">
        <f t="shared" si="36"/>
        <v>К08104232</v>
      </c>
      <c r="N573" s="161" t="s">
        <v>3633</v>
      </c>
      <c r="O573" s="4" t="s">
        <v>1961</v>
      </c>
      <c r="P573" s="1"/>
      <c r="U573" s="1"/>
      <c r="V573" s="4"/>
      <c r="W573" s="3"/>
    </row>
    <row r="574" spans="1:23" x14ac:dyDescent="0.25">
      <c r="A574" s="154">
        <v>603</v>
      </c>
      <c r="B574" s="1"/>
      <c r="C574" s="452" t="s">
        <v>3696</v>
      </c>
      <c r="D574" s="154">
        <v>597</v>
      </c>
      <c r="E574" s="485" t="s">
        <v>2331</v>
      </c>
      <c r="F574" s="43" t="s">
        <v>3457</v>
      </c>
      <c r="G574" s="2" t="s">
        <v>3191</v>
      </c>
      <c r="H574" s="2" t="s">
        <v>283</v>
      </c>
      <c r="I574" s="156" t="str">
        <f t="shared" si="35"/>
        <v>2011</v>
      </c>
      <c r="J574" s="156">
        <v>2011</v>
      </c>
      <c r="K574" s="156"/>
      <c r="L574" s="2" t="s">
        <v>3192</v>
      </c>
      <c r="M574" s="157" t="str">
        <f t="shared" si="36"/>
        <v>К08103094_2</v>
      </c>
      <c r="N574" s="161" t="s">
        <v>3633</v>
      </c>
      <c r="O574" s="4" t="s">
        <v>1961</v>
      </c>
      <c r="P574" s="1"/>
      <c r="U574" s="1"/>
      <c r="V574" s="4"/>
      <c r="W574" s="3"/>
    </row>
    <row r="575" spans="1:23" x14ac:dyDescent="0.25">
      <c r="A575" s="158">
        <v>522</v>
      </c>
      <c r="B575" s="1"/>
      <c r="C575" s="1"/>
      <c r="D575" s="158">
        <v>598</v>
      </c>
      <c r="E575" s="485" t="s">
        <v>3699</v>
      </c>
      <c r="F575" s="468" t="s">
        <v>2368</v>
      </c>
      <c r="G575" s="2" t="s">
        <v>1976</v>
      </c>
      <c r="H575" s="2" t="s">
        <v>283</v>
      </c>
      <c r="I575" s="156" t="str">
        <f t="shared" si="35"/>
        <v>2011</v>
      </c>
      <c r="J575" s="156"/>
      <c r="K575" s="156"/>
      <c r="L575" s="2"/>
      <c r="M575" s="157" t="str">
        <f t="shared" si="36"/>
        <v>К</v>
      </c>
      <c r="N575" s="161" t="s">
        <v>3633</v>
      </c>
      <c r="O575" s="4" t="s">
        <v>1961</v>
      </c>
      <c r="P575" s="1"/>
      <c r="U575" s="1"/>
      <c r="V575" s="4"/>
      <c r="W575" s="3"/>
    </row>
    <row r="576" spans="1:23" x14ac:dyDescent="0.25">
      <c r="A576" s="154">
        <v>557</v>
      </c>
      <c r="B576" s="153" t="s">
        <v>3552</v>
      </c>
      <c r="C576" s="481" t="s">
        <v>3693</v>
      </c>
      <c r="D576" s="154">
        <v>602</v>
      </c>
      <c r="E576" s="711" t="s">
        <v>2965</v>
      </c>
      <c r="F576" s="711" t="s">
        <v>648</v>
      </c>
      <c r="G576" s="712" t="s">
        <v>3186</v>
      </c>
      <c r="H576" s="712" t="s">
        <v>283</v>
      </c>
      <c r="I576" s="156" t="str">
        <f t="shared" si="35"/>
        <v>2011</v>
      </c>
      <c r="J576" s="156">
        <v>2011</v>
      </c>
      <c r="K576" s="156"/>
      <c r="L576" s="2" t="s">
        <v>1975</v>
      </c>
      <c r="M576" s="157" t="str">
        <f t="shared" si="36"/>
        <v>К08104232</v>
      </c>
      <c r="N576" s="161" t="s">
        <v>3633</v>
      </c>
      <c r="O576" s="181" t="s">
        <v>3767</v>
      </c>
      <c r="P576" s="1"/>
      <c r="R576" s="170" t="s">
        <v>3766</v>
      </c>
      <c r="S576" s="455" t="s">
        <v>3768</v>
      </c>
      <c r="U576" s="1"/>
      <c r="V576" s="4"/>
      <c r="W576" s="3"/>
    </row>
    <row r="577" spans="1:24" x14ac:dyDescent="0.25">
      <c r="A577" s="154">
        <v>611</v>
      </c>
      <c r="B577" s="1"/>
      <c r="C577" s="457" t="s">
        <v>3034</v>
      </c>
      <c r="D577" s="158">
        <v>606</v>
      </c>
      <c r="E577" s="3" t="s">
        <v>24</v>
      </c>
      <c r="F577" s="3" t="s">
        <v>104</v>
      </c>
      <c r="G577" s="2" t="s">
        <v>3003</v>
      </c>
      <c r="H577" s="2" t="s">
        <v>283</v>
      </c>
      <c r="I577" s="156" t="str">
        <f t="shared" si="35"/>
        <v>2011</v>
      </c>
      <c r="J577" s="156"/>
      <c r="K577" s="156"/>
      <c r="L577" s="2" t="s">
        <v>3004</v>
      </c>
      <c r="M577" s="157" t="str">
        <f t="shared" si="36"/>
        <v>К08102962</v>
      </c>
      <c r="N577" s="161" t="s">
        <v>3633</v>
      </c>
      <c r="O577" s="4">
        <v>1</v>
      </c>
      <c r="P577" s="1"/>
      <c r="U577" s="1"/>
      <c r="V577" s="4"/>
      <c r="W577" s="3"/>
    </row>
    <row r="578" spans="1:24" x14ac:dyDescent="0.25">
      <c r="A578" s="158">
        <v>604</v>
      </c>
      <c r="B578" s="1"/>
      <c r="C578" s="457" t="s">
        <v>3034</v>
      </c>
      <c r="D578" s="154">
        <v>609</v>
      </c>
      <c r="E578" s="3" t="s">
        <v>24</v>
      </c>
      <c r="F578" s="3" t="s">
        <v>104</v>
      </c>
      <c r="G578" s="2" t="s">
        <v>3064</v>
      </c>
      <c r="H578" s="2" t="s">
        <v>283</v>
      </c>
      <c r="I578" s="156" t="str">
        <f t="shared" si="35"/>
        <v>2011</v>
      </c>
      <c r="J578" s="156"/>
      <c r="K578" s="156"/>
      <c r="L578" s="2" t="s">
        <v>3065</v>
      </c>
      <c r="M578" s="157" t="str">
        <f t="shared" si="36"/>
        <v>К08102960</v>
      </c>
      <c r="N578" s="161" t="s">
        <v>3633</v>
      </c>
      <c r="O578" s="4" t="s">
        <v>1847</v>
      </c>
      <c r="P578" s="1"/>
      <c r="U578" s="1"/>
      <c r="V578" s="4"/>
      <c r="W578" s="3"/>
    </row>
    <row r="579" spans="1:24" x14ac:dyDescent="0.25">
      <c r="A579" s="154">
        <v>539</v>
      </c>
      <c r="B579" s="1"/>
      <c r="C579" s="457" t="s">
        <v>3034</v>
      </c>
      <c r="D579" s="154">
        <v>611</v>
      </c>
      <c r="E579" s="3" t="s">
        <v>24</v>
      </c>
      <c r="F579" s="3" t="s">
        <v>104</v>
      </c>
      <c r="G579" s="2" t="s">
        <v>3085</v>
      </c>
      <c r="H579" s="2" t="s">
        <v>283</v>
      </c>
      <c r="I579" s="156" t="str">
        <f t="shared" si="35"/>
        <v>2011</v>
      </c>
      <c r="J579" s="156"/>
      <c r="K579" s="156"/>
      <c r="L579" s="2" t="s">
        <v>3086</v>
      </c>
      <c r="M579" s="157" t="str">
        <f t="shared" si="36"/>
        <v>К08102961</v>
      </c>
      <c r="N579" s="161" t="s">
        <v>3633</v>
      </c>
      <c r="O579" s="4" t="s">
        <v>3082</v>
      </c>
      <c r="P579" s="1"/>
      <c r="U579" s="1"/>
      <c r="V579" s="4"/>
      <c r="W579" s="3"/>
    </row>
    <row r="580" spans="1:24" x14ac:dyDescent="0.25">
      <c r="A580" s="154">
        <v>523</v>
      </c>
      <c r="B580" s="1"/>
      <c r="C580" s="457" t="s">
        <v>3693</v>
      </c>
      <c r="D580" s="154">
        <v>681</v>
      </c>
      <c r="E580" s="459" t="s">
        <v>3472</v>
      </c>
      <c r="F580" s="459" t="s">
        <v>3438</v>
      </c>
      <c r="G580" s="2" t="s">
        <v>3068</v>
      </c>
      <c r="H580" s="2" t="s">
        <v>283</v>
      </c>
      <c r="I580" s="156" t="str">
        <f t="shared" si="35"/>
        <v>2011</v>
      </c>
      <c r="J580" s="156"/>
      <c r="K580" s="156"/>
      <c r="L580" s="2" t="s">
        <v>3069</v>
      </c>
      <c r="M580" s="157" t="str">
        <f t="shared" si="36"/>
        <v>К08103929</v>
      </c>
      <c r="N580" s="161" t="s">
        <v>3633</v>
      </c>
      <c r="O580" s="4" t="s">
        <v>1847</v>
      </c>
      <c r="P580" s="1"/>
      <c r="U580" s="1"/>
      <c r="V580" s="4"/>
      <c r="W580" s="3"/>
    </row>
    <row r="581" spans="1:24" x14ac:dyDescent="0.25">
      <c r="A581" s="154">
        <v>605</v>
      </c>
      <c r="B581" s="1"/>
      <c r="C581" s="1"/>
      <c r="D581" s="158">
        <v>549</v>
      </c>
      <c r="E581" s="3" t="s">
        <v>3056</v>
      </c>
      <c r="F581" s="3" t="s">
        <v>3057</v>
      </c>
      <c r="G581" s="2" t="s">
        <v>3134</v>
      </c>
      <c r="H581" s="589" t="s">
        <v>159</v>
      </c>
      <c r="I581" s="156" t="str">
        <f t="shared" si="35"/>
        <v>2012</v>
      </c>
      <c r="J581" s="156"/>
      <c r="K581" s="156"/>
      <c r="L581" s="2" t="s">
        <v>3135</v>
      </c>
      <c r="M581" s="157" t="str">
        <f t="shared" si="36"/>
        <v>К08104030</v>
      </c>
      <c r="N581" s="161" t="s">
        <v>3633</v>
      </c>
      <c r="O581" s="4" t="s">
        <v>2635</v>
      </c>
      <c r="P581" s="1"/>
      <c r="Q581" s="3"/>
      <c r="S581" s="3"/>
      <c r="U581" s="1"/>
      <c r="V581" s="4"/>
      <c r="W581" s="3"/>
    </row>
    <row r="582" spans="1:24" x14ac:dyDescent="0.25">
      <c r="A582" s="154">
        <v>641</v>
      </c>
      <c r="B582" s="1"/>
      <c r="C582" s="1"/>
      <c r="D582" s="154">
        <v>553</v>
      </c>
      <c r="E582" s="3" t="s">
        <v>2974</v>
      </c>
      <c r="F582" s="43" t="s">
        <v>2986</v>
      </c>
      <c r="G582" s="2">
        <v>149</v>
      </c>
      <c r="H582" s="2">
        <v>2012</v>
      </c>
      <c r="I582" s="156" t="str">
        <f t="shared" si="35"/>
        <v>2012</v>
      </c>
      <c r="J582" s="156"/>
      <c r="K582" s="156"/>
      <c r="L582" s="2">
        <v>8104250</v>
      </c>
      <c r="M582" s="157" t="str">
        <f t="shared" si="36"/>
        <v>К8104250</v>
      </c>
      <c r="N582" s="161" t="s">
        <v>3633</v>
      </c>
      <c r="O582" s="4"/>
      <c r="P582" s="1"/>
      <c r="Q582" s="3"/>
      <c r="S582" s="3"/>
      <c r="U582" s="1"/>
      <c r="V582" s="4"/>
      <c r="W582" s="3"/>
    </row>
    <row r="583" spans="1:24" x14ac:dyDescent="0.25">
      <c r="A583" s="158">
        <v>642</v>
      </c>
      <c r="B583" s="1"/>
      <c r="C583" s="1"/>
      <c r="D583" s="158">
        <v>554</v>
      </c>
      <c r="E583" s="3" t="s">
        <v>1266</v>
      </c>
      <c r="F583" s="43" t="s">
        <v>3454</v>
      </c>
      <c r="G583" s="2" t="s">
        <v>3165</v>
      </c>
      <c r="H583" s="2">
        <v>2012</v>
      </c>
      <c r="I583" s="156" t="str">
        <f t="shared" si="35"/>
        <v>2012</v>
      </c>
      <c r="J583" s="156"/>
      <c r="K583" s="156"/>
      <c r="L583" s="2" t="s">
        <v>3166</v>
      </c>
      <c r="M583" s="157" t="str">
        <f t="shared" si="36"/>
        <v>К08104183</v>
      </c>
      <c r="N583" s="161" t="s">
        <v>3633</v>
      </c>
      <c r="O583" s="4"/>
      <c r="P583" s="1"/>
      <c r="Q583" s="3"/>
      <c r="S583" s="3"/>
      <c r="U583" s="1"/>
      <c r="V583" s="4"/>
      <c r="W583" s="3"/>
    </row>
    <row r="584" spans="1:24" x14ac:dyDescent="0.25">
      <c r="A584" s="158">
        <v>572</v>
      </c>
      <c r="B584" s="136"/>
      <c r="C584" s="136"/>
      <c r="D584" s="154">
        <v>555</v>
      </c>
      <c r="E584" s="3" t="s">
        <v>3167</v>
      </c>
      <c r="F584" s="3" t="s">
        <v>3168</v>
      </c>
      <c r="G584" s="2" t="s">
        <v>1313</v>
      </c>
      <c r="H584" s="2" t="s">
        <v>159</v>
      </c>
      <c r="I584" s="156" t="str">
        <f t="shared" si="35"/>
        <v>2012</v>
      </c>
      <c r="J584" s="156"/>
      <c r="K584" s="156"/>
      <c r="L584" s="2" t="s">
        <v>3169</v>
      </c>
      <c r="M584" s="157" t="str">
        <f t="shared" si="36"/>
        <v>К08104198</v>
      </c>
      <c r="N584" s="161" t="s">
        <v>3633</v>
      </c>
      <c r="O584" s="4"/>
      <c r="P584" s="1"/>
      <c r="Q584" s="3"/>
      <c r="S584" s="3"/>
      <c r="U584" s="1"/>
      <c r="V584" s="4"/>
      <c r="W584" s="3"/>
    </row>
    <row r="585" spans="1:24" x14ac:dyDescent="0.25">
      <c r="A585" s="154">
        <v>573</v>
      </c>
      <c r="B585" s="1"/>
      <c r="C585" s="457" t="s">
        <v>3034</v>
      </c>
      <c r="D585" s="158">
        <v>557</v>
      </c>
      <c r="E585" s="3" t="s">
        <v>352</v>
      </c>
      <c r="F585" s="43" t="s">
        <v>3455</v>
      </c>
      <c r="G585" s="2" t="s">
        <v>3170</v>
      </c>
      <c r="H585" s="2" t="s">
        <v>159</v>
      </c>
      <c r="I585" s="156" t="str">
        <f t="shared" si="35"/>
        <v>2012</v>
      </c>
      <c r="J585" s="156">
        <v>2012</v>
      </c>
      <c r="K585" s="156"/>
      <c r="L585" s="2" t="s">
        <v>3171</v>
      </c>
      <c r="M585" s="157" t="str">
        <f t="shared" si="36"/>
        <v>К08104188</v>
      </c>
      <c r="N585" s="161" t="s">
        <v>3633</v>
      </c>
      <c r="O585" s="4"/>
      <c r="P585" s="1"/>
      <c r="U585" s="1"/>
      <c r="V585" s="4"/>
      <c r="W585" s="175"/>
      <c r="X585" s="175"/>
    </row>
    <row r="586" spans="1:24" x14ac:dyDescent="0.25">
      <c r="A586" s="158">
        <v>516</v>
      </c>
      <c r="B586" s="1"/>
      <c r="C586" s="457" t="s">
        <v>3034</v>
      </c>
      <c r="D586" s="158">
        <v>584</v>
      </c>
      <c r="E586" s="709" t="s">
        <v>1242</v>
      </c>
      <c r="F586" s="709" t="s">
        <v>3435</v>
      </c>
      <c r="G586" s="710" t="s">
        <v>3050</v>
      </c>
      <c r="H586" s="710" t="s">
        <v>159</v>
      </c>
      <c r="I586" s="713" t="str">
        <f t="shared" si="35"/>
        <v>2012</v>
      </c>
      <c r="J586" s="156">
        <v>2012</v>
      </c>
      <c r="K586" s="156"/>
      <c r="L586" s="2" t="s">
        <v>3051</v>
      </c>
      <c r="M586" s="157" t="str">
        <f t="shared" si="36"/>
        <v>К711012400057</v>
      </c>
      <c r="N586" s="161" t="s">
        <v>3633</v>
      </c>
      <c r="O586" s="4" t="s">
        <v>1843</v>
      </c>
      <c r="P586" s="1"/>
      <c r="U586" s="1"/>
      <c r="V586" s="4"/>
      <c r="W586" s="3"/>
    </row>
    <row r="587" spans="1:24" x14ac:dyDescent="0.25">
      <c r="A587" s="154">
        <v>517</v>
      </c>
      <c r="B587" s="1"/>
      <c r="C587" s="457" t="s">
        <v>3034</v>
      </c>
      <c r="D587" s="154">
        <v>586</v>
      </c>
      <c r="E587" s="709" t="s">
        <v>1242</v>
      </c>
      <c r="F587" s="709" t="s">
        <v>1243</v>
      </c>
      <c r="G587" s="710" t="s">
        <v>3083</v>
      </c>
      <c r="H587" s="710" t="s">
        <v>159</v>
      </c>
      <c r="I587" s="713" t="str">
        <f t="shared" si="35"/>
        <v>2012</v>
      </c>
      <c r="J587" s="156">
        <v>2012</v>
      </c>
      <c r="K587" s="156"/>
      <c r="L587" s="2" t="s">
        <v>3084</v>
      </c>
      <c r="M587" s="157" t="str">
        <f t="shared" si="36"/>
        <v>К71012400042</v>
      </c>
      <c r="N587" s="161" t="s">
        <v>3633</v>
      </c>
      <c r="O587" s="4" t="s">
        <v>3082</v>
      </c>
      <c r="P587" s="1"/>
      <c r="U587" s="1"/>
      <c r="V587" s="4"/>
      <c r="W587" s="3"/>
    </row>
    <row r="588" spans="1:24" x14ac:dyDescent="0.25">
      <c r="A588" s="154">
        <v>505</v>
      </c>
      <c r="B588" s="1"/>
      <c r="C588" s="457" t="s">
        <v>3034</v>
      </c>
      <c r="D588" s="158">
        <v>589</v>
      </c>
      <c r="E588" s="709" t="s">
        <v>1242</v>
      </c>
      <c r="F588" s="709" t="s">
        <v>1243</v>
      </c>
      <c r="G588" s="710" t="s">
        <v>3144</v>
      </c>
      <c r="H588" s="710" t="s">
        <v>159</v>
      </c>
      <c r="I588" s="713" t="str">
        <f t="shared" si="35"/>
        <v>2012</v>
      </c>
      <c r="J588" s="156">
        <v>2012</v>
      </c>
      <c r="K588" s="156"/>
      <c r="L588" s="2" t="s">
        <v>3145</v>
      </c>
      <c r="M588" s="157" t="str">
        <f t="shared" si="36"/>
        <v>К71012400041</v>
      </c>
      <c r="N588" s="161" t="s">
        <v>3633</v>
      </c>
      <c r="O588" s="4" t="s">
        <v>2635</v>
      </c>
      <c r="P588" s="1"/>
      <c r="U588" s="1"/>
      <c r="V588" s="4"/>
      <c r="W588" s="3"/>
    </row>
    <row r="589" spans="1:24" x14ac:dyDescent="0.25">
      <c r="A589" s="154">
        <v>533</v>
      </c>
      <c r="B589" s="1"/>
      <c r="C589" s="1"/>
      <c r="D589" s="154">
        <v>656</v>
      </c>
      <c r="E589" s="709" t="s">
        <v>3700</v>
      </c>
      <c r="F589" s="709" t="s">
        <v>3473</v>
      </c>
      <c r="G589" s="710" t="s">
        <v>3151</v>
      </c>
      <c r="H589" s="710" t="s">
        <v>159</v>
      </c>
      <c r="I589" s="713" t="str">
        <f t="shared" si="35"/>
        <v>2012</v>
      </c>
      <c r="J589" s="156">
        <v>2012</v>
      </c>
      <c r="K589" s="156"/>
      <c r="L589" s="2" t="s">
        <v>3152</v>
      </c>
      <c r="M589" s="157" t="str">
        <f t="shared" si="36"/>
        <v>К08104029</v>
      </c>
      <c r="N589" s="161" t="s">
        <v>3633</v>
      </c>
      <c r="O589" s="4" t="s">
        <v>2635</v>
      </c>
      <c r="P589" s="1"/>
      <c r="U589" s="1"/>
      <c r="V589" s="4"/>
      <c r="W589" s="3"/>
    </row>
    <row r="590" spans="1:24" x14ac:dyDescent="0.25">
      <c r="A590" s="158">
        <v>534</v>
      </c>
      <c r="B590" s="1"/>
      <c r="C590" s="1"/>
      <c r="D590" s="158">
        <v>664</v>
      </c>
      <c r="E590" s="485" t="s">
        <v>3697</v>
      </c>
      <c r="F590" s="486" t="s">
        <v>3659</v>
      </c>
      <c r="G590" s="2" t="s">
        <v>3080</v>
      </c>
      <c r="H590" s="2" t="s">
        <v>159</v>
      </c>
      <c r="I590" s="156" t="str">
        <f t="shared" si="35"/>
        <v>2012</v>
      </c>
      <c r="J590" s="156">
        <v>2012</v>
      </c>
      <c r="K590" s="156"/>
      <c r="L590" s="2" t="s">
        <v>3081</v>
      </c>
      <c r="M590" s="157" t="str">
        <f t="shared" si="36"/>
        <v>К08104865</v>
      </c>
      <c r="N590" s="161" t="s">
        <v>3633</v>
      </c>
      <c r="O590" s="4" t="s">
        <v>3082</v>
      </c>
      <c r="P590" s="1"/>
      <c r="U590" s="1"/>
      <c r="V590" s="4"/>
      <c r="W590" s="3"/>
    </row>
    <row r="591" spans="1:24" x14ac:dyDescent="0.25">
      <c r="A591" s="154">
        <v>547</v>
      </c>
      <c r="B591" s="1"/>
      <c r="C591" s="457" t="s">
        <v>3696</v>
      </c>
      <c r="D591" s="154">
        <v>665</v>
      </c>
      <c r="E591" s="485" t="s">
        <v>3658</v>
      </c>
      <c r="F591" s="43" t="s">
        <v>3441</v>
      </c>
      <c r="G591" s="2" t="s">
        <v>3087</v>
      </c>
      <c r="H591" s="2" t="s">
        <v>159</v>
      </c>
      <c r="I591" s="156" t="str">
        <f t="shared" si="35"/>
        <v>2012</v>
      </c>
      <c r="J591" s="156">
        <v>2012</v>
      </c>
      <c r="K591" s="156"/>
      <c r="L591" s="2" t="s">
        <v>3081</v>
      </c>
      <c r="M591" s="157" t="str">
        <f t="shared" si="36"/>
        <v>К08104865</v>
      </c>
      <c r="N591" s="161" t="s">
        <v>3633</v>
      </c>
      <c r="O591" s="4" t="s">
        <v>3082</v>
      </c>
      <c r="P591" s="1"/>
      <c r="U591" s="1"/>
      <c r="V591" s="4"/>
      <c r="W591" s="3"/>
    </row>
    <row r="592" spans="1:24" x14ac:dyDescent="0.25">
      <c r="A592" s="154">
        <v>551</v>
      </c>
      <c r="B592" s="1"/>
      <c r="C592" s="457" t="s">
        <v>3690</v>
      </c>
      <c r="D592" s="158">
        <v>666</v>
      </c>
      <c r="E592" s="709" t="s">
        <v>3188</v>
      </c>
      <c r="F592" s="709" t="s">
        <v>3456</v>
      </c>
      <c r="G592" s="710" t="s">
        <v>3189</v>
      </c>
      <c r="H592" s="710" t="s">
        <v>159</v>
      </c>
      <c r="I592" s="156" t="str">
        <f t="shared" si="35"/>
        <v>2012</v>
      </c>
      <c r="J592" s="156">
        <v>2012</v>
      </c>
      <c r="K592" s="156"/>
      <c r="L592" s="2" t="s">
        <v>3190</v>
      </c>
      <c r="M592" s="157" t="str">
        <f t="shared" si="36"/>
        <v>К08102664_2</v>
      </c>
      <c r="N592" s="161" t="s">
        <v>3633</v>
      </c>
      <c r="O592" s="4"/>
      <c r="P592" s="1"/>
      <c r="U592" s="1"/>
      <c r="V592" s="4"/>
      <c r="W592" s="3"/>
    </row>
    <row r="593" spans="1:24" x14ac:dyDescent="0.25">
      <c r="A593" s="158">
        <v>620</v>
      </c>
      <c r="B593" s="1"/>
      <c r="C593" s="457"/>
      <c r="D593" s="158">
        <v>680</v>
      </c>
      <c r="E593" s="486" t="s">
        <v>3656</v>
      </c>
      <c r="F593" s="43" t="s">
        <v>3429</v>
      </c>
      <c r="G593" s="2" t="s">
        <v>3014</v>
      </c>
      <c r="H593" s="589" t="s">
        <v>159</v>
      </c>
      <c r="I593" s="156">
        <v>2012</v>
      </c>
      <c r="J593" s="156">
        <v>2012</v>
      </c>
      <c r="K593" s="156"/>
      <c r="L593" s="2" t="s">
        <v>3015</v>
      </c>
      <c r="M593" s="157" t="str">
        <f t="shared" si="36"/>
        <v>К08104786</v>
      </c>
      <c r="N593" s="161" t="s">
        <v>3633</v>
      </c>
      <c r="O593" s="4">
        <v>12</v>
      </c>
      <c r="P593" s="1"/>
      <c r="U593" s="1"/>
      <c r="V593" s="4"/>
      <c r="W593" s="3"/>
    </row>
    <row r="594" spans="1:24" x14ac:dyDescent="0.25">
      <c r="A594" s="154">
        <v>621</v>
      </c>
      <c r="B594" s="136" t="s">
        <v>3552</v>
      </c>
      <c r="C594" s="136"/>
      <c r="D594" s="154">
        <v>560</v>
      </c>
      <c r="E594" s="138" t="s">
        <v>3555</v>
      </c>
      <c r="F594" s="3" t="s">
        <v>2682</v>
      </c>
      <c r="G594" s="2" t="s">
        <v>3115</v>
      </c>
      <c r="H594" s="2" t="s">
        <v>59</v>
      </c>
      <c r="I594" s="156" t="str">
        <f t="shared" ref="I594:I638" si="37">RIGHT(H594,4)</f>
        <v>2013</v>
      </c>
      <c r="J594" s="156"/>
      <c r="K594" s="156"/>
      <c r="L594" s="2" t="s">
        <v>3116</v>
      </c>
      <c r="M594" s="157" t="str">
        <f t="shared" si="36"/>
        <v>К08105927</v>
      </c>
      <c r="N594" s="161" t="s">
        <v>3633</v>
      </c>
      <c r="O594" s="4" t="s">
        <v>2028</v>
      </c>
      <c r="P594" s="1"/>
      <c r="Q594" s="3"/>
      <c r="S594" s="3"/>
      <c r="U594" s="1"/>
      <c r="V594" s="4"/>
      <c r="W594" s="175"/>
      <c r="X594" s="175"/>
    </row>
    <row r="595" spans="1:24" x14ac:dyDescent="0.25">
      <c r="A595" s="158">
        <v>622</v>
      </c>
      <c r="B595" s="1"/>
      <c r="C595" s="457" t="s">
        <v>3034</v>
      </c>
      <c r="D595" s="154">
        <v>574</v>
      </c>
      <c r="E595" s="3" t="s">
        <v>91</v>
      </c>
      <c r="F595" s="43" t="s">
        <v>2300</v>
      </c>
      <c r="G595" s="2" t="s">
        <v>3037</v>
      </c>
      <c r="H595" s="2" t="s">
        <v>59</v>
      </c>
      <c r="I595" s="156" t="str">
        <f t="shared" si="37"/>
        <v>2013</v>
      </c>
      <c r="J595" s="156"/>
      <c r="K595" s="156"/>
      <c r="L595" s="2" t="s">
        <v>3038</v>
      </c>
      <c r="M595" s="157" t="str">
        <f t="shared" si="36"/>
        <v>К2360000471</v>
      </c>
      <c r="N595" s="161" t="s">
        <v>3633</v>
      </c>
      <c r="O595" s="4" t="s">
        <v>2122</v>
      </c>
      <c r="P595" s="1"/>
      <c r="U595" s="1"/>
      <c r="V595" s="4"/>
      <c r="W595" s="3"/>
    </row>
    <row r="596" spans="1:24" x14ac:dyDescent="0.25">
      <c r="A596" s="154">
        <v>643</v>
      </c>
      <c r="B596" s="1"/>
      <c r="C596" s="1"/>
      <c r="D596" s="154">
        <v>595</v>
      </c>
      <c r="E596" s="485" t="s">
        <v>2331</v>
      </c>
      <c r="F596" s="468" t="s">
        <v>1967</v>
      </c>
      <c r="G596" s="2" t="s">
        <v>1968</v>
      </c>
      <c r="H596" s="2" t="s">
        <v>59</v>
      </c>
      <c r="I596" s="156" t="str">
        <f t="shared" si="37"/>
        <v>2013</v>
      </c>
      <c r="J596" s="156">
        <v>2013</v>
      </c>
      <c r="K596" s="156"/>
      <c r="L596" s="2" t="s">
        <v>1966</v>
      </c>
      <c r="M596" s="157" t="str">
        <f t="shared" si="36"/>
        <v>К08106284</v>
      </c>
      <c r="N596" s="161" t="s">
        <v>3633</v>
      </c>
      <c r="O596" s="4" t="s">
        <v>1961</v>
      </c>
      <c r="P596" s="1"/>
      <c r="U596" s="1"/>
      <c r="V596" s="4"/>
      <c r="W596" s="3"/>
    </row>
    <row r="597" spans="1:24" x14ac:dyDescent="0.25">
      <c r="A597" s="158">
        <v>524</v>
      </c>
      <c r="B597" s="1"/>
      <c r="C597" s="457" t="s">
        <v>3696</v>
      </c>
      <c r="D597" s="158">
        <v>596</v>
      </c>
      <c r="E597" s="485" t="s">
        <v>2331</v>
      </c>
      <c r="F597" s="468" t="s">
        <v>2367</v>
      </c>
      <c r="G597" s="2" t="s">
        <v>1965</v>
      </c>
      <c r="H597" s="2" t="s">
        <v>59</v>
      </c>
      <c r="I597" s="156" t="str">
        <f t="shared" si="37"/>
        <v>2013</v>
      </c>
      <c r="J597" s="156">
        <v>2013</v>
      </c>
      <c r="K597" s="156"/>
      <c r="L597" s="2" t="s">
        <v>1966</v>
      </c>
      <c r="M597" s="157" t="str">
        <f t="shared" si="36"/>
        <v>К08106284</v>
      </c>
      <c r="N597" s="161" t="s">
        <v>3633</v>
      </c>
      <c r="O597" s="4" t="s">
        <v>1961</v>
      </c>
      <c r="P597" s="1"/>
      <c r="U597" s="1"/>
      <c r="V597" s="4"/>
      <c r="W597" s="3"/>
    </row>
    <row r="598" spans="1:24" s="175" customFormat="1" x14ac:dyDescent="0.25">
      <c r="A598" s="158">
        <v>574</v>
      </c>
      <c r="B598" s="1"/>
      <c r="C598" s="457" t="s">
        <v>3034</v>
      </c>
      <c r="D598" s="154">
        <v>607</v>
      </c>
      <c r="E598" s="3" t="s">
        <v>24</v>
      </c>
      <c r="F598" s="3" t="s">
        <v>37</v>
      </c>
      <c r="G598" s="2" t="s">
        <v>3062</v>
      </c>
      <c r="H598" s="2" t="s">
        <v>59</v>
      </c>
      <c r="I598" s="156" t="str">
        <f t="shared" si="37"/>
        <v>2013</v>
      </c>
      <c r="J598" s="156"/>
      <c r="K598" s="156"/>
      <c r="L598" s="2" t="s">
        <v>3063</v>
      </c>
      <c r="M598" s="157" t="str">
        <f t="shared" si="36"/>
        <v>К08105128</v>
      </c>
      <c r="N598" s="161" t="s">
        <v>3633</v>
      </c>
      <c r="O598" s="4" t="s">
        <v>1847</v>
      </c>
      <c r="P598" s="1"/>
      <c r="Q598" s="1"/>
      <c r="R598" s="3"/>
      <c r="S598" s="1"/>
      <c r="T598" s="3"/>
      <c r="U598" s="1"/>
      <c r="V598" s="4"/>
      <c r="W598" s="3"/>
      <c r="X598" s="3"/>
    </row>
    <row r="599" spans="1:24" x14ac:dyDescent="0.25">
      <c r="A599" s="154">
        <v>583</v>
      </c>
      <c r="B599" s="1"/>
      <c r="C599" s="457" t="s">
        <v>3034</v>
      </c>
      <c r="D599" s="158">
        <v>610</v>
      </c>
      <c r="E599" s="3" t="s">
        <v>24</v>
      </c>
      <c r="F599" s="3" t="s">
        <v>25</v>
      </c>
      <c r="G599" s="2" t="s">
        <v>3077</v>
      </c>
      <c r="H599" s="2" t="s">
        <v>59</v>
      </c>
      <c r="I599" s="156" t="str">
        <f t="shared" si="37"/>
        <v>2013</v>
      </c>
      <c r="J599" s="156"/>
      <c r="K599" s="156"/>
      <c r="L599" s="2" t="s">
        <v>3078</v>
      </c>
      <c r="M599" s="157" t="str">
        <f t="shared" si="36"/>
        <v>К08105091</v>
      </c>
      <c r="N599" s="161" t="s">
        <v>3633</v>
      </c>
      <c r="O599" s="4" t="s">
        <v>3074</v>
      </c>
      <c r="P599" s="1"/>
      <c r="U599" s="1"/>
      <c r="V599" s="4"/>
      <c r="W599" s="3"/>
    </row>
    <row r="600" spans="1:24" x14ac:dyDescent="0.25">
      <c r="A600" s="158">
        <v>584</v>
      </c>
      <c r="B600" s="1"/>
      <c r="C600" s="457" t="s">
        <v>3034</v>
      </c>
      <c r="D600" s="158">
        <v>613</v>
      </c>
      <c r="E600" s="162" t="s">
        <v>24</v>
      </c>
      <c r="F600" s="162" t="s">
        <v>37</v>
      </c>
      <c r="G600" s="449" t="s">
        <v>3012</v>
      </c>
      <c r="H600" s="449" t="s">
        <v>59</v>
      </c>
      <c r="I600" s="495" t="str">
        <f t="shared" si="37"/>
        <v>2013</v>
      </c>
      <c r="J600" s="495"/>
      <c r="K600" s="495"/>
      <c r="L600" s="449" t="s">
        <v>3013</v>
      </c>
      <c r="M600" s="157" t="str">
        <f t="shared" si="36"/>
        <v>К08105110</v>
      </c>
      <c r="N600" s="161" t="s">
        <v>3633</v>
      </c>
      <c r="O600" s="4">
        <v>11</v>
      </c>
      <c r="P600" s="1"/>
      <c r="U600" s="1"/>
      <c r="V600" s="4"/>
      <c r="W600" s="3"/>
    </row>
    <row r="601" spans="1:24" x14ac:dyDescent="0.25">
      <c r="A601" s="154">
        <v>585</v>
      </c>
      <c r="B601" s="1"/>
      <c r="C601" s="457" t="s">
        <v>3034</v>
      </c>
      <c r="D601" s="154">
        <v>614</v>
      </c>
      <c r="E601" s="3" t="s">
        <v>24</v>
      </c>
      <c r="F601" s="3" t="s">
        <v>37</v>
      </c>
      <c r="G601" s="2" t="s">
        <v>3016</v>
      </c>
      <c r="H601" s="2" t="s">
        <v>59</v>
      </c>
      <c r="I601" s="156" t="str">
        <f t="shared" si="37"/>
        <v>2013</v>
      </c>
      <c r="J601" s="156"/>
      <c r="K601" s="156"/>
      <c r="L601" s="2" t="s">
        <v>3017</v>
      </c>
      <c r="M601" s="157" t="str">
        <f t="shared" si="36"/>
        <v>К08105092</v>
      </c>
      <c r="N601" s="161" t="s">
        <v>3633</v>
      </c>
      <c r="O601" s="4">
        <v>12</v>
      </c>
      <c r="P601" s="1"/>
      <c r="U601" s="1"/>
      <c r="V601" s="4"/>
      <c r="W601" s="3"/>
    </row>
    <row r="602" spans="1:24" x14ac:dyDescent="0.25">
      <c r="A602" s="154">
        <v>575</v>
      </c>
      <c r="B602" s="1"/>
      <c r="C602" s="457" t="s">
        <v>3034</v>
      </c>
      <c r="D602" s="154">
        <v>616</v>
      </c>
      <c r="E602" s="3" t="s">
        <v>24</v>
      </c>
      <c r="F602" s="3" t="s">
        <v>37</v>
      </c>
      <c r="G602" s="2" t="s">
        <v>2121</v>
      </c>
      <c r="H602" s="2" t="s">
        <v>59</v>
      </c>
      <c r="I602" s="156" t="str">
        <f t="shared" si="37"/>
        <v>2013</v>
      </c>
      <c r="J602" s="156"/>
      <c r="K602" s="156"/>
      <c r="L602" s="2" t="s">
        <v>2120</v>
      </c>
      <c r="M602" s="157" t="str">
        <f t="shared" si="36"/>
        <v>К08105090</v>
      </c>
      <c r="N602" s="161" t="s">
        <v>3633</v>
      </c>
      <c r="O602" s="4" t="s">
        <v>1892</v>
      </c>
      <c r="P602" s="1"/>
      <c r="U602" s="1"/>
      <c r="V602" s="4"/>
      <c r="W602" s="3"/>
    </row>
    <row r="603" spans="1:24" x14ac:dyDescent="0.25">
      <c r="A603" s="154">
        <v>787</v>
      </c>
      <c r="B603" s="1"/>
      <c r="C603" s="457" t="s">
        <v>3034</v>
      </c>
      <c r="D603" s="154">
        <v>625</v>
      </c>
      <c r="E603" s="3" t="s">
        <v>24</v>
      </c>
      <c r="F603" s="3" t="s">
        <v>25</v>
      </c>
      <c r="G603" s="2" t="s">
        <v>3095</v>
      </c>
      <c r="H603" s="2" t="s">
        <v>59</v>
      </c>
      <c r="I603" s="156" t="str">
        <f t="shared" si="37"/>
        <v>2013</v>
      </c>
      <c r="J603" s="156"/>
      <c r="K603" s="156"/>
      <c r="L603" s="2" t="s">
        <v>3096</v>
      </c>
      <c r="M603" s="157" t="str">
        <f t="shared" si="36"/>
        <v>К08105093</v>
      </c>
      <c r="N603" s="161" t="s">
        <v>3633</v>
      </c>
      <c r="O603" s="4" t="s">
        <v>3092</v>
      </c>
      <c r="P603" s="1"/>
      <c r="U603" s="1"/>
      <c r="V603" s="4"/>
      <c r="W603" s="3"/>
    </row>
    <row r="604" spans="1:24" x14ac:dyDescent="0.25">
      <c r="A604" s="154">
        <v>571</v>
      </c>
      <c r="B604" s="1"/>
      <c r="C604" s="457" t="s">
        <v>3034</v>
      </c>
      <c r="D604" s="158">
        <v>626</v>
      </c>
      <c r="E604" s="3" t="s">
        <v>24</v>
      </c>
      <c r="F604" s="3" t="s">
        <v>25</v>
      </c>
      <c r="G604" s="2" t="s">
        <v>3093</v>
      </c>
      <c r="H604" s="2" t="s">
        <v>59</v>
      </c>
      <c r="I604" s="156" t="str">
        <f t="shared" si="37"/>
        <v>2013</v>
      </c>
      <c r="J604" s="156"/>
      <c r="K604" s="156"/>
      <c r="L604" s="2" t="s">
        <v>3094</v>
      </c>
      <c r="M604" s="157" t="str">
        <f t="shared" si="36"/>
        <v>К08105095</v>
      </c>
      <c r="N604" s="161" t="s">
        <v>3633</v>
      </c>
      <c r="O604" s="4" t="s">
        <v>3092</v>
      </c>
      <c r="P604" s="1"/>
      <c r="U604" s="1"/>
      <c r="V604" s="4"/>
      <c r="W604" s="3"/>
    </row>
    <row r="605" spans="1:24" x14ac:dyDescent="0.25">
      <c r="A605" s="158">
        <v>792</v>
      </c>
      <c r="B605" s="1"/>
      <c r="C605" s="457" t="s">
        <v>3034</v>
      </c>
      <c r="D605" s="154">
        <v>639</v>
      </c>
      <c r="E605" s="3" t="s">
        <v>24</v>
      </c>
      <c r="F605" s="3" t="s">
        <v>37</v>
      </c>
      <c r="G605" s="2" t="s">
        <v>3111</v>
      </c>
      <c r="H605" s="2" t="s">
        <v>59</v>
      </c>
      <c r="I605" s="156" t="str">
        <f t="shared" si="37"/>
        <v>2013</v>
      </c>
      <c r="J605" s="156"/>
      <c r="K605" s="156"/>
      <c r="L605" s="2" t="s">
        <v>3112</v>
      </c>
      <c r="M605" s="157" t="str">
        <f t="shared" si="36"/>
        <v>К08105112</v>
      </c>
      <c r="N605" s="161" t="s">
        <v>3633</v>
      </c>
      <c r="O605" s="4" t="s">
        <v>1167</v>
      </c>
      <c r="P605" s="1"/>
      <c r="U605" s="1"/>
      <c r="V605" s="4"/>
      <c r="W605" s="3"/>
    </row>
    <row r="606" spans="1:24" x14ac:dyDescent="0.25">
      <c r="A606" s="154">
        <v>797</v>
      </c>
      <c r="B606" s="1"/>
      <c r="C606" s="457" t="s">
        <v>3034</v>
      </c>
      <c r="D606" s="154">
        <v>642</v>
      </c>
      <c r="E606" s="3" t="s">
        <v>24</v>
      </c>
      <c r="F606" s="3" t="s">
        <v>25</v>
      </c>
      <c r="G606" s="2" t="s">
        <v>3113</v>
      </c>
      <c r="H606" s="2" t="s">
        <v>59</v>
      </c>
      <c r="I606" s="156" t="str">
        <f t="shared" si="37"/>
        <v>2013</v>
      </c>
      <c r="J606" s="156"/>
      <c r="K606" s="156"/>
      <c r="L606" s="2" t="s">
        <v>3114</v>
      </c>
      <c r="M606" s="157" t="str">
        <f t="shared" si="36"/>
        <v>К08105120</v>
      </c>
      <c r="N606" s="161" t="s">
        <v>3633</v>
      </c>
      <c r="O606" s="4" t="s">
        <v>1175</v>
      </c>
      <c r="P606" s="1"/>
      <c r="Q606" s="3"/>
      <c r="S606" s="3"/>
      <c r="U606" s="1"/>
      <c r="V606" s="4"/>
      <c r="W606" s="3"/>
    </row>
    <row r="607" spans="1:24" s="175" customFormat="1" x14ac:dyDescent="0.25">
      <c r="A607" s="154">
        <v>645</v>
      </c>
      <c r="B607" s="1"/>
      <c r="C607" s="457" t="s">
        <v>3034</v>
      </c>
      <c r="D607" s="158">
        <v>643</v>
      </c>
      <c r="E607" s="3" t="s">
        <v>24</v>
      </c>
      <c r="F607" s="3" t="s">
        <v>37</v>
      </c>
      <c r="G607" s="2" t="s">
        <v>3125</v>
      </c>
      <c r="H607" s="2" t="s">
        <v>59</v>
      </c>
      <c r="I607" s="156" t="str">
        <f t="shared" si="37"/>
        <v>2013</v>
      </c>
      <c r="J607" s="156"/>
      <c r="K607" s="156"/>
      <c r="L607" s="2" t="s">
        <v>3126</v>
      </c>
      <c r="M607" s="157" t="str">
        <f t="shared" si="36"/>
        <v>К08105126</v>
      </c>
      <c r="N607" s="161" t="s">
        <v>3633</v>
      </c>
      <c r="O607" s="4" t="s">
        <v>2028</v>
      </c>
      <c r="P607" s="1"/>
      <c r="Q607" s="3"/>
      <c r="R607" s="3"/>
      <c r="S607" s="3"/>
      <c r="T607" s="3"/>
      <c r="U607" s="1"/>
      <c r="V607" s="4"/>
      <c r="W607" s="3"/>
      <c r="X607" s="3"/>
    </row>
    <row r="608" spans="1:24" x14ac:dyDescent="0.25">
      <c r="A608" s="158">
        <v>646</v>
      </c>
      <c r="B608" s="1"/>
      <c r="C608" s="457" t="s">
        <v>3034</v>
      </c>
      <c r="D608" s="154">
        <v>646</v>
      </c>
      <c r="E608" s="162" t="s">
        <v>24</v>
      </c>
      <c r="F608" s="162" t="s">
        <v>37</v>
      </c>
      <c r="G608" s="449" t="s">
        <v>3130</v>
      </c>
      <c r="H608" s="449" t="s">
        <v>59</v>
      </c>
      <c r="I608" s="495" t="str">
        <f t="shared" si="37"/>
        <v>2013</v>
      </c>
      <c r="J608" s="495"/>
      <c r="K608" s="495"/>
      <c r="L608" s="449" t="s">
        <v>3131</v>
      </c>
      <c r="M608" s="157" t="str">
        <f t="shared" si="36"/>
        <v>К08105109</v>
      </c>
      <c r="N608" s="161" t="s">
        <v>3633</v>
      </c>
      <c r="O608" s="4" t="s">
        <v>1076</v>
      </c>
      <c r="P608" s="1"/>
      <c r="Q608" s="3"/>
      <c r="S608" s="3"/>
      <c r="U608" s="1"/>
      <c r="V608" s="4"/>
      <c r="W608" s="3"/>
    </row>
    <row r="609" spans="1:23" x14ac:dyDescent="0.25">
      <c r="A609" s="158">
        <v>518</v>
      </c>
      <c r="B609" s="1"/>
      <c r="C609" s="457" t="s">
        <v>3034</v>
      </c>
      <c r="D609" s="158">
        <v>647</v>
      </c>
      <c r="E609" s="3" t="s">
        <v>24</v>
      </c>
      <c r="F609" s="3" t="s">
        <v>37</v>
      </c>
      <c r="G609" s="2" t="s">
        <v>3148</v>
      </c>
      <c r="H609" s="2" t="s">
        <v>59</v>
      </c>
      <c r="I609" s="156" t="str">
        <f t="shared" si="37"/>
        <v>2013</v>
      </c>
      <c r="J609" s="156"/>
      <c r="K609" s="156"/>
      <c r="L609" s="2" t="s">
        <v>3149</v>
      </c>
      <c r="M609" s="157" t="str">
        <f t="shared" si="36"/>
        <v>К08105127</v>
      </c>
      <c r="N609" s="161" t="s">
        <v>3633</v>
      </c>
      <c r="O609" s="4" t="s">
        <v>2635</v>
      </c>
      <c r="P609" s="1"/>
      <c r="Q609" s="3"/>
      <c r="S609" s="3"/>
      <c r="U609" s="1"/>
      <c r="V609" s="4"/>
      <c r="W609" s="3"/>
    </row>
    <row r="610" spans="1:23" x14ac:dyDescent="0.25">
      <c r="A610" s="158">
        <v>606</v>
      </c>
      <c r="B610" s="1"/>
      <c r="C610" s="457" t="s">
        <v>3034</v>
      </c>
      <c r="D610" s="154">
        <v>649</v>
      </c>
      <c r="E610" s="3" t="s">
        <v>24</v>
      </c>
      <c r="F610" s="3" t="s">
        <v>37</v>
      </c>
      <c r="G610" s="2" t="s">
        <v>2148</v>
      </c>
      <c r="H610" s="2" t="s">
        <v>59</v>
      </c>
      <c r="I610" s="156" t="str">
        <f t="shared" si="37"/>
        <v>2013</v>
      </c>
      <c r="J610" s="156"/>
      <c r="K610" s="156"/>
      <c r="L610" s="2" t="s">
        <v>2149</v>
      </c>
      <c r="M610" s="157" t="str">
        <f t="shared" si="36"/>
        <v>К08105124</v>
      </c>
      <c r="N610" s="161" t="s">
        <v>3633</v>
      </c>
      <c r="O610" s="4" t="s">
        <v>1081</v>
      </c>
      <c r="P610" s="1"/>
      <c r="U610" s="1"/>
      <c r="V610" s="4"/>
      <c r="W610" s="3"/>
    </row>
    <row r="611" spans="1:23" x14ac:dyDescent="0.25">
      <c r="A611" s="154">
        <v>647</v>
      </c>
      <c r="B611" s="1"/>
      <c r="C611" s="457" t="s">
        <v>3034</v>
      </c>
      <c r="D611" s="158">
        <v>650</v>
      </c>
      <c r="E611" s="3" t="s">
        <v>24</v>
      </c>
      <c r="F611" s="3" t="s">
        <v>37</v>
      </c>
      <c r="G611" s="2" t="s">
        <v>3155</v>
      </c>
      <c r="H611" s="2">
        <v>2013</v>
      </c>
      <c r="I611" s="156" t="str">
        <f t="shared" si="37"/>
        <v>2013</v>
      </c>
      <c r="J611" s="156"/>
      <c r="K611" s="156"/>
      <c r="L611" s="2" t="s">
        <v>3156</v>
      </c>
      <c r="M611" s="157" t="str">
        <f t="shared" si="36"/>
        <v>К08102275</v>
      </c>
      <c r="N611" s="161" t="s">
        <v>3633</v>
      </c>
      <c r="O611" s="4" t="s">
        <v>3157</v>
      </c>
      <c r="P611" s="1"/>
      <c r="U611" s="1"/>
      <c r="V611" s="4"/>
      <c r="W611" s="3"/>
    </row>
    <row r="612" spans="1:23" x14ac:dyDescent="0.25">
      <c r="A612" s="158">
        <v>504</v>
      </c>
      <c r="B612" s="1"/>
      <c r="C612" s="457" t="s">
        <v>3034</v>
      </c>
      <c r="D612" s="158">
        <v>659</v>
      </c>
      <c r="E612" s="3" t="s">
        <v>768</v>
      </c>
      <c r="F612" s="3" t="s">
        <v>1969</v>
      </c>
      <c r="G612" s="2" t="s">
        <v>1970</v>
      </c>
      <c r="H612" s="2" t="s">
        <v>59</v>
      </c>
      <c r="I612" s="156" t="str">
        <f t="shared" si="37"/>
        <v>2013</v>
      </c>
      <c r="J612" s="156">
        <v>2013</v>
      </c>
      <c r="K612" s="156"/>
      <c r="L612" s="2" t="s">
        <v>1971</v>
      </c>
      <c r="M612" s="157" t="str">
        <f t="shared" si="36"/>
        <v>К08106071</v>
      </c>
      <c r="N612" s="161" t="s">
        <v>3633</v>
      </c>
      <c r="O612" s="4" t="s">
        <v>1961</v>
      </c>
      <c r="P612" s="1"/>
      <c r="U612" s="153" t="s">
        <v>3646</v>
      </c>
      <c r="V612" s="4"/>
      <c r="W612" s="3"/>
    </row>
    <row r="613" spans="1:23" x14ac:dyDescent="0.25">
      <c r="A613" s="154">
        <v>541</v>
      </c>
      <c r="B613" s="1"/>
      <c r="C613" s="457" t="s">
        <v>3034</v>
      </c>
      <c r="D613" s="154">
        <v>660</v>
      </c>
      <c r="E613" s="3" t="s">
        <v>768</v>
      </c>
      <c r="F613" s="3" t="s">
        <v>1988</v>
      </c>
      <c r="G613" s="2" t="s">
        <v>1989</v>
      </c>
      <c r="H613" s="2" t="s">
        <v>59</v>
      </c>
      <c r="I613" s="156" t="str">
        <f t="shared" si="37"/>
        <v>2013</v>
      </c>
      <c r="J613" s="156">
        <v>2013</v>
      </c>
      <c r="K613" s="156"/>
      <c r="L613" s="2"/>
      <c r="M613" s="157" t="str">
        <f t="shared" si="36"/>
        <v>К</v>
      </c>
      <c r="N613" s="161" t="s">
        <v>3633</v>
      </c>
      <c r="O613" s="4" t="s">
        <v>1961</v>
      </c>
      <c r="P613" s="1"/>
      <c r="U613" s="153" t="s">
        <v>3646</v>
      </c>
      <c r="V613" s="4"/>
      <c r="W613" s="3"/>
    </row>
    <row r="614" spans="1:23" x14ac:dyDescent="0.25">
      <c r="A614" s="154">
        <v>507</v>
      </c>
      <c r="B614" s="1"/>
      <c r="C614" s="457" t="s">
        <v>3034</v>
      </c>
      <c r="D614" s="158">
        <v>669</v>
      </c>
      <c r="E614" s="3" t="s">
        <v>2004</v>
      </c>
      <c r="F614" s="3" t="s">
        <v>3067</v>
      </c>
      <c r="G614" s="2" t="s">
        <v>2006</v>
      </c>
      <c r="H614" s="171" t="s">
        <v>59</v>
      </c>
      <c r="I614" s="156" t="str">
        <f t="shared" si="37"/>
        <v>2013</v>
      </c>
      <c r="J614" s="156">
        <v>2013</v>
      </c>
      <c r="K614" s="156"/>
      <c r="L614" s="2" t="s">
        <v>2007</v>
      </c>
      <c r="M614" s="157" t="str">
        <f t="shared" si="36"/>
        <v>К08105369</v>
      </c>
      <c r="N614" s="161" t="s">
        <v>3633</v>
      </c>
      <c r="O614" s="4" t="s">
        <v>1847</v>
      </c>
      <c r="P614" s="1"/>
      <c r="U614" s="153" t="s">
        <v>3646</v>
      </c>
      <c r="V614" s="4"/>
      <c r="W614" s="3"/>
    </row>
    <row r="615" spans="1:23" x14ac:dyDescent="0.25">
      <c r="A615" s="158">
        <v>540</v>
      </c>
      <c r="B615" s="1"/>
      <c r="C615" s="457" t="s">
        <v>3690</v>
      </c>
      <c r="D615" s="158">
        <v>685</v>
      </c>
      <c r="E615" s="709" t="s">
        <v>3195</v>
      </c>
      <c r="F615" s="709" t="s">
        <v>3459</v>
      </c>
      <c r="G615" s="710" t="s">
        <v>3196</v>
      </c>
      <c r="H615" s="710">
        <v>2013</v>
      </c>
      <c r="I615" s="156" t="str">
        <f t="shared" si="37"/>
        <v>2013</v>
      </c>
      <c r="J615" s="156">
        <v>2013</v>
      </c>
      <c r="K615" s="156"/>
      <c r="L615" s="2" t="s">
        <v>3197</v>
      </c>
      <c r="M615" s="157" t="str">
        <f t="shared" si="36"/>
        <v>К08106082</v>
      </c>
      <c r="N615" s="161" t="s">
        <v>3633</v>
      </c>
      <c r="O615" s="4"/>
      <c r="P615" s="1"/>
      <c r="U615" s="153" t="s">
        <v>3646</v>
      </c>
      <c r="V615" s="4"/>
      <c r="W615" s="3"/>
    </row>
    <row r="616" spans="1:23" x14ac:dyDescent="0.25">
      <c r="A616" s="158">
        <v>548</v>
      </c>
      <c r="B616" s="1"/>
      <c r="C616" s="1"/>
      <c r="D616" s="158">
        <v>696</v>
      </c>
      <c r="E616" s="3" t="s">
        <v>3029</v>
      </c>
      <c r="F616" s="43" t="s">
        <v>1320</v>
      </c>
      <c r="G616" s="2" t="s">
        <v>3030</v>
      </c>
      <c r="H616" s="2" t="s">
        <v>1643</v>
      </c>
      <c r="I616" s="156" t="str">
        <f t="shared" si="37"/>
        <v>2013</v>
      </c>
      <c r="J616" s="156">
        <v>2013</v>
      </c>
      <c r="K616" s="156"/>
      <c r="L616" s="2" t="s">
        <v>3031</v>
      </c>
      <c r="M616" s="157" t="str">
        <f t="shared" si="36"/>
        <v>К08105188</v>
      </c>
      <c r="N616" s="161" t="s">
        <v>3633</v>
      </c>
      <c r="O616" s="4">
        <v>12</v>
      </c>
      <c r="P616" s="1"/>
      <c r="U616" s="153" t="s">
        <v>3646</v>
      </c>
      <c r="V616" s="4"/>
      <c r="W616" s="3"/>
    </row>
    <row r="617" spans="1:23" x14ac:dyDescent="0.25">
      <c r="A617" s="158">
        <v>552</v>
      </c>
      <c r="B617" s="1"/>
      <c r="C617" s="1"/>
      <c r="D617" s="158">
        <v>550</v>
      </c>
      <c r="E617" s="3" t="s">
        <v>3056</v>
      </c>
      <c r="F617" s="3" t="s">
        <v>3057</v>
      </c>
      <c r="G617" s="2" t="s">
        <v>3136</v>
      </c>
      <c r="H617" s="2" t="s">
        <v>51</v>
      </c>
      <c r="I617" s="156" t="str">
        <f t="shared" si="37"/>
        <v>2014</v>
      </c>
      <c r="J617" s="156">
        <v>2014</v>
      </c>
      <c r="K617" s="156"/>
      <c r="L617" s="2" t="s">
        <v>3137</v>
      </c>
      <c r="M617" s="157" t="str">
        <f t="shared" si="36"/>
        <v>К2360000004</v>
      </c>
      <c r="N617" s="161" t="s">
        <v>3633</v>
      </c>
      <c r="O617" s="4" t="s">
        <v>2635</v>
      </c>
      <c r="P617" s="1"/>
      <c r="Q617" s="3"/>
      <c r="S617" s="3"/>
      <c r="U617" s="153" t="s">
        <v>3646</v>
      </c>
      <c r="V617" s="4"/>
      <c r="W617" s="3"/>
    </row>
    <row r="618" spans="1:23" x14ac:dyDescent="0.25">
      <c r="A618" s="154">
        <v>525</v>
      </c>
      <c r="B618" s="136" t="s">
        <v>3552</v>
      </c>
      <c r="C618" s="136"/>
      <c r="D618" s="158">
        <v>561</v>
      </c>
      <c r="E618" s="138" t="s">
        <v>3555</v>
      </c>
      <c r="F618" s="3" t="s">
        <v>2152</v>
      </c>
      <c r="G618" s="2" t="s">
        <v>2153</v>
      </c>
      <c r="H618" s="2" t="s">
        <v>2154</v>
      </c>
      <c r="I618" s="156" t="str">
        <f t="shared" si="37"/>
        <v>2014</v>
      </c>
      <c r="J618" s="156"/>
      <c r="K618" s="156"/>
      <c r="L618" s="2" t="s">
        <v>2155</v>
      </c>
      <c r="M618" s="157" t="str">
        <f t="shared" si="36"/>
        <v>К71012400007</v>
      </c>
      <c r="N618" s="161" t="s">
        <v>3633</v>
      </c>
      <c r="O618" s="4" t="s">
        <v>1081</v>
      </c>
      <c r="P618" s="1"/>
      <c r="Q618" s="3"/>
      <c r="S618" s="3"/>
      <c r="U618" s="153" t="s">
        <v>3646</v>
      </c>
      <c r="V618" s="4"/>
      <c r="W618" s="3"/>
    </row>
    <row r="619" spans="1:23" x14ac:dyDescent="0.25">
      <c r="A619" s="158">
        <v>508</v>
      </c>
      <c r="B619" s="1"/>
      <c r="C619" s="457" t="s">
        <v>3034</v>
      </c>
      <c r="D619" s="158">
        <v>573</v>
      </c>
      <c r="E619" s="3" t="s">
        <v>91</v>
      </c>
      <c r="F619" s="43" t="s">
        <v>92</v>
      </c>
      <c r="G619" s="2" t="s">
        <v>3060</v>
      </c>
      <c r="H619" s="2" t="s">
        <v>51</v>
      </c>
      <c r="I619" s="156" t="str">
        <f t="shared" si="37"/>
        <v>2014</v>
      </c>
      <c r="J619" s="156"/>
      <c r="K619" s="156"/>
      <c r="L619" s="2" t="s">
        <v>3061</v>
      </c>
      <c r="M619" s="157" t="str">
        <f t="shared" si="36"/>
        <v>К236000544</v>
      </c>
      <c r="N619" s="161" t="s">
        <v>3633</v>
      </c>
      <c r="O619" s="4" t="s">
        <v>1847</v>
      </c>
      <c r="P619" s="1"/>
      <c r="U619" s="153" t="s">
        <v>3646</v>
      </c>
      <c r="V619" s="4"/>
      <c r="W619" s="3"/>
    </row>
    <row r="620" spans="1:23" x14ac:dyDescent="0.25">
      <c r="A620" s="154">
        <v>509</v>
      </c>
      <c r="B620" s="1"/>
      <c r="C620" s="457" t="s">
        <v>3034</v>
      </c>
      <c r="D620" s="154">
        <v>581</v>
      </c>
      <c r="E620" s="3" t="s">
        <v>1242</v>
      </c>
      <c r="F620" s="43" t="s">
        <v>1243</v>
      </c>
      <c r="G620" s="2" t="s">
        <v>3032</v>
      </c>
      <c r="H620" s="469" t="s">
        <v>51</v>
      </c>
      <c r="I620" s="156" t="str">
        <f t="shared" si="37"/>
        <v>2014</v>
      </c>
      <c r="J620" s="156">
        <v>2014</v>
      </c>
      <c r="K620" s="156"/>
      <c r="L620" s="2" t="s">
        <v>3033</v>
      </c>
      <c r="M620" s="157" t="str">
        <f t="shared" si="36"/>
        <v>К2360000241</v>
      </c>
      <c r="N620" s="161" t="s">
        <v>3633</v>
      </c>
      <c r="O620" s="4" t="s">
        <v>3034</v>
      </c>
      <c r="P620" s="1"/>
      <c r="U620" s="153" t="s">
        <v>3646</v>
      </c>
      <c r="V620" s="4"/>
      <c r="W620" s="3"/>
    </row>
    <row r="621" spans="1:23" x14ac:dyDescent="0.25">
      <c r="A621" s="158">
        <v>520</v>
      </c>
      <c r="B621" s="1"/>
      <c r="C621" s="457" t="s">
        <v>3034</v>
      </c>
      <c r="D621" s="158">
        <v>636</v>
      </c>
      <c r="E621" s="3" t="s">
        <v>24</v>
      </c>
      <c r="F621" s="3" t="s">
        <v>25</v>
      </c>
      <c r="G621" s="2" t="s">
        <v>3109</v>
      </c>
      <c r="H621" s="2" t="s">
        <v>41</v>
      </c>
      <c r="I621" s="156" t="str">
        <f t="shared" si="37"/>
        <v>2015</v>
      </c>
      <c r="J621" s="156"/>
      <c r="K621" s="156"/>
      <c r="L621" s="2" t="s">
        <v>3110</v>
      </c>
      <c r="M621" s="157" t="str">
        <f t="shared" si="36"/>
        <v>К08105094</v>
      </c>
      <c r="N621" s="161" t="s">
        <v>3633</v>
      </c>
      <c r="O621" s="4" t="s">
        <v>1157</v>
      </c>
      <c r="P621" s="1"/>
      <c r="U621" s="153" t="s">
        <v>3646</v>
      </c>
      <c r="V621" s="4"/>
      <c r="W621" s="3"/>
    </row>
    <row r="622" spans="1:23" x14ac:dyDescent="0.25">
      <c r="A622" s="154">
        <v>519</v>
      </c>
      <c r="B622" s="136" t="s">
        <v>3552</v>
      </c>
      <c r="C622" s="136"/>
      <c r="D622" s="154">
        <v>572</v>
      </c>
      <c r="E622" s="137" t="s">
        <v>2303</v>
      </c>
      <c r="F622" s="43" t="s">
        <v>3467</v>
      </c>
      <c r="G622" s="2" t="s">
        <v>3120</v>
      </c>
      <c r="H622" s="461" t="s">
        <v>615</v>
      </c>
      <c r="I622" s="156" t="str">
        <f t="shared" si="37"/>
        <v>2016</v>
      </c>
      <c r="J622" s="156"/>
      <c r="K622" s="156"/>
      <c r="L622" s="2"/>
      <c r="M622" s="157" t="str">
        <f t="shared" si="36"/>
        <v>К</v>
      </c>
      <c r="N622" s="161" t="s">
        <v>3633</v>
      </c>
      <c r="O622" s="4" t="s">
        <v>2028</v>
      </c>
      <c r="P622" s="1"/>
      <c r="U622" s="153" t="s">
        <v>3646</v>
      </c>
      <c r="V622" s="4"/>
      <c r="W622" s="3"/>
    </row>
    <row r="623" spans="1:23" ht="15.75" customHeight="1" x14ac:dyDescent="0.25">
      <c r="A623" s="154">
        <v>521</v>
      </c>
      <c r="B623" s="1"/>
      <c r="C623" s="457" t="s">
        <v>3034</v>
      </c>
      <c r="D623" s="154">
        <v>604</v>
      </c>
      <c r="E623" s="3" t="s">
        <v>880</v>
      </c>
      <c r="F623" s="43" t="s">
        <v>3447</v>
      </c>
      <c r="G623" s="2" t="s">
        <v>3122</v>
      </c>
      <c r="H623" s="2" t="s">
        <v>3123</v>
      </c>
      <c r="I623" s="156" t="str">
        <f t="shared" si="37"/>
        <v>2016</v>
      </c>
      <c r="J623" s="156"/>
      <c r="K623" s="156"/>
      <c r="L623" s="2" t="s">
        <v>3124</v>
      </c>
      <c r="M623" s="157" t="str">
        <f t="shared" si="36"/>
        <v>К7240000620</v>
      </c>
      <c r="N623" s="161" t="s">
        <v>3633</v>
      </c>
      <c r="O623" s="4" t="s">
        <v>2028</v>
      </c>
      <c r="P623" s="1"/>
      <c r="U623" s="153" t="s">
        <v>3646</v>
      </c>
      <c r="V623" s="4"/>
      <c r="W623" s="3"/>
    </row>
    <row r="624" spans="1:23" x14ac:dyDescent="0.25">
      <c r="A624" s="158">
        <v>556</v>
      </c>
      <c r="B624" s="136" t="s">
        <v>3552</v>
      </c>
      <c r="C624" s="136"/>
      <c r="D624" s="158">
        <v>568</v>
      </c>
      <c r="E624" s="3" t="s">
        <v>18</v>
      </c>
      <c r="F624" s="43" t="s">
        <v>32</v>
      </c>
      <c r="G624" s="2" t="s">
        <v>3119</v>
      </c>
      <c r="H624" s="461" t="s">
        <v>969</v>
      </c>
      <c r="I624" s="156" t="str">
        <f t="shared" si="37"/>
        <v>2017</v>
      </c>
      <c r="J624" s="156"/>
      <c r="K624" s="156"/>
      <c r="L624" s="2"/>
      <c r="M624" s="157" t="str">
        <f t="shared" si="36"/>
        <v>К</v>
      </c>
      <c r="N624" s="161" t="s">
        <v>3633</v>
      </c>
      <c r="O624" s="4" t="s">
        <v>2028</v>
      </c>
      <c r="P624" s="1"/>
      <c r="U624" s="153" t="s">
        <v>3646</v>
      </c>
      <c r="V624" s="4"/>
      <c r="W624" s="3"/>
    </row>
    <row r="625" spans="1:23" x14ac:dyDescent="0.25">
      <c r="A625" s="158">
        <v>558</v>
      </c>
      <c r="B625" s="456" t="s">
        <v>3552</v>
      </c>
      <c r="C625" s="456"/>
      <c r="D625" s="154">
        <v>569</v>
      </c>
      <c r="E625" s="3" t="s">
        <v>2319</v>
      </c>
      <c r="F625" s="43" t="s">
        <v>32</v>
      </c>
      <c r="G625" s="2" t="s">
        <v>2124</v>
      </c>
      <c r="H625" s="461" t="s">
        <v>969</v>
      </c>
      <c r="I625" s="156" t="str">
        <f t="shared" si="37"/>
        <v>2017</v>
      </c>
      <c r="J625" s="156"/>
      <c r="K625" s="156"/>
      <c r="L625" s="2"/>
      <c r="M625" s="157" t="str">
        <f t="shared" ref="M625:M688" si="38">CONCATENATE("К",L625)</f>
        <v>К</v>
      </c>
      <c r="N625" s="161" t="s">
        <v>3633</v>
      </c>
      <c r="O625" s="4" t="s">
        <v>2122</v>
      </c>
      <c r="P625" s="1"/>
      <c r="U625" s="153" t="s">
        <v>3646</v>
      </c>
      <c r="V625" s="4"/>
      <c r="W625" s="3"/>
    </row>
    <row r="626" spans="1:23" x14ac:dyDescent="0.25">
      <c r="A626" s="154">
        <v>559</v>
      </c>
      <c r="B626" s="456" t="s">
        <v>3552</v>
      </c>
      <c r="C626" s="456"/>
      <c r="D626" s="158">
        <v>570</v>
      </c>
      <c r="E626" s="3" t="s">
        <v>2319</v>
      </c>
      <c r="F626" s="43" t="s">
        <v>32</v>
      </c>
      <c r="G626" s="2" t="s">
        <v>2115</v>
      </c>
      <c r="H626" s="461" t="s">
        <v>969</v>
      </c>
      <c r="I626" s="156" t="str">
        <f t="shared" si="37"/>
        <v>2017</v>
      </c>
      <c r="J626" s="156"/>
      <c r="K626" s="156"/>
      <c r="L626" s="2"/>
      <c r="M626" s="157" t="str">
        <f t="shared" si="38"/>
        <v>К</v>
      </c>
      <c r="N626" s="161" t="s">
        <v>3633</v>
      </c>
      <c r="O626" s="4" t="s">
        <v>2119</v>
      </c>
      <c r="P626" s="1"/>
      <c r="U626" s="153" t="s">
        <v>3646</v>
      </c>
      <c r="V626" s="4"/>
      <c r="W626" s="3"/>
    </row>
    <row r="627" spans="1:23" x14ac:dyDescent="0.25">
      <c r="A627" s="154">
        <v>529</v>
      </c>
      <c r="B627" s="456" t="s">
        <v>3552</v>
      </c>
      <c r="C627" s="456"/>
      <c r="D627" s="158">
        <v>571</v>
      </c>
      <c r="E627" s="3" t="s">
        <v>2319</v>
      </c>
      <c r="F627" s="43" t="s">
        <v>32</v>
      </c>
      <c r="G627" s="2" t="s">
        <v>2317</v>
      </c>
      <c r="H627" s="461" t="s">
        <v>969</v>
      </c>
      <c r="I627" s="156" t="str">
        <f t="shared" si="37"/>
        <v>2017</v>
      </c>
      <c r="J627" s="156"/>
      <c r="K627" s="156"/>
      <c r="L627" s="2"/>
      <c r="M627" s="157" t="str">
        <f t="shared" si="38"/>
        <v>К</v>
      </c>
      <c r="N627" s="161" t="s">
        <v>3633</v>
      </c>
      <c r="O627" s="4" t="s">
        <v>1773</v>
      </c>
      <c r="P627" s="1"/>
      <c r="U627" s="153" t="s">
        <v>3646</v>
      </c>
      <c r="V627" s="4"/>
      <c r="W627" s="3"/>
    </row>
    <row r="628" spans="1:23" x14ac:dyDescent="0.25">
      <c r="A628" s="154"/>
      <c r="B628" s="1"/>
      <c r="C628" s="457" t="s">
        <v>3034</v>
      </c>
      <c r="D628" s="154">
        <v>588</v>
      </c>
      <c r="E628" s="3" t="s">
        <v>1242</v>
      </c>
      <c r="F628" s="43" t="s">
        <v>1243</v>
      </c>
      <c r="G628" s="2" t="s">
        <v>3142</v>
      </c>
      <c r="H628" s="469" t="s">
        <v>969</v>
      </c>
      <c r="I628" s="156" t="str">
        <f t="shared" si="37"/>
        <v>2017</v>
      </c>
      <c r="J628" s="156">
        <v>2017</v>
      </c>
      <c r="K628" s="156"/>
      <c r="L628" s="2" t="s">
        <v>3143</v>
      </c>
      <c r="M628" s="157" t="str">
        <f t="shared" si="38"/>
        <v>К2360000243</v>
      </c>
      <c r="N628" s="161" t="s">
        <v>3633</v>
      </c>
      <c r="O628" s="4" t="s">
        <v>2635</v>
      </c>
      <c r="P628" s="1"/>
      <c r="U628" s="153"/>
      <c r="V628" s="4"/>
      <c r="W628" s="3"/>
    </row>
    <row r="629" spans="1:23" x14ac:dyDescent="0.25">
      <c r="A629" s="158">
        <v>530</v>
      </c>
      <c r="B629" s="1"/>
      <c r="C629" s="457" t="s">
        <v>3034</v>
      </c>
      <c r="D629" s="158">
        <v>608</v>
      </c>
      <c r="E629" s="3" t="s">
        <v>24</v>
      </c>
      <c r="F629" s="3" t="s">
        <v>25</v>
      </c>
      <c r="G629" s="2" t="s">
        <v>3010</v>
      </c>
      <c r="H629" s="2" t="s">
        <v>969</v>
      </c>
      <c r="I629" s="156" t="str">
        <f t="shared" si="37"/>
        <v>2017</v>
      </c>
      <c r="J629" s="156"/>
      <c r="K629" s="156"/>
      <c r="L629" s="2" t="s">
        <v>3011</v>
      </c>
      <c r="M629" s="157" t="str">
        <f t="shared" si="38"/>
        <v>К7240000796</v>
      </c>
      <c r="N629" s="161" t="s">
        <v>3633</v>
      </c>
      <c r="O629" s="4">
        <v>4</v>
      </c>
      <c r="P629" s="1"/>
      <c r="U629" s="153" t="s">
        <v>3646</v>
      </c>
      <c r="V629" s="4"/>
      <c r="W629" s="3"/>
    </row>
    <row r="630" spans="1:23" x14ac:dyDescent="0.25">
      <c r="A630" s="154">
        <v>531</v>
      </c>
      <c r="B630" s="1"/>
      <c r="C630" s="457" t="s">
        <v>3034</v>
      </c>
      <c r="D630" s="154">
        <v>628</v>
      </c>
      <c r="E630" s="3" t="s">
        <v>24</v>
      </c>
      <c r="F630" s="3" t="s">
        <v>37</v>
      </c>
      <c r="G630" s="2" t="s">
        <v>1981</v>
      </c>
      <c r="H630" s="2" t="s">
        <v>969</v>
      </c>
      <c r="I630" s="156" t="str">
        <f t="shared" si="37"/>
        <v>2017</v>
      </c>
      <c r="J630" s="156"/>
      <c r="K630" s="156"/>
      <c r="L630" s="2" t="s">
        <v>1982</v>
      </c>
      <c r="M630" s="157" t="str">
        <f t="shared" si="38"/>
        <v>К7240000797</v>
      </c>
      <c r="N630" s="161" t="s">
        <v>3633</v>
      </c>
      <c r="O630" s="4" t="s">
        <v>1961</v>
      </c>
      <c r="P630" s="1"/>
      <c r="U630" s="153" t="s">
        <v>3646</v>
      </c>
      <c r="V630" s="4"/>
      <c r="W630" s="3"/>
    </row>
    <row r="631" spans="1:23" x14ac:dyDescent="0.25">
      <c r="A631" s="158">
        <v>532</v>
      </c>
      <c r="B631" s="1"/>
      <c r="C631" s="457" t="s">
        <v>3034</v>
      </c>
      <c r="D631" s="158">
        <v>629</v>
      </c>
      <c r="E631" s="3" t="s">
        <v>24</v>
      </c>
      <c r="F631" s="3" t="s">
        <v>25</v>
      </c>
      <c r="G631" s="2" t="s">
        <v>1979</v>
      </c>
      <c r="H631" s="2" t="s">
        <v>969</v>
      </c>
      <c r="I631" s="156" t="str">
        <f t="shared" si="37"/>
        <v>2017</v>
      </c>
      <c r="J631" s="156"/>
      <c r="K631" s="156"/>
      <c r="L631" s="2" t="s">
        <v>1980</v>
      </c>
      <c r="M631" s="157" t="str">
        <f t="shared" si="38"/>
        <v>К7240000793</v>
      </c>
      <c r="N631" s="161" t="s">
        <v>3633</v>
      </c>
      <c r="O631" s="4" t="s">
        <v>1961</v>
      </c>
      <c r="P631" s="1"/>
      <c r="U631" s="153" t="s">
        <v>3646</v>
      </c>
      <c r="V631" s="4"/>
      <c r="W631" s="3"/>
    </row>
    <row r="632" spans="1:23" x14ac:dyDescent="0.25">
      <c r="A632" s="158">
        <v>560</v>
      </c>
      <c r="B632" s="1"/>
      <c r="C632" s="457" t="s">
        <v>3034</v>
      </c>
      <c r="D632" s="154">
        <v>630</v>
      </c>
      <c r="E632" s="3" t="s">
        <v>24</v>
      </c>
      <c r="F632" s="3" t="s">
        <v>25</v>
      </c>
      <c r="G632" s="2" t="s">
        <v>1977</v>
      </c>
      <c r="H632" s="2" t="s">
        <v>969</v>
      </c>
      <c r="I632" s="156" t="str">
        <f t="shared" si="37"/>
        <v>2017</v>
      </c>
      <c r="J632" s="156"/>
      <c r="K632" s="156"/>
      <c r="L632" s="2" t="s">
        <v>1978</v>
      </c>
      <c r="M632" s="157" t="str">
        <f t="shared" si="38"/>
        <v>К7240000794</v>
      </c>
      <c r="N632" s="161" t="s">
        <v>3633</v>
      </c>
      <c r="O632" s="4" t="s">
        <v>1961</v>
      </c>
      <c r="P632" s="1"/>
      <c r="U632" s="153" t="s">
        <v>3646</v>
      </c>
      <c r="V632" s="4"/>
      <c r="W632" s="3"/>
    </row>
    <row r="633" spans="1:23" x14ac:dyDescent="0.25">
      <c r="A633" s="154">
        <v>561</v>
      </c>
      <c r="B633" s="1"/>
      <c r="C633" s="457" t="s">
        <v>3034</v>
      </c>
      <c r="D633" s="158">
        <v>631</v>
      </c>
      <c r="E633" s="3" t="s">
        <v>24</v>
      </c>
      <c r="F633" s="3" t="s">
        <v>25</v>
      </c>
      <c r="G633" s="2" t="s">
        <v>3108</v>
      </c>
      <c r="H633" s="2" t="s">
        <v>969</v>
      </c>
      <c r="I633" s="156" t="str">
        <f t="shared" si="37"/>
        <v>2017</v>
      </c>
      <c r="J633" s="156"/>
      <c r="K633" s="156"/>
      <c r="L633" s="2"/>
      <c r="M633" s="157" t="str">
        <f t="shared" si="38"/>
        <v>К</v>
      </c>
      <c r="N633" s="161" t="s">
        <v>3633</v>
      </c>
      <c r="O633" s="4" t="s">
        <v>1888</v>
      </c>
      <c r="P633" s="1"/>
      <c r="U633" s="153" t="s">
        <v>3646</v>
      </c>
      <c r="V633" s="4"/>
      <c r="W633" s="3"/>
    </row>
    <row r="634" spans="1:23" x14ac:dyDescent="0.25">
      <c r="A634" s="158">
        <v>562</v>
      </c>
      <c r="B634" s="1"/>
      <c r="C634" s="1"/>
      <c r="D634" s="158">
        <v>661</v>
      </c>
      <c r="E634" s="3" t="s">
        <v>1991</v>
      </c>
      <c r="F634" s="3" t="s">
        <v>1992</v>
      </c>
      <c r="G634" s="2" t="s">
        <v>1993</v>
      </c>
      <c r="H634" s="2" t="s">
        <v>1994</v>
      </c>
      <c r="I634" s="156" t="str">
        <f t="shared" si="37"/>
        <v>2017</v>
      </c>
      <c r="J634" s="156">
        <v>2017</v>
      </c>
      <c r="K634" s="156"/>
      <c r="L634" s="2" t="s">
        <v>1995</v>
      </c>
      <c r="M634" s="157" t="str">
        <f t="shared" si="38"/>
        <v>К71012413195</v>
      </c>
      <c r="N634" s="161" t="s">
        <v>3633</v>
      </c>
      <c r="O634" s="4" t="s">
        <v>1961</v>
      </c>
      <c r="P634" s="1"/>
      <c r="U634" s="153" t="s">
        <v>3646</v>
      </c>
      <c r="V634" s="4"/>
      <c r="W634" s="3"/>
    </row>
    <row r="635" spans="1:23" x14ac:dyDescent="0.25">
      <c r="A635" s="158">
        <v>578</v>
      </c>
      <c r="B635" s="1"/>
      <c r="C635" s="457" t="s">
        <v>3034</v>
      </c>
      <c r="D635" s="158">
        <v>668</v>
      </c>
      <c r="E635" s="3" t="s">
        <v>499</v>
      </c>
      <c r="F635" s="43" t="s">
        <v>3448</v>
      </c>
      <c r="G635" s="2" t="s">
        <v>2026</v>
      </c>
      <c r="H635" s="2" t="s">
        <v>969</v>
      </c>
      <c r="I635" s="156" t="str">
        <f t="shared" si="37"/>
        <v>2017</v>
      </c>
      <c r="J635" s="156">
        <v>2017</v>
      </c>
      <c r="K635" s="156"/>
      <c r="L635" s="2" t="s">
        <v>2027</v>
      </c>
      <c r="M635" s="157" t="str">
        <f t="shared" si="38"/>
        <v>К7240000792</v>
      </c>
      <c r="N635" s="161" t="s">
        <v>3633</v>
      </c>
      <c r="O635" s="4" t="s">
        <v>2028</v>
      </c>
      <c r="P635" s="1"/>
      <c r="U635" s="153" t="s">
        <v>3646</v>
      </c>
      <c r="V635" s="4"/>
      <c r="W635" s="3"/>
    </row>
    <row r="636" spans="1:23" x14ac:dyDescent="0.25">
      <c r="A636" s="158">
        <v>576</v>
      </c>
      <c r="B636" s="1"/>
      <c r="C636" s="457" t="s">
        <v>3034</v>
      </c>
      <c r="D636" s="158">
        <v>671</v>
      </c>
      <c r="E636" s="486" t="s">
        <v>3677</v>
      </c>
      <c r="F636" s="3" t="s">
        <v>2015</v>
      </c>
      <c r="G636" s="2" t="s">
        <v>2016</v>
      </c>
      <c r="H636" s="2" t="s">
        <v>2017</v>
      </c>
      <c r="I636" s="156" t="str">
        <f t="shared" si="37"/>
        <v>2017</v>
      </c>
      <c r="J636" s="156">
        <v>2017</v>
      </c>
      <c r="K636" s="156"/>
      <c r="L636" s="2" t="s">
        <v>2018</v>
      </c>
      <c r="M636" s="157" t="str">
        <f t="shared" si="38"/>
        <v>К21012400174</v>
      </c>
      <c r="N636" s="161" t="s">
        <v>3633</v>
      </c>
      <c r="O636" s="4" t="s">
        <v>766</v>
      </c>
      <c r="P636" s="1"/>
      <c r="U636" s="153" t="s">
        <v>3646</v>
      </c>
      <c r="V636" s="4"/>
      <c r="W636" s="3"/>
    </row>
    <row r="637" spans="1:23" x14ac:dyDescent="0.25">
      <c r="A637" s="154">
        <v>577</v>
      </c>
      <c r="B637" s="1"/>
      <c r="C637" s="457"/>
      <c r="D637" s="154">
        <v>674</v>
      </c>
      <c r="E637" s="3" t="s">
        <v>911</v>
      </c>
      <c r="F637" s="3" t="s">
        <v>3042</v>
      </c>
      <c r="G637" s="2" t="s">
        <v>3043</v>
      </c>
      <c r="H637" s="2" t="s">
        <v>969</v>
      </c>
      <c r="I637" s="156" t="str">
        <f t="shared" si="37"/>
        <v>2017</v>
      </c>
      <c r="J637" s="156">
        <v>2017</v>
      </c>
      <c r="K637" s="156"/>
      <c r="L637" s="2" t="s">
        <v>3044</v>
      </c>
      <c r="M637" s="157" t="str">
        <f t="shared" si="38"/>
        <v>К7240000961</v>
      </c>
      <c r="N637" s="161" t="s">
        <v>3633</v>
      </c>
      <c r="O637" s="4" t="s">
        <v>2122</v>
      </c>
      <c r="P637" s="1"/>
      <c r="U637" s="153" t="s">
        <v>3646</v>
      </c>
      <c r="V637" s="4"/>
      <c r="W637" s="3"/>
    </row>
    <row r="638" spans="1:23" x14ac:dyDescent="0.25">
      <c r="A638" s="158">
        <v>588</v>
      </c>
      <c r="B638" s="136" t="s">
        <v>3552</v>
      </c>
      <c r="C638" s="457" t="s">
        <v>3693</v>
      </c>
      <c r="D638" s="158">
        <v>545</v>
      </c>
      <c r="E638" s="3" t="s">
        <v>2112</v>
      </c>
      <c r="F638" s="43" t="s">
        <v>3449</v>
      </c>
      <c r="G638" s="2" t="s">
        <v>3132</v>
      </c>
      <c r="H638" s="2" t="s">
        <v>1344</v>
      </c>
      <c r="I638" s="156" t="str">
        <f t="shared" si="37"/>
        <v>2018</v>
      </c>
      <c r="J638" s="156">
        <v>2018</v>
      </c>
      <c r="K638" s="156"/>
      <c r="L638" s="2" t="s">
        <v>3133</v>
      </c>
      <c r="M638" s="157" t="str">
        <f t="shared" si="38"/>
        <v>К71012400018</v>
      </c>
      <c r="N638" s="161" t="s">
        <v>3633</v>
      </c>
      <c r="O638" s="4" t="s">
        <v>2635</v>
      </c>
      <c r="P638" s="1"/>
      <c r="U638" s="153" t="s">
        <v>3646</v>
      </c>
      <c r="V638" s="4"/>
      <c r="W638" s="3"/>
    </row>
    <row r="639" spans="1:23" x14ac:dyDescent="0.25">
      <c r="A639" s="154">
        <v>589</v>
      </c>
      <c r="B639" s="1"/>
      <c r="C639" s="457" t="s">
        <v>3034</v>
      </c>
      <c r="D639" s="154">
        <v>621</v>
      </c>
      <c r="E639" s="162" t="s">
        <v>24</v>
      </c>
      <c r="F639" s="162" t="s">
        <v>25</v>
      </c>
      <c r="G639" s="449" t="s">
        <v>5609</v>
      </c>
      <c r="H639" s="449" t="s">
        <v>124</v>
      </c>
      <c r="I639" s="495">
        <v>2018</v>
      </c>
      <c r="J639" s="495"/>
      <c r="K639" s="495"/>
      <c r="L639" s="449" t="s">
        <v>2147</v>
      </c>
      <c r="M639" s="157" t="str">
        <f t="shared" si="38"/>
        <v>К71012400143</v>
      </c>
      <c r="N639" s="161" t="s">
        <v>3633</v>
      </c>
      <c r="O639" s="4" t="s">
        <v>3092</v>
      </c>
      <c r="P639" s="1"/>
      <c r="U639" s="153" t="s">
        <v>3646</v>
      </c>
      <c r="V639" s="4"/>
      <c r="W639" s="3"/>
    </row>
    <row r="640" spans="1:23" x14ac:dyDescent="0.25">
      <c r="A640" s="158">
        <v>590</v>
      </c>
      <c r="B640" s="1"/>
      <c r="C640" s="457" t="s">
        <v>3034</v>
      </c>
      <c r="D640" s="158">
        <v>627</v>
      </c>
      <c r="E640" s="162" t="s">
        <v>24</v>
      </c>
      <c r="F640" s="162" t="s">
        <v>25</v>
      </c>
      <c r="G640" s="449" t="s">
        <v>3090</v>
      </c>
      <c r="H640" s="449" t="s">
        <v>124</v>
      </c>
      <c r="I640" s="495" t="str">
        <f t="shared" ref="I640:I675" si="39">RIGHT(H640,4)</f>
        <v>2018</v>
      </c>
      <c r="J640" s="495"/>
      <c r="K640" s="495"/>
      <c r="L640" s="449" t="s">
        <v>3091</v>
      </c>
      <c r="M640" s="157" t="str">
        <f t="shared" si="38"/>
        <v>К71012400119</v>
      </c>
      <c r="N640" s="161" t="s">
        <v>3633</v>
      </c>
      <c r="O640" s="4" t="s">
        <v>3092</v>
      </c>
      <c r="P640" s="1"/>
      <c r="U640" s="153" t="s">
        <v>3646</v>
      </c>
      <c r="V640" s="4"/>
      <c r="W640" s="3"/>
    </row>
    <row r="641" spans="1:23" x14ac:dyDescent="0.25">
      <c r="A641" s="154">
        <v>591</v>
      </c>
      <c r="B641" s="1"/>
      <c r="C641" s="457" t="s">
        <v>3034</v>
      </c>
      <c r="D641" s="158">
        <v>641</v>
      </c>
      <c r="E641" s="162" t="s">
        <v>24</v>
      </c>
      <c r="F641" s="162" t="s">
        <v>25</v>
      </c>
      <c r="G641" s="449" t="s">
        <v>2142</v>
      </c>
      <c r="H641" s="449" t="s">
        <v>124</v>
      </c>
      <c r="I641" s="495" t="str">
        <f t="shared" si="39"/>
        <v>2018</v>
      </c>
      <c r="J641" s="495"/>
      <c r="K641" s="495"/>
      <c r="L641" s="449" t="s">
        <v>2143</v>
      </c>
      <c r="M641" s="157" t="str">
        <f t="shared" si="38"/>
        <v>К7240000795</v>
      </c>
      <c r="N641" s="161" t="s">
        <v>3633</v>
      </c>
      <c r="O641" s="4" t="s">
        <v>1172</v>
      </c>
      <c r="P641" s="1"/>
      <c r="Q641" s="3"/>
      <c r="S641" s="3"/>
      <c r="U641" s="153" t="s">
        <v>3646</v>
      </c>
      <c r="V641" s="4"/>
      <c r="W641" s="3"/>
    </row>
    <row r="642" spans="1:23" x14ac:dyDescent="0.25">
      <c r="A642" s="158">
        <v>592</v>
      </c>
      <c r="B642" s="1"/>
      <c r="C642" s="457" t="s">
        <v>3034</v>
      </c>
      <c r="D642" s="154">
        <v>644</v>
      </c>
      <c r="E642" s="162" t="s">
        <v>24</v>
      </c>
      <c r="F642" s="162" t="s">
        <v>25</v>
      </c>
      <c r="G642" s="449" t="s">
        <v>3127</v>
      </c>
      <c r="H642" s="449" t="s">
        <v>124</v>
      </c>
      <c r="I642" s="495" t="str">
        <f t="shared" si="39"/>
        <v>2018</v>
      </c>
      <c r="J642" s="495"/>
      <c r="K642" s="495"/>
      <c r="L642" s="449" t="s">
        <v>3128</v>
      </c>
      <c r="M642" s="157" t="str">
        <f t="shared" si="38"/>
        <v>К71012400120</v>
      </c>
      <c r="N642" s="161" t="s">
        <v>3633</v>
      </c>
      <c r="O642" s="4" t="s">
        <v>2028</v>
      </c>
      <c r="P642" s="1"/>
      <c r="Q642" s="3"/>
      <c r="S642" s="3"/>
      <c r="U642" s="153" t="s">
        <v>3646</v>
      </c>
      <c r="V642" s="4"/>
      <c r="W642" s="3"/>
    </row>
    <row r="643" spans="1:23" x14ac:dyDescent="0.25">
      <c r="A643" s="154">
        <v>593</v>
      </c>
      <c r="B643" s="1"/>
      <c r="C643" s="457" t="s">
        <v>3696</v>
      </c>
      <c r="D643" s="158">
        <v>654</v>
      </c>
      <c r="E643" s="3" t="s">
        <v>3097</v>
      </c>
      <c r="F643" s="566" t="s">
        <v>3442</v>
      </c>
      <c r="G643" s="2" t="s">
        <v>3098</v>
      </c>
      <c r="H643" s="2" t="s">
        <v>3099</v>
      </c>
      <c r="I643" s="156" t="str">
        <f t="shared" si="39"/>
        <v>2018</v>
      </c>
      <c r="J643" s="156">
        <v>2018</v>
      </c>
      <c r="K643" s="156"/>
      <c r="L643" s="2">
        <v>71012400068</v>
      </c>
      <c r="M643" s="157" t="str">
        <f t="shared" si="38"/>
        <v>К71012400068</v>
      </c>
      <c r="N643" s="161" t="s">
        <v>3633</v>
      </c>
      <c r="O643" s="498" t="s">
        <v>1817</v>
      </c>
      <c r="P643" s="1"/>
      <c r="U643" s="153" t="s">
        <v>3646</v>
      </c>
      <c r="V643" s="4"/>
      <c r="W643" s="3"/>
    </row>
    <row r="644" spans="1:23" x14ac:dyDescent="0.25">
      <c r="A644" s="158">
        <v>594</v>
      </c>
      <c r="B644" s="1"/>
      <c r="C644" s="457" t="s">
        <v>3696</v>
      </c>
      <c r="D644" s="158">
        <v>655</v>
      </c>
      <c r="E644" s="3" t="s">
        <v>3018</v>
      </c>
      <c r="F644" s="566" t="s">
        <v>3430</v>
      </c>
      <c r="G644" s="565" t="s">
        <v>3019</v>
      </c>
      <c r="H644" s="2" t="s">
        <v>3020</v>
      </c>
      <c r="I644" s="156" t="str">
        <f t="shared" si="39"/>
        <v>2018</v>
      </c>
      <c r="J644" s="156">
        <v>2018</v>
      </c>
      <c r="K644" s="156"/>
      <c r="L644" s="2" t="s">
        <v>3021</v>
      </c>
      <c r="M644" s="157" t="str">
        <f t="shared" si="38"/>
        <v>К71012400062</v>
      </c>
      <c r="N644" s="161" t="s">
        <v>3633</v>
      </c>
      <c r="O644" s="4">
        <v>12</v>
      </c>
      <c r="P644" s="1"/>
      <c r="U644" s="153" t="s">
        <v>3646</v>
      </c>
      <c r="V644" s="4"/>
      <c r="W644" s="3"/>
    </row>
    <row r="645" spans="1:23" x14ac:dyDescent="0.25">
      <c r="A645" s="154">
        <v>595</v>
      </c>
      <c r="B645" s="1"/>
      <c r="C645" s="457" t="s">
        <v>3034</v>
      </c>
      <c r="D645" s="154">
        <v>672</v>
      </c>
      <c r="E645" s="486" t="s">
        <v>3677</v>
      </c>
      <c r="F645" s="3" t="s">
        <v>2011</v>
      </c>
      <c r="G645" s="2" t="s">
        <v>2012</v>
      </c>
      <c r="H645" s="2" t="s">
        <v>124</v>
      </c>
      <c r="I645" s="156" t="str">
        <f t="shared" si="39"/>
        <v>2018</v>
      </c>
      <c r="J645" s="156">
        <v>2018</v>
      </c>
      <c r="K645" s="156"/>
      <c r="L645" s="2" t="s">
        <v>2013</v>
      </c>
      <c r="M645" s="157" t="str">
        <f t="shared" si="38"/>
        <v>К71012400014</v>
      </c>
      <c r="N645" s="161" t="s">
        <v>3633</v>
      </c>
      <c r="O645" s="4" t="s">
        <v>766</v>
      </c>
      <c r="P645" s="1"/>
      <c r="U645" s="153" t="s">
        <v>3646</v>
      </c>
      <c r="V645" s="4"/>
      <c r="W645" s="3"/>
    </row>
    <row r="646" spans="1:23" x14ac:dyDescent="0.25">
      <c r="A646" s="158">
        <v>596</v>
      </c>
      <c r="B646" s="1"/>
      <c r="C646" s="457" t="s">
        <v>3693</v>
      </c>
      <c r="D646" s="158">
        <v>682</v>
      </c>
      <c r="E646" s="459" t="s">
        <v>3472</v>
      </c>
      <c r="F646" s="43" t="s">
        <v>3452</v>
      </c>
      <c r="G646" s="2"/>
      <c r="H646" s="469" t="s">
        <v>124</v>
      </c>
      <c r="I646" s="156" t="str">
        <f t="shared" si="39"/>
        <v>2018</v>
      </c>
      <c r="J646" s="156"/>
      <c r="K646" s="156"/>
      <c r="L646" s="2" t="s">
        <v>3150</v>
      </c>
      <c r="M646" s="157" t="str">
        <f t="shared" si="38"/>
        <v>К71012400017</v>
      </c>
      <c r="N646" s="161" t="s">
        <v>3633</v>
      </c>
      <c r="O646" s="4" t="s">
        <v>2635</v>
      </c>
      <c r="P646" s="1"/>
      <c r="U646" s="153" t="s">
        <v>3646</v>
      </c>
      <c r="V646" s="4"/>
      <c r="W646" s="3"/>
    </row>
    <row r="647" spans="1:23" x14ac:dyDescent="0.25">
      <c r="A647" s="154">
        <v>597</v>
      </c>
      <c r="B647" s="1"/>
      <c r="C647" s="457" t="s">
        <v>3693</v>
      </c>
      <c r="D647" s="154">
        <v>684</v>
      </c>
      <c r="E647" s="3" t="s">
        <v>3027</v>
      </c>
      <c r="F647" s="43" t="s">
        <v>3432</v>
      </c>
      <c r="G647" s="2" t="s">
        <v>3028</v>
      </c>
      <c r="H647" s="2" t="s">
        <v>1344</v>
      </c>
      <c r="I647" s="156" t="str">
        <f t="shared" si="39"/>
        <v>2018</v>
      </c>
      <c r="J647" s="156">
        <v>2018</v>
      </c>
      <c r="K647" s="156"/>
      <c r="L647" s="2"/>
      <c r="M647" s="157" t="str">
        <f t="shared" si="38"/>
        <v>К</v>
      </c>
      <c r="N647" s="161" t="s">
        <v>3633</v>
      </c>
      <c r="O647" s="4">
        <v>12</v>
      </c>
      <c r="P647" s="1"/>
      <c r="U647" s="153" t="s">
        <v>3646</v>
      </c>
      <c r="V647" s="4"/>
      <c r="W647" s="3"/>
    </row>
    <row r="648" spans="1:23" x14ac:dyDescent="0.25">
      <c r="A648" s="158">
        <v>598</v>
      </c>
      <c r="B648" s="456" t="s">
        <v>3552</v>
      </c>
      <c r="C648" s="457" t="s">
        <v>3034</v>
      </c>
      <c r="D648" s="158">
        <v>692</v>
      </c>
      <c r="E648" s="3" t="s">
        <v>325</v>
      </c>
      <c r="F648" s="43" t="s">
        <v>593</v>
      </c>
      <c r="G648" s="2" t="s">
        <v>3045</v>
      </c>
      <c r="H648" s="2" t="s">
        <v>3046</v>
      </c>
      <c r="I648" s="156" t="str">
        <f t="shared" si="39"/>
        <v>2018</v>
      </c>
      <c r="J648" s="156">
        <v>2018</v>
      </c>
      <c r="K648" s="156"/>
      <c r="L648" s="2" t="s">
        <v>3047</v>
      </c>
      <c r="M648" s="157" t="str">
        <f t="shared" si="38"/>
        <v>К21012400172</v>
      </c>
      <c r="N648" s="161" t="s">
        <v>3633</v>
      </c>
      <c r="O648" s="4" t="s">
        <v>2122</v>
      </c>
      <c r="P648" s="1"/>
      <c r="U648" s="153" t="s">
        <v>3646</v>
      </c>
      <c r="V648" s="4"/>
      <c r="W648" s="3"/>
    </row>
    <row r="649" spans="1:23" x14ac:dyDescent="0.25">
      <c r="A649" s="154">
        <v>599</v>
      </c>
      <c r="B649" s="1"/>
      <c r="C649" s="1"/>
      <c r="D649" s="158">
        <v>699</v>
      </c>
      <c r="E649" s="3"/>
      <c r="F649" s="43" t="s">
        <v>3453</v>
      </c>
      <c r="G649" s="2" t="s">
        <v>3153</v>
      </c>
      <c r="H649" s="2" t="s">
        <v>662</v>
      </c>
      <c r="I649" s="156" t="str">
        <f t="shared" si="39"/>
        <v>2018</v>
      </c>
      <c r="J649" s="156"/>
      <c r="K649" s="156"/>
      <c r="L649" s="2"/>
      <c r="M649" s="157" t="str">
        <f t="shared" si="38"/>
        <v>К</v>
      </c>
      <c r="N649" s="161" t="s">
        <v>3633</v>
      </c>
      <c r="O649" s="4" t="s">
        <v>2635</v>
      </c>
      <c r="P649" s="1"/>
      <c r="U649" s="153" t="s">
        <v>3646</v>
      </c>
      <c r="V649" s="4"/>
      <c r="W649" s="3"/>
    </row>
    <row r="650" spans="1:23" x14ac:dyDescent="0.25">
      <c r="A650" s="154">
        <v>607</v>
      </c>
      <c r="B650" s="1"/>
      <c r="C650" s="1"/>
      <c r="D650" s="158">
        <v>547</v>
      </c>
      <c r="E650" s="3" t="s">
        <v>3056</v>
      </c>
      <c r="F650" s="3" t="s">
        <v>3057</v>
      </c>
      <c r="G650" s="2" t="s">
        <v>3058</v>
      </c>
      <c r="H650" s="2" t="s">
        <v>66</v>
      </c>
      <c r="I650" s="156" t="str">
        <f t="shared" si="39"/>
        <v>2019</v>
      </c>
      <c r="J650" s="156">
        <v>2019</v>
      </c>
      <c r="K650" s="156"/>
      <c r="L650" s="2"/>
      <c r="M650" s="157" t="str">
        <f t="shared" si="38"/>
        <v>К</v>
      </c>
      <c r="N650" s="161" t="s">
        <v>3633</v>
      </c>
      <c r="O650" s="4" t="s">
        <v>1847</v>
      </c>
      <c r="P650" s="1"/>
      <c r="Q650" s="3"/>
      <c r="S650" s="3"/>
      <c r="U650" s="153" t="s">
        <v>3646</v>
      </c>
      <c r="V650" s="4"/>
      <c r="W650" s="3"/>
    </row>
    <row r="651" spans="1:23" x14ac:dyDescent="0.25">
      <c r="A651" s="158">
        <v>608</v>
      </c>
      <c r="B651" s="136" t="s">
        <v>3552</v>
      </c>
      <c r="C651" s="136"/>
      <c r="D651" s="158">
        <v>559</v>
      </c>
      <c r="E651" s="138" t="s">
        <v>3554</v>
      </c>
      <c r="F651" s="43" t="s">
        <v>64</v>
      </c>
      <c r="G651" s="2" t="s">
        <v>3088</v>
      </c>
      <c r="H651" s="2" t="s">
        <v>66</v>
      </c>
      <c r="I651" s="156" t="str">
        <f t="shared" si="39"/>
        <v>2019</v>
      </c>
      <c r="J651" s="156"/>
      <c r="K651" s="156"/>
      <c r="L651" s="2"/>
      <c r="M651" s="157" t="str">
        <f t="shared" si="38"/>
        <v>К</v>
      </c>
      <c r="N651" s="161" t="s">
        <v>3633</v>
      </c>
      <c r="O651" s="4" t="s">
        <v>2621</v>
      </c>
      <c r="P651" s="1"/>
      <c r="Q651" s="3"/>
      <c r="S651" s="3"/>
      <c r="U651" s="153" t="s">
        <v>3646</v>
      </c>
      <c r="V651" s="4"/>
      <c r="W651" s="3"/>
    </row>
    <row r="652" spans="1:23" x14ac:dyDescent="0.25">
      <c r="A652" s="158">
        <v>612</v>
      </c>
      <c r="B652" s="1"/>
      <c r="C652" s="457" t="s">
        <v>3034</v>
      </c>
      <c r="D652" s="158">
        <v>575</v>
      </c>
      <c r="E652" s="3" t="s">
        <v>91</v>
      </c>
      <c r="F652" s="43" t="s">
        <v>92</v>
      </c>
      <c r="G652" s="2" t="s">
        <v>3121</v>
      </c>
      <c r="H652" s="2" t="s">
        <v>66</v>
      </c>
      <c r="I652" s="156" t="str">
        <f t="shared" si="39"/>
        <v>2019</v>
      </c>
      <c r="J652" s="156"/>
      <c r="K652" s="156"/>
      <c r="L652" s="2"/>
      <c r="M652" s="157" t="str">
        <f t="shared" si="38"/>
        <v>К</v>
      </c>
      <c r="N652" s="161" t="s">
        <v>3633</v>
      </c>
      <c r="O652" s="4" t="s">
        <v>2028</v>
      </c>
      <c r="P652" s="1"/>
      <c r="U652" s="153" t="s">
        <v>3646</v>
      </c>
      <c r="V652" s="4"/>
      <c r="W652" s="3"/>
    </row>
    <row r="653" spans="1:23" s="162" customFormat="1" x14ac:dyDescent="0.25">
      <c r="A653" s="495">
        <v>614</v>
      </c>
      <c r="B653" s="136" t="s">
        <v>3552</v>
      </c>
      <c r="C653" s="136"/>
      <c r="D653" s="154">
        <v>658</v>
      </c>
      <c r="E653" s="3" t="s">
        <v>28</v>
      </c>
      <c r="F653" s="43" t="s">
        <v>49</v>
      </c>
      <c r="G653" s="2" t="s">
        <v>3089</v>
      </c>
      <c r="H653" s="2" t="s">
        <v>66</v>
      </c>
      <c r="I653" s="156" t="str">
        <f t="shared" si="39"/>
        <v>2019</v>
      </c>
      <c r="J653" s="156"/>
      <c r="K653" s="156"/>
      <c r="L653" s="2"/>
      <c r="M653" s="157" t="str">
        <f t="shared" si="38"/>
        <v>К</v>
      </c>
      <c r="N653" s="161" t="s">
        <v>3633</v>
      </c>
      <c r="O653" s="4" t="s">
        <v>2621</v>
      </c>
      <c r="P653" s="1"/>
      <c r="Q653" s="1"/>
      <c r="R653" s="3"/>
      <c r="S653" s="1"/>
      <c r="U653" s="167" t="s">
        <v>3646</v>
      </c>
      <c r="V653" s="168"/>
    </row>
    <row r="654" spans="1:23" x14ac:dyDescent="0.25">
      <c r="A654" s="154">
        <v>623</v>
      </c>
      <c r="B654" s="1"/>
      <c r="C654" s="452" t="s">
        <v>3640</v>
      </c>
      <c r="D654" s="158">
        <v>687</v>
      </c>
      <c r="E654" s="3" t="s">
        <v>2320</v>
      </c>
      <c r="F654" s="3" t="s">
        <v>1214</v>
      </c>
      <c r="G654" s="2" t="s">
        <v>2138</v>
      </c>
      <c r="H654" s="2" t="s">
        <v>2139</v>
      </c>
      <c r="I654" s="156" t="str">
        <f t="shared" si="39"/>
        <v>2019</v>
      </c>
      <c r="J654" s="156"/>
      <c r="K654" s="156"/>
      <c r="L654" s="2" t="s">
        <v>2137</v>
      </c>
      <c r="M654" s="157" t="str">
        <f t="shared" si="38"/>
        <v>К71012400309</v>
      </c>
      <c r="N654" s="161" t="s">
        <v>3633</v>
      </c>
      <c r="O654" s="4" t="s">
        <v>1773</v>
      </c>
      <c r="P654" s="1"/>
      <c r="R654" s="170" t="s">
        <v>3754</v>
      </c>
      <c r="S654" s="455" t="s">
        <v>3755</v>
      </c>
      <c r="U654" s="153" t="s">
        <v>3646</v>
      </c>
      <c r="V654" s="4"/>
      <c r="W654" s="3"/>
    </row>
    <row r="655" spans="1:23" x14ac:dyDescent="0.25">
      <c r="A655" s="154">
        <v>629</v>
      </c>
      <c r="B655" s="1"/>
      <c r="C655" s="1"/>
      <c r="D655" s="154">
        <v>691</v>
      </c>
      <c r="E655" s="3" t="s">
        <v>3070</v>
      </c>
      <c r="F655" s="43" t="s">
        <v>3439</v>
      </c>
      <c r="G655" s="2" t="s">
        <v>3071</v>
      </c>
      <c r="H655" s="2" t="s">
        <v>1420</v>
      </c>
      <c r="I655" s="156" t="str">
        <f t="shared" si="39"/>
        <v>2019</v>
      </c>
      <c r="J655" s="156">
        <v>2019</v>
      </c>
      <c r="K655" s="156"/>
      <c r="L655" s="2" t="s">
        <v>3072</v>
      </c>
      <c r="M655" s="157" t="str">
        <f t="shared" si="38"/>
        <v>К08102573</v>
      </c>
      <c r="N655" s="161" t="s">
        <v>3633</v>
      </c>
      <c r="O655" s="4" t="s">
        <v>1847</v>
      </c>
      <c r="P655" s="1"/>
      <c r="U655" s="153" t="s">
        <v>3646</v>
      </c>
      <c r="V655" s="4"/>
      <c r="W655" s="3"/>
    </row>
    <row r="656" spans="1:23" x14ac:dyDescent="0.25">
      <c r="A656" s="158">
        <v>632</v>
      </c>
      <c r="B656" s="1"/>
      <c r="C656" s="457"/>
      <c r="D656" s="158">
        <v>603</v>
      </c>
      <c r="E656" s="3" t="s">
        <v>880</v>
      </c>
      <c r="F656" s="3" t="s">
        <v>1867</v>
      </c>
      <c r="G656" s="2"/>
      <c r="H656" s="2" t="s">
        <v>1868</v>
      </c>
      <c r="I656" s="156" t="str">
        <f t="shared" si="39"/>
        <v>2020</v>
      </c>
      <c r="J656" s="156"/>
      <c r="K656" s="156"/>
      <c r="L656" s="2"/>
      <c r="M656" s="157" t="str">
        <f t="shared" si="38"/>
        <v>К</v>
      </c>
      <c r="N656" s="161" t="s">
        <v>3633</v>
      </c>
      <c r="O656" s="4" t="s">
        <v>1892</v>
      </c>
      <c r="P656" s="1"/>
      <c r="U656" s="153" t="s">
        <v>3646</v>
      </c>
      <c r="V656" s="4"/>
      <c r="W656" s="3"/>
    </row>
    <row r="657" spans="1:24" x14ac:dyDescent="0.25">
      <c r="A657" s="154">
        <v>633</v>
      </c>
      <c r="B657" s="1"/>
      <c r="C657" s="457" t="s">
        <v>3034</v>
      </c>
      <c r="D657" s="158">
        <v>615</v>
      </c>
      <c r="E657" s="3" t="s">
        <v>24</v>
      </c>
      <c r="F657" s="3" t="s">
        <v>1105</v>
      </c>
      <c r="G657" s="2" t="s">
        <v>2117</v>
      </c>
      <c r="H657" s="2" t="s">
        <v>1107</v>
      </c>
      <c r="I657" s="156" t="str">
        <f t="shared" si="39"/>
        <v>2020</v>
      </c>
      <c r="J657" s="156"/>
      <c r="K657" s="156"/>
      <c r="L657" s="2" t="s">
        <v>2116</v>
      </c>
      <c r="M657" s="157" t="str">
        <f t="shared" si="38"/>
        <v>К41012412374</v>
      </c>
      <c r="N657" s="161" t="s">
        <v>3633</v>
      </c>
      <c r="O657" s="4" t="s">
        <v>1892</v>
      </c>
      <c r="P657" s="1"/>
      <c r="U657" s="153" t="s">
        <v>3646</v>
      </c>
      <c r="V657" s="4"/>
      <c r="W657" s="3"/>
    </row>
    <row r="658" spans="1:24" x14ac:dyDescent="0.25">
      <c r="A658" s="158">
        <v>634</v>
      </c>
      <c r="B658" s="1"/>
      <c r="C658" s="457" t="s">
        <v>3034</v>
      </c>
      <c r="D658" s="154">
        <v>618</v>
      </c>
      <c r="E658" s="3" t="s">
        <v>24</v>
      </c>
      <c r="F658" s="3" t="s">
        <v>1105</v>
      </c>
      <c r="G658" s="2" t="s">
        <v>1998</v>
      </c>
      <c r="H658" s="2" t="s">
        <v>1107</v>
      </c>
      <c r="I658" s="156" t="str">
        <f t="shared" si="39"/>
        <v>2020</v>
      </c>
      <c r="J658" s="156"/>
      <c r="K658" s="156"/>
      <c r="L658" s="2" t="s">
        <v>1999</v>
      </c>
      <c r="M658" s="157" t="str">
        <f t="shared" si="38"/>
        <v>К41012412375</v>
      </c>
      <c r="N658" s="161" t="s">
        <v>3633</v>
      </c>
      <c r="O658" s="4" t="s">
        <v>2000</v>
      </c>
      <c r="P658" s="1"/>
      <c r="U658" s="153" t="s">
        <v>3646</v>
      </c>
      <c r="V658" s="4"/>
      <c r="W658" s="3"/>
    </row>
    <row r="659" spans="1:24" x14ac:dyDescent="0.25">
      <c r="A659" s="158">
        <v>542</v>
      </c>
      <c r="B659" s="1"/>
      <c r="C659" s="457" t="s">
        <v>3034</v>
      </c>
      <c r="D659" s="158">
        <v>619</v>
      </c>
      <c r="E659" s="3" t="s">
        <v>24</v>
      </c>
      <c r="F659" s="3" t="s">
        <v>1105</v>
      </c>
      <c r="G659" s="2" t="s">
        <v>2114</v>
      </c>
      <c r="H659" s="2" t="s">
        <v>1107</v>
      </c>
      <c r="I659" s="156" t="str">
        <f t="shared" si="39"/>
        <v>2020</v>
      </c>
      <c r="J659" s="156"/>
      <c r="K659" s="156"/>
      <c r="L659" s="2" t="s">
        <v>2113</v>
      </c>
      <c r="M659" s="157" t="str">
        <f t="shared" si="38"/>
        <v>К41012412333</v>
      </c>
      <c r="N659" s="161" t="s">
        <v>3633</v>
      </c>
      <c r="O659" s="4" t="s">
        <v>2119</v>
      </c>
      <c r="P659" s="1"/>
      <c r="U659" s="1"/>
      <c r="V659" s="4"/>
      <c r="W659" s="3"/>
    </row>
    <row r="660" spans="1:24" x14ac:dyDescent="0.25">
      <c r="A660" s="158">
        <v>624</v>
      </c>
      <c r="B660" s="1"/>
      <c r="C660" s="457" t="s">
        <v>3034</v>
      </c>
      <c r="D660" s="158">
        <v>620</v>
      </c>
      <c r="E660" s="3" t="s">
        <v>24</v>
      </c>
      <c r="F660" s="3" t="s">
        <v>1105</v>
      </c>
      <c r="G660" s="2" t="s">
        <v>2001</v>
      </c>
      <c r="H660" s="2" t="s">
        <v>1107</v>
      </c>
      <c r="I660" s="156" t="str">
        <f t="shared" si="39"/>
        <v>2020</v>
      </c>
      <c r="J660" s="156"/>
      <c r="K660" s="156"/>
      <c r="L660" s="2" t="s">
        <v>2002</v>
      </c>
      <c r="M660" s="157" t="str">
        <f t="shared" si="38"/>
        <v>К41012412329</v>
      </c>
      <c r="N660" s="161" t="s">
        <v>3633</v>
      </c>
      <c r="O660" s="4" t="s">
        <v>2003</v>
      </c>
      <c r="P660" s="1"/>
      <c r="U660" s="1"/>
      <c r="V660" s="4"/>
      <c r="W660" s="3"/>
    </row>
    <row r="661" spans="1:24" x14ac:dyDescent="0.25">
      <c r="A661" s="158">
        <v>528</v>
      </c>
      <c r="B661" s="1"/>
      <c r="C661" s="457" t="s">
        <v>3034</v>
      </c>
      <c r="D661" s="158">
        <v>633</v>
      </c>
      <c r="E661" s="3" t="s">
        <v>24</v>
      </c>
      <c r="F661" s="3" t="s">
        <v>1105</v>
      </c>
      <c r="G661" s="2" t="s">
        <v>2128</v>
      </c>
      <c r="H661" s="2" t="s">
        <v>1107</v>
      </c>
      <c r="I661" s="156" t="str">
        <f t="shared" si="39"/>
        <v>2020</v>
      </c>
      <c r="J661" s="156"/>
      <c r="K661" s="156"/>
      <c r="L661" s="2" t="s">
        <v>2127</v>
      </c>
      <c r="M661" s="157" t="str">
        <f t="shared" si="38"/>
        <v>К41012412376</v>
      </c>
      <c r="N661" s="161" t="s">
        <v>3633</v>
      </c>
      <c r="O661" s="4" t="s">
        <v>1154</v>
      </c>
      <c r="P661" s="1"/>
      <c r="U661" s="1"/>
      <c r="V661" s="4"/>
      <c r="W661" s="3"/>
    </row>
    <row r="662" spans="1:24" x14ac:dyDescent="0.25">
      <c r="A662" s="158">
        <v>510</v>
      </c>
      <c r="B662" s="1"/>
      <c r="C662" s="457" t="s">
        <v>3034</v>
      </c>
      <c r="D662" s="158">
        <v>634</v>
      </c>
      <c r="E662" s="3" t="s">
        <v>24</v>
      </c>
      <c r="F662" s="3" t="s">
        <v>1105</v>
      </c>
      <c r="G662" s="2" t="s">
        <v>2132</v>
      </c>
      <c r="H662" s="2" t="s">
        <v>1107</v>
      </c>
      <c r="I662" s="156" t="str">
        <f t="shared" si="39"/>
        <v>2020</v>
      </c>
      <c r="J662" s="156"/>
      <c r="K662" s="156"/>
      <c r="L662" s="2" t="s">
        <v>2144</v>
      </c>
      <c r="M662" s="157" t="str">
        <f t="shared" si="38"/>
        <v>К41012412332</v>
      </c>
      <c r="N662" s="161" t="s">
        <v>3633</v>
      </c>
      <c r="O662" s="4" t="s">
        <v>1178</v>
      </c>
      <c r="P662" s="1"/>
      <c r="U662" s="1"/>
      <c r="V662" s="4"/>
      <c r="W662" s="3"/>
    </row>
    <row r="663" spans="1:24" x14ac:dyDescent="0.25">
      <c r="A663" s="154">
        <v>625</v>
      </c>
      <c r="B663" s="1"/>
      <c r="C663" s="457" t="s">
        <v>3034</v>
      </c>
      <c r="D663" s="154">
        <v>637</v>
      </c>
      <c r="E663" s="3" t="s">
        <v>24</v>
      </c>
      <c r="F663" s="3" t="s">
        <v>1105</v>
      </c>
      <c r="G663" s="2" t="s">
        <v>2129</v>
      </c>
      <c r="H663" s="2" t="s">
        <v>1107</v>
      </c>
      <c r="I663" s="156" t="str">
        <f t="shared" si="39"/>
        <v>2020</v>
      </c>
      <c r="J663" s="156"/>
      <c r="K663" s="156"/>
      <c r="L663" s="2" t="s">
        <v>2130</v>
      </c>
      <c r="M663" s="157" t="str">
        <f t="shared" si="38"/>
        <v>К41012412330</v>
      </c>
      <c r="N663" s="161" t="s">
        <v>3633</v>
      </c>
      <c r="O663" s="4" t="s">
        <v>1160</v>
      </c>
      <c r="P663" s="1"/>
      <c r="U663" s="1"/>
      <c r="V663" s="4"/>
      <c r="W663" s="3"/>
    </row>
    <row r="664" spans="1:24" x14ac:dyDescent="0.25">
      <c r="A664" s="154"/>
      <c r="B664" s="1"/>
      <c r="C664" s="457" t="s">
        <v>3034</v>
      </c>
      <c r="D664" s="158">
        <v>638</v>
      </c>
      <c r="E664" s="3" t="s">
        <v>24</v>
      </c>
      <c r="F664" s="3" t="s">
        <v>1105</v>
      </c>
      <c r="G664" s="2" t="s">
        <v>2133</v>
      </c>
      <c r="H664" s="2" t="s">
        <v>1107</v>
      </c>
      <c r="I664" s="156" t="str">
        <f t="shared" si="39"/>
        <v>2020</v>
      </c>
      <c r="J664" s="156"/>
      <c r="K664" s="156"/>
      <c r="L664" s="2" t="s">
        <v>2131</v>
      </c>
      <c r="M664" s="157" t="str">
        <f t="shared" si="38"/>
        <v>К41012412334</v>
      </c>
      <c r="N664" s="161" t="s">
        <v>3633</v>
      </c>
      <c r="O664" s="4" t="s">
        <v>1164</v>
      </c>
      <c r="P664" s="1"/>
      <c r="U664" s="1"/>
      <c r="V664" s="4"/>
      <c r="W664" s="3"/>
    </row>
    <row r="665" spans="1:24" x14ac:dyDescent="0.25">
      <c r="A665" s="154">
        <v>555</v>
      </c>
      <c r="B665" s="1"/>
      <c r="C665" s="1"/>
      <c r="D665" s="158">
        <v>645</v>
      </c>
      <c r="E665" s="3" t="s">
        <v>24</v>
      </c>
      <c r="F665" s="3" t="s">
        <v>1105</v>
      </c>
      <c r="G665" s="2" t="s">
        <v>2140</v>
      </c>
      <c r="H665" s="2" t="s">
        <v>1107</v>
      </c>
      <c r="I665" s="156" t="str">
        <f t="shared" si="39"/>
        <v>2020</v>
      </c>
      <c r="J665" s="156"/>
      <c r="K665" s="156"/>
      <c r="L665" s="2" t="s">
        <v>2141</v>
      </c>
      <c r="M665" s="157" t="str">
        <f t="shared" si="38"/>
        <v>К41012412328</v>
      </c>
      <c r="N665" s="161" t="s">
        <v>3633</v>
      </c>
      <c r="O665" s="4" t="s">
        <v>1773</v>
      </c>
      <c r="P665" s="1"/>
      <c r="U665" s="1"/>
      <c r="V665" s="4"/>
      <c r="W665" s="3"/>
    </row>
    <row r="666" spans="1:24" x14ac:dyDescent="0.25">
      <c r="A666" s="154">
        <v>579</v>
      </c>
      <c r="B666" s="1"/>
      <c r="C666" s="457" t="s">
        <v>3034</v>
      </c>
      <c r="D666" s="158">
        <v>648</v>
      </c>
      <c r="E666" s="3" t="s">
        <v>24</v>
      </c>
      <c r="F666" s="3" t="s">
        <v>1105</v>
      </c>
      <c r="G666" s="2" t="s">
        <v>2145</v>
      </c>
      <c r="H666" s="2" t="s">
        <v>1107</v>
      </c>
      <c r="I666" s="156" t="str">
        <f t="shared" si="39"/>
        <v>2020</v>
      </c>
      <c r="J666" s="156"/>
      <c r="K666" s="156"/>
      <c r="L666" s="2" t="s">
        <v>2144</v>
      </c>
      <c r="M666" s="157" t="str">
        <f t="shared" si="38"/>
        <v>К41012412332</v>
      </c>
      <c r="N666" s="161" t="s">
        <v>3633</v>
      </c>
      <c r="O666" s="4" t="s">
        <v>1907</v>
      </c>
      <c r="P666" s="1"/>
      <c r="U666" s="1"/>
      <c r="V666" s="4"/>
      <c r="W666" s="3"/>
    </row>
    <row r="667" spans="1:24" x14ac:dyDescent="0.25">
      <c r="A667" s="158">
        <v>580</v>
      </c>
      <c r="B667" s="1"/>
      <c r="C667" s="457" t="s">
        <v>3034</v>
      </c>
      <c r="D667" s="158">
        <v>612</v>
      </c>
      <c r="E667" s="3" t="s">
        <v>24</v>
      </c>
      <c r="F667" s="3" t="s">
        <v>25</v>
      </c>
      <c r="G667" s="2" t="s">
        <v>2123</v>
      </c>
      <c r="H667" s="2" t="s">
        <v>225</v>
      </c>
      <c r="I667" s="156" t="str">
        <f t="shared" si="39"/>
        <v>2021</v>
      </c>
      <c r="J667" s="156"/>
      <c r="K667" s="156"/>
      <c r="L667" s="2"/>
      <c r="M667" s="157" t="str">
        <f t="shared" si="38"/>
        <v>К</v>
      </c>
      <c r="N667" s="161" t="s">
        <v>3633</v>
      </c>
      <c r="O667" s="4" t="s">
        <v>2122</v>
      </c>
      <c r="P667" s="1"/>
      <c r="U667" s="1"/>
      <c r="V667" s="4"/>
      <c r="W667" s="3"/>
    </row>
    <row r="668" spans="1:24" x14ac:dyDescent="0.25">
      <c r="A668" s="154">
        <v>581</v>
      </c>
      <c r="B668" s="1"/>
      <c r="C668" s="457" t="s">
        <v>3034</v>
      </c>
      <c r="D668" s="158">
        <v>617</v>
      </c>
      <c r="E668" s="3" t="s">
        <v>24</v>
      </c>
      <c r="F668" s="3" t="s">
        <v>25</v>
      </c>
      <c r="G668" s="2" t="s">
        <v>2118</v>
      </c>
      <c r="H668" s="2" t="s">
        <v>225</v>
      </c>
      <c r="I668" s="156" t="str">
        <f t="shared" si="39"/>
        <v>2021</v>
      </c>
      <c r="J668" s="156"/>
      <c r="K668" s="156"/>
      <c r="L668" s="2"/>
      <c r="M668" s="157" t="str">
        <f t="shared" si="38"/>
        <v>К</v>
      </c>
      <c r="N668" s="161" t="s">
        <v>3633</v>
      </c>
      <c r="O668" s="4" t="s">
        <v>1892</v>
      </c>
      <c r="P668" s="1"/>
      <c r="U668" s="1"/>
      <c r="V668" s="4"/>
      <c r="W668" s="3"/>
    </row>
    <row r="669" spans="1:24" s="175" customFormat="1" x14ac:dyDescent="0.25">
      <c r="A669" s="158">
        <v>586</v>
      </c>
      <c r="B669" s="1"/>
      <c r="C669" s="457" t="s">
        <v>3034</v>
      </c>
      <c r="D669" s="158">
        <v>622</v>
      </c>
      <c r="E669" s="3" t="s">
        <v>24</v>
      </c>
      <c r="F669" s="3" t="s">
        <v>25</v>
      </c>
      <c r="G669" s="2" t="s">
        <v>2125</v>
      </c>
      <c r="H669" s="2" t="s">
        <v>225</v>
      </c>
      <c r="I669" s="156" t="str">
        <f t="shared" si="39"/>
        <v>2021</v>
      </c>
      <c r="J669" s="156"/>
      <c r="K669" s="156"/>
      <c r="L669" s="2"/>
      <c r="M669" s="157" t="str">
        <f t="shared" si="38"/>
        <v>К</v>
      </c>
      <c r="N669" s="161" t="s">
        <v>3633</v>
      </c>
      <c r="O669" s="4" t="s">
        <v>3092</v>
      </c>
      <c r="P669" s="1"/>
      <c r="Q669" s="1"/>
      <c r="R669" s="3"/>
      <c r="S669" s="1"/>
      <c r="T669" s="3"/>
      <c r="U669" s="1"/>
      <c r="V669" s="4"/>
      <c r="W669" s="3"/>
      <c r="X669" s="3"/>
    </row>
    <row r="670" spans="1:24" x14ac:dyDescent="0.25">
      <c r="A670" s="158">
        <v>582</v>
      </c>
      <c r="B670" s="1"/>
      <c r="C670" s="457" t="s">
        <v>3034</v>
      </c>
      <c r="D670" s="154">
        <v>623</v>
      </c>
      <c r="E670" s="3" t="s">
        <v>24</v>
      </c>
      <c r="F670" s="3" t="s">
        <v>25</v>
      </c>
      <c r="G670" s="2" t="s">
        <v>2126</v>
      </c>
      <c r="H670" s="2" t="s">
        <v>225</v>
      </c>
      <c r="I670" s="156" t="str">
        <f t="shared" si="39"/>
        <v>2021</v>
      </c>
      <c r="J670" s="156"/>
      <c r="K670" s="156"/>
      <c r="L670" s="2"/>
      <c r="M670" s="157" t="str">
        <f t="shared" si="38"/>
        <v>К</v>
      </c>
      <c r="N670" s="161" t="s">
        <v>3633</v>
      </c>
      <c r="O670" s="4" t="s">
        <v>3092</v>
      </c>
      <c r="P670" s="1"/>
      <c r="U670" s="1"/>
      <c r="V670" s="4"/>
      <c r="W670" s="3"/>
    </row>
    <row r="671" spans="1:24" x14ac:dyDescent="0.25">
      <c r="A671" s="158">
        <v>550</v>
      </c>
      <c r="B671" s="1"/>
      <c r="C671" s="457" t="s">
        <v>3034</v>
      </c>
      <c r="D671" s="158">
        <v>624</v>
      </c>
      <c r="E671" s="3" t="s">
        <v>24</v>
      </c>
      <c r="F671" s="3" t="s">
        <v>25</v>
      </c>
      <c r="G671" s="2" t="s">
        <v>2136</v>
      </c>
      <c r="H671" s="2" t="s">
        <v>225</v>
      </c>
      <c r="I671" s="156" t="str">
        <f t="shared" si="39"/>
        <v>2021</v>
      </c>
      <c r="J671" s="156"/>
      <c r="K671" s="156"/>
      <c r="L671" s="2"/>
      <c r="M671" s="157" t="str">
        <f t="shared" si="38"/>
        <v>К</v>
      </c>
      <c r="N671" s="161" t="s">
        <v>3633</v>
      </c>
      <c r="O671" s="4" t="s">
        <v>3092</v>
      </c>
      <c r="P671" s="1"/>
      <c r="U671" s="1"/>
      <c r="V671" s="4"/>
      <c r="W671" s="3"/>
    </row>
    <row r="672" spans="1:24" x14ac:dyDescent="0.25">
      <c r="A672" s="154">
        <v>553</v>
      </c>
      <c r="B672" s="1"/>
      <c r="C672" s="457" t="s">
        <v>3034</v>
      </c>
      <c r="D672" s="154">
        <v>632</v>
      </c>
      <c r="E672" s="3" t="s">
        <v>24</v>
      </c>
      <c r="F672" s="3" t="s">
        <v>25</v>
      </c>
      <c r="G672" s="2" t="s">
        <v>2146</v>
      </c>
      <c r="H672" s="2" t="s">
        <v>225</v>
      </c>
      <c r="I672" s="156" t="str">
        <f t="shared" si="39"/>
        <v>2021</v>
      </c>
      <c r="J672" s="156"/>
      <c r="K672" s="156"/>
      <c r="L672" s="2"/>
      <c r="M672" s="157" t="str">
        <f t="shared" si="38"/>
        <v>К</v>
      </c>
      <c r="N672" s="161" t="s">
        <v>3633</v>
      </c>
      <c r="O672" s="4" t="s">
        <v>1888</v>
      </c>
      <c r="P672" s="1"/>
      <c r="U672" s="1"/>
      <c r="V672" s="4"/>
      <c r="W672" s="3"/>
    </row>
    <row r="673" spans="1:24" x14ac:dyDescent="0.25">
      <c r="A673" s="158">
        <v>648</v>
      </c>
      <c r="B673" s="1"/>
      <c r="C673" s="457" t="s">
        <v>3034</v>
      </c>
      <c r="D673" s="158">
        <v>640</v>
      </c>
      <c r="E673" s="3" t="s">
        <v>24</v>
      </c>
      <c r="F673" s="3" t="s">
        <v>37</v>
      </c>
      <c r="G673" s="2" t="s">
        <v>2135</v>
      </c>
      <c r="H673" s="2" t="s">
        <v>225</v>
      </c>
      <c r="I673" s="156" t="str">
        <f t="shared" si="39"/>
        <v>2021</v>
      </c>
      <c r="J673" s="156"/>
      <c r="K673" s="156"/>
      <c r="L673" s="2"/>
      <c r="M673" s="157" t="str">
        <f t="shared" si="38"/>
        <v>К</v>
      </c>
      <c r="N673" s="161" t="s">
        <v>3633</v>
      </c>
      <c r="O673" s="4" t="s">
        <v>2134</v>
      </c>
      <c r="P673" s="1"/>
      <c r="U673" s="1"/>
      <c r="V673" s="4"/>
      <c r="W673" s="3"/>
    </row>
    <row r="674" spans="1:24" x14ac:dyDescent="0.25">
      <c r="A674" s="158">
        <v>566</v>
      </c>
      <c r="B674" s="1"/>
      <c r="C674" s="1"/>
      <c r="D674" s="158">
        <v>662</v>
      </c>
      <c r="E674" s="468" t="s">
        <v>2359</v>
      </c>
      <c r="F674" s="468" t="s">
        <v>1957</v>
      </c>
      <c r="G674" s="2" t="s">
        <v>1962</v>
      </c>
      <c r="H674" s="2" t="s">
        <v>1963</v>
      </c>
      <c r="I674" s="156" t="str">
        <f t="shared" si="39"/>
        <v>2021</v>
      </c>
      <c r="J674" s="156">
        <v>2021</v>
      </c>
      <c r="K674" s="156"/>
      <c r="L674" s="2" t="s">
        <v>1964</v>
      </c>
      <c r="M674" s="157" t="str">
        <f t="shared" si="38"/>
        <v>К71012413260</v>
      </c>
      <c r="N674" s="161" t="s">
        <v>3633</v>
      </c>
      <c r="O674" s="4" t="s">
        <v>1961</v>
      </c>
      <c r="P674" s="1"/>
      <c r="U674" s="1"/>
      <c r="V674" s="4"/>
      <c r="W674" s="3"/>
    </row>
    <row r="675" spans="1:24" x14ac:dyDescent="0.25">
      <c r="A675" s="154">
        <v>609</v>
      </c>
      <c r="B675" s="1"/>
      <c r="C675" s="457" t="s">
        <v>3690</v>
      </c>
      <c r="D675" s="154">
        <v>663</v>
      </c>
      <c r="E675" s="468" t="s">
        <v>2359</v>
      </c>
      <c r="F675" s="468" t="s">
        <v>1957</v>
      </c>
      <c r="G675" s="2" t="s">
        <v>1958</v>
      </c>
      <c r="H675" s="2" t="s">
        <v>1959</v>
      </c>
      <c r="I675" s="156" t="str">
        <f t="shared" si="39"/>
        <v>2021</v>
      </c>
      <c r="J675" s="156"/>
      <c r="K675" s="156"/>
      <c r="L675" s="2"/>
      <c r="M675" s="157" t="str">
        <f t="shared" si="38"/>
        <v>К</v>
      </c>
      <c r="N675" s="161" t="s">
        <v>3633</v>
      </c>
      <c r="O675" s="4" t="s">
        <v>1961</v>
      </c>
      <c r="P675" s="1"/>
      <c r="U675" s="1"/>
      <c r="V675" s="4"/>
      <c r="W675" s="3"/>
    </row>
    <row r="676" spans="1:24" x14ac:dyDescent="0.25">
      <c r="A676" s="154">
        <v>543</v>
      </c>
      <c r="B676" s="1"/>
      <c r="C676" s="1"/>
      <c r="D676" s="154">
        <v>548</v>
      </c>
      <c r="E676" s="3" t="s">
        <v>3056</v>
      </c>
      <c r="F676" s="3" t="s">
        <v>3057</v>
      </c>
      <c r="G676" s="2" t="s">
        <v>3059</v>
      </c>
      <c r="H676" s="2"/>
      <c r="I676" s="156" t="str">
        <f t="shared" ref="I676:I701" si="40">RIGHT(H676,4)</f>
        <v/>
      </c>
      <c r="J676" s="156"/>
      <c r="K676" s="156"/>
      <c r="L676" s="2"/>
      <c r="M676" s="157" t="str">
        <f t="shared" si="38"/>
        <v>К</v>
      </c>
      <c r="N676" s="161" t="s">
        <v>3633</v>
      </c>
      <c r="O676" s="4" t="s">
        <v>1847</v>
      </c>
      <c r="P676" s="1"/>
      <c r="Q676" s="3"/>
      <c r="S676" s="3"/>
      <c r="U676" s="1"/>
      <c r="V676" s="4"/>
      <c r="W676" s="3"/>
    </row>
    <row r="677" spans="1:24" x14ac:dyDescent="0.25">
      <c r="A677" s="154">
        <v>567</v>
      </c>
      <c r="B677" s="167"/>
      <c r="C677" s="167"/>
      <c r="D677" s="154">
        <v>551</v>
      </c>
      <c r="E677" s="550" t="s">
        <v>3056</v>
      </c>
      <c r="F677" s="162" t="s">
        <v>3162</v>
      </c>
      <c r="G677" s="449" t="s">
        <v>3163</v>
      </c>
      <c r="H677" s="449"/>
      <c r="I677" s="156" t="str">
        <f t="shared" si="40"/>
        <v/>
      </c>
      <c r="J677" s="495"/>
      <c r="K677" s="495"/>
      <c r="L677" s="449" t="s">
        <v>3164</v>
      </c>
      <c r="M677" s="496" t="str">
        <f t="shared" si="38"/>
        <v>К08102390_2</v>
      </c>
      <c r="N677" s="162" t="s">
        <v>3633</v>
      </c>
      <c r="O677" s="168"/>
      <c r="P677" s="167"/>
      <c r="Q677" s="162"/>
      <c r="R677" s="162"/>
      <c r="S677" s="162"/>
      <c r="U677" s="1"/>
      <c r="V677" s="4"/>
      <c r="W677" s="3"/>
    </row>
    <row r="678" spans="1:24" x14ac:dyDescent="0.25">
      <c r="A678" s="158">
        <v>568</v>
      </c>
      <c r="B678" s="1"/>
      <c r="C678" s="1"/>
      <c r="D678" s="154">
        <v>558</v>
      </c>
      <c r="E678" s="3" t="s">
        <v>2956</v>
      </c>
      <c r="F678" s="3"/>
      <c r="G678" s="2"/>
      <c r="H678" s="2"/>
      <c r="I678" s="156" t="str">
        <f t="shared" si="40"/>
        <v/>
      </c>
      <c r="J678" s="156"/>
      <c r="K678" s="156"/>
      <c r="L678" s="2" t="s">
        <v>3073</v>
      </c>
      <c r="M678" s="157" t="str">
        <f t="shared" si="38"/>
        <v>К08102447</v>
      </c>
      <c r="N678" s="161" t="s">
        <v>3633</v>
      </c>
      <c r="O678" s="4" t="s">
        <v>3074</v>
      </c>
      <c r="P678" s="1"/>
      <c r="Q678" s="3"/>
      <c r="S678" s="3"/>
      <c r="U678" s="1"/>
      <c r="V678" s="4"/>
      <c r="W678" s="3"/>
    </row>
    <row r="679" spans="1:24" x14ac:dyDescent="0.25">
      <c r="A679" s="154">
        <v>569</v>
      </c>
      <c r="B679" s="136" t="s">
        <v>3552</v>
      </c>
      <c r="C679" s="136"/>
      <c r="D679" s="154">
        <v>562</v>
      </c>
      <c r="E679" s="138" t="s">
        <v>3555</v>
      </c>
      <c r="F679" s="3" t="s">
        <v>2151</v>
      </c>
      <c r="G679" s="2" t="s">
        <v>2150</v>
      </c>
      <c r="H679" s="2"/>
      <c r="I679" s="156" t="str">
        <f t="shared" si="40"/>
        <v/>
      </c>
      <c r="J679" s="156"/>
      <c r="K679" s="156"/>
      <c r="L679" s="2"/>
      <c r="M679" s="157" t="str">
        <f t="shared" si="38"/>
        <v>К</v>
      </c>
      <c r="N679" s="161" t="s">
        <v>3633</v>
      </c>
      <c r="O679" s="4" t="s">
        <v>1081</v>
      </c>
      <c r="P679" s="1"/>
      <c r="Q679" s="3"/>
      <c r="S679" s="3"/>
      <c r="U679" s="1"/>
      <c r="V679" s="4"/>
      <c r="W679" s="3"/>
    </row>
    <row r="680" spans="1:24" x14ac:dyDescent="0.25">
      <c r="A680" s="154">
        <v>535</v>
      </c>
      <c r="B680" s="1"/>
      <c r="C680" s="1"/>
      <c r="D680" s="158">
        <v>563</v>
      </c>
      <c r="E680" s="3" t="s">
        <v>2967</v>
      </c>
      <c r="F680" s="43" t="s">
        <v>3386</v>
      </c>
      <c r="G680" s="2" t="s">
        <v>3117</v>
      </c>
      <c r="H680" s="2"/>
      <c r="I680" s="156" t="str">
        <f t="shared" si="40"/>
        <v/>
      </c>
      <c r="J680" s="156"/>
      <c r="K680" s="156"/>
      <c r="L680" s="2"/>
      <c r="M680" s="157" t="str">
        <f t="shared" si="38"/>
        <v>К</v>
      </c>
      <c r="N680" s="161" t="s">
        <v>3633</v>
      </c>
      <c r="O680" s="4" t="s">
        <v>2028</v>
      </c>
      <c r="P680" s="1"/>
      <c r="Q680" s="3"/>
      <c r="S680" s="3"/>
      <c r="U680" s="1"/>
      <c r="V680" s="4"/>
      <c r="W680" s="3"/>
    </row>
    <row r="681" spans="1:24" x14ac:dyDescent="0.25">
      <c r="A681" s="158">
        <v>526</v>
      </c>
      <c r="B681" s="1"/>
      <c r="C681" s="1"/>
      <c r="D681" s="158">
        <v>564</v>
      </c>
      <c r="E681" s="3" t="s">
        <v>2967</v>
      </c>
      <c r="F681" s="43" t="s">
        <v>3446</v>
      </c>
      <c r="G681" s="2" t="s">
        <v>3118</v>
      </c>
      <c r="H681" s="2"/>
      <c r="I681" s="156" t="str">
        <f t="shared" si="40"/>
        <v/>
      </c>
      <c r="J681" s="156"/>
      <c r="K681" s="156"/>
      <c r="L681" s="2"/>
      <c r="M681" s="157" t="str">
        <f t="shared" si="38"/>
        <v>К</v>
      </c>
      <c r="N681" s="161" t="s">
        <v>3633</v>
      </c>
      <c r="O681" s="4" t="s">
        <v>2028</v>
      </c>
      <c r="P681" s="1"/>
      <c r="Q681" s="3"/>
      <c r="S681" s="3"/>
      <c r="U681" s="1"/>
      <c r="V681" s="4"/>
      <c r="W681" s="3"/>
    </row>
    <row r="682" spans="1:24" x14ac:dyDescent="0.25">
      <c r="A682" s="154">
        <v>563</v>
      </c>
      <c r="B682" s="1"/>
      <c r="C682" s="1"/>
      <c r="D682" s="158">
        <v>566</v>
      </c>
      <c r="E682" s="3" t="s">
        <v>3007</v>
      </c>
      <c r="F682" s="3" t="s">
        <v>3008</v>
      </c>
      <c r="G682" s="2"/>
      <c r="H682" s="2"/>
      <c r="I682" s="156" t="str">
        <f t="shared" si="40"/>
        <v/>
      </c>
      <c r="J682" s="156"/>
      <c r="K682" s="156"/>
      <c r="L682" s="2" t="s">
        <v>3009</v>
      </c>
      <c r="M682" s="157" t="str">
        <f t="shared" si="38"/>
        <v>К01370230_1</v>
      </c>
      <c r="N682" s="161" t="s">
        <v>3633</v>
      </c>
      <c r="O682" s="4">
        <v>4</v>
      </c>
      <c r="P682" s="1"/>
      <c r="U682" s="1"/>
      <c r="V682" s="4"/>
      <c r="W682" s="3"/>
    </row>
    <row r="683" spans="1:24" x14ac:dyDescent="0.25">
      <c r="A683" s="154">
        <v>549</v>
      </c>
      <c r="B683" s="1"/>
      <c r="C683" s="457" t="s">
        <v>3034</v>
      </c>
      <c r="D683" s="154">
        <v>576</v>
      </c>
      <c r="E683" s="3" t="s">
        <v>91</v>
      </c>
      <c r="F683" s="3" t="s">
        <v>3172</v>
      </c>
      <c r="G683" s="2" t="s">
        <v>3173</v>
      </c>
      <c r="H683" s="2"/>
      <c r="I683" s="156" t="str">
        <f t="shared" si="40"/>
        <v/>
      </c>
      <c r="J683" s="156"/>
      <c r="K683" s="156"/>
      <c r="L683" s="2" t="s">
        <v>3174</v>
      </c>
      <c r="M683" s="157" t="str">
        <f t="shared" si="38"/>
        <v>К04700059</v>
      </c>
      <c r="N683" s="161" t="s">
        <v>3633</v>
      </c>
      <c r="O683" s="4"/>
      <c r="P683" s="1"/>
      <c r="U683" s="1"/>
      <c r="V683" s="4"/>
      <c r="W683" s="3"/>
    </row>
    <row r="684" spans="1:24" x14ac:dyDescent="0.25">
      <c r="A684" s="154">
        <v>511</v>
      </c>
      <c r="B684" s="1"/>
      <c r="C684" s="457" t="s">
        <v>3034</v>
      </c>
      <c r="D684" s="158">
        <v>577</v>
      </c>
      <c r="E684" s="3" t="s">
        <v>91</v>
      </c>
      <c r="F684" s="3" t="s">
        <v>3175</v>
      </c>
      <c r="G684" s="2" t="s">
        <v>3176</v>
      </c>
      <c r="H684" s="2"/>
      <c r="I684" s="156" t="str">
        <f t="shared" si="40"/>
        <v/>
      </c>
      <c r="J684" s="156"/>
      <c r="K684" s="156"/>
      <c r="L684" s="2" t="s">
        <v>3177</v>
      </c>
      <c r="M684" s="157" t="str">
        <f t="shared" si="38"/>
        <v>К08102368_3</v>
      </c>
      <c r="N684" s="161" t="s">
        <v>3633</v>
      </c>
      <c r="O684" s="4"/>
      <c r="P684" s="1"/>
      <c r="U684" s="1"/>
      <c r="V684" s="4"/>
      <c r="W684" s="3"/>
    </row>
    <row r="685" spans="1:24" x14ac:dyDescent="0.25">
      <c r="A685" s="158">
        <v>610</v>
      </c>
      <c r="B685" s="1"/>
      <c r="C685" s="1"/>
      <c r="D685" s="158">
        <v>578</v>
      </c>
      <c r="E685" s="485" t="s">
        <v>3698</v>
      </c>
      <c r="F685" s="3" t="s">
        <v>1996</v>
      </c>
      <c r="G685" s="2" t="s">
        <v>1997</v>
      </c>
      <c r="H685" s="2"/>
      <c r="I685" s="156" t="str">
        <f t="shared" si="40"/>
        <v/>
      </c>
      <c r="J685" s="156"/>
      <c r="K685" s="156"/>
      <c r="L685" s="2"/>
      <c r="M685" s="157" t="str">
        <f t="shared" si="38"/>
        <v>К</v>
      </c>
      <c r="N685" s="161" t="s">
        <v>3633</v>
      </c>
      <c r="O685" s="4" t="s">
        <v>1961</v>
      </c>
      <c r="P685" s="1"/>
      <c r="U685" s="1"/>
      <c r="V685" s="4"/>
      <c r="W685" s="175"/>
      <c r="X685" s="175"/>
    </row>
    <row r="686" spans="1:24" x14ac:dyDescent="0.25">
      <c r="A686" s="158">
        <v>512</v>
      </c>
      <c r="B686" s="1"/>
      <c r="C686" s="455" t="s">
        <v>3034</v>
      </c>
      <c r="D686" s="154">
        <v>579</v>
      </c>
      <c r="E686" s="3" t="s">
        <v>154</v>
      </c>
      <c r="F686" s="3" t="s">
        <v>1139</v>
      </c>
      <c r="G686" s="2" t="s">
        <v>1990</v>
      </c>
      <c r="H686" s="2"/>
      <c r="I686" s="156" t="str">
        <f t="shared" si="40"/>
        <v/>
      </c>
      <c r="J686" s="156"/>
      <c r="K686" s="156"/>
      <c r="L686" s="2"/>
      <c r="M686" s="157" t="str">
        <f t="shared" si="38"/>
        <v>К</v>
      </c>
      <c r="N686" s="161" t="s">
        <v>3633</v>
      </c>
      <c r="O686" s="4" t="s">
        <v>1961</v>
      </c>
      <c r="P686" s="1"/>
      <c r="U686" s="1"/>
      <c r="V686" s="4"/>
      <c r="W686" s="3"/>
    </row>
    <row r="687" spans="1:24" x14ac:dyDescent="0.25">
      <c r="A687" s="154">
        <v>513</v>
      </c>
      <c r="B687" s="1"/>
      <c r="C687" s="1"/>
      <c r="D687" s="158">
        <v>601</v>
      </c>
      <c r="E687" s="3" t="s">
        <v>3184</v>
      </c>
      <c r="F687" s="3"/>
      <c r="G687" s="2" t="s">
        <v>2841</v>
      </c>
      <c r="H687" s="2"/>
      <c r="I687" s="156" t="str">
        <f t="shared" si="40"/>
        <v/>
      </c>
      <c r="J687" s="156"/>
      <c r="K687" s="156"/>
      <c r="L687" s="2" t="s">
        <v>3185</v>
      </c>
      <c r="M687" s="157" t="str">
        <f t="shared" si="38"/>
        <v>К04700094_1</v>
      </c>
      <c r="N687" s="161" t="s">
        <v>3633</v>
      </c>
      <c r="O687" s="4"/>
      <c r="P687" s="1"/>
      <c r="U687" s="1"/>
      <c r="V687" s="4"/>
      <c r="W687" s="3"/>
    </row>
    <row r="688" spans="1:24" x14ac:dyDescent="0.25">
      <c r="A688" s="158">
        <v>1204</v>
      </c>
      <c r="B688" s="1"/>
      <c r="C688" s="1"/>
      <c r="D688" s="158">
        <v>652</v>
      </c>
      <c r="E688" s="3" t="s">
        <v>3066</v>
      </c>
      <c r="F688" s="43" t="s">
        <v>3437</v>
      </c>
      <c r="G688" s="2"/>
      <c r="H688" s="2"/>
      <c r="I688" s="156" t="str">
        <f t="shared" si="40"/>
        <v/>
      </c>
      <c r="J688" s="156"/>
      <c r="K688" s="156"/>
      <c r="L688" s="2"/>
      <c r="M688" s="157" t="str">
        <f t="shared" si="38"/>
        <v>К</v>
      </c>
      <c r="N688" s="161" t="s">
        <v>3633</v>
      </c>
      <c r="O688" s="4" t="s">
        <v>1847</v>
      </c>
      <c r="P688" s="1"/>
      <c r="U688" s="1"/>
      <c r="V688" s="4"/>
      <c r="W688" s="3"/>
    </row>
    <row r="689" spans="1:24" s="162" customFormat="1" x14ac:dyDescent="0.25">
      <c r="A689" s="158">
        <v>786</v>
      </c>
      <c r="B689" s="1"/>
      <c r="C689" s="1"/>
      <c r="D689" s="154">
        <v>653</v>
      </c>
      <c r="E689" s="3" t="s">
        <v>3066</v>
      </c>
      <c r="F689" s="43" t="s">
        <v>3437</v>
      </c>
      <c r="G689" s="2"/>
      <c r="H689" s="2"/>
      <c r="I689" s="156" t="str">
        <f t="shared" si="40"/>
        <v/>
      </c>
      <c r="J689" s="156"/>
      <c r="K689" s="156"/>
      <c r="L689" s="2" t="s">
        <v>3150</v>
      </c>
      <c r="M689" s="157" t="str">
        <f>CONCATENATE("К",L689)</f>
        <v>К71012400017</v>
      </c>
      <c r="N689" s="161" t="s">
        <v>3633</v>
      </c>
      <c r="O689" s="4" t="s">
        <v>2635</v>
      </c>
      <c r="P689" s="1"/>
      <c r="Q689" s="1"/>
      <c r="R689" s="3"/>
      <c r="S689" s="1"/>
      <c r="T689" s="3"/>
      <c r="U689" s="1"/>
      <c r="V689" s="4"/>
      <c r="W689" s="3"/>
      <c r="X689" s="3"/>
    </row>
    <row r="690" spans="1:24" x14ac:dyDescent="0.25">
      <c r="A690" s="495">
        <v>1366</v>
      </c>
      <c r="B690" s="1"/>
      <c r="C690" s="1"/>
      <c r="D690" s="158">
        <v>657</v>
      </c>
      <c r="E690" s="485" t="s">
        <v>3700</v>
      </c>
      <c r="F690" s="482" t="s">
        <v>3473</v>
      </c>
      <c r="G690" s="2"/>
      <c r="H690" s="2"/>
      <c r="I690" s="156" t="str">
        <f t="shared" si="40"/>
        <v/>
      </c>
      <c r="J690" s="156"/>
      <c r="K690" s="156"/>
      <c r="L690" s="2"/>
      <c r="M690" s="157"/>
      <c r="N690" s="161" t="s">
        <v>3633</v>
      </c>
      <c r="O690" s="4" t="s">
        <v>2635</v>
      </c>
      <c r="P690" s="1"/>
      <c r="T690" s="162"/>
      <c r="U690" s="167"/>
      <c r="V690" s="168"/>
      <c r="W690" s="162"/>
      <c r="X690" s="162"/>
    </row>
    <row r="691" spans="1:24" x14ac:dyDescent="0.25">
      <c r="A691" s="154">
        <v>1355</v>
      </c>
      <c r="B691" s="1"/>
      <c r="C691" s="1"/>
      <c r="D691" s="158">
        <v>673</v>
      </c>
      <c r="E691" s="3" t="s">
        <v>434</v>
      </c>
      <c r="F691" s="3"/>
      <c r="G691" s="2" t="s">
        <v>3052</v>
      </c>
      <c r="H691" s="2"/>
      <c r="I691" s="156" t="str">
        <f t="shared" si="40"/>
        <v/>
      </c>
      <c r="J691" s="156"/>
      <c r="K691" s="156"/>
      <c r="L691" s="2" t="s">
        <v>3053</v>
      </c>
      <c r="M691" s="157" t="str">
        <f>CONCATENATE("К",L691)</f>
        <v>К2360000244</v>
      </c>
      <c r="N691" s="161" t="s">
        <v>3633</v>
      </c>
      <c r="O691" s="4" t="s">
        <v>1843</v>
      </c>
      <c r="P691" s="1"/>
      <c r="U691" s="1"/>
      <c r="V691" s="4"/>
      <c r="W691" s="3"/>
    </row>
    <row r="692" spans="1:24" x14ac:dyDescent="0.25">
      <c r="A692" s="154">
        <v>651</v>
      </c>
      <c r="B692" s="1"/>
      <c r="C692" s="1"/>
      <c r="D692" s="158">
        <v>676</v>
      </c>
      <c r="E692" s="3" t="s">
        <v>3022</v>
      </c>
      <c r="F692" s="43" t="s">
        <v>3440</v>
      </c>
      <c r="G692" s="2"/>
      <c r="H692" s="2"/>
      <c r="I692" s="156" t="str">
        <f t="shared" si="40"/>
        <v/>
      </c>
      <c r="J692" s="156"/>
      <c r="K692" s="156"/>
      <c r="L692" s="2" t="s">
        <v>3079</v>
      </c>
      <c r="M692" s="157" t="str">
        <f>CONCATENATE("К",L692)</f>
        <v>К08103095</v>
      </c>
      <c r="N692" s="161" t="s">
        <v>3633</v>
      </c>
      <c r="O692" s="4" t="s">
        <v>3074</v>
      </c>
      <c r="P692" s="1"/>
      <c r="U692" s="1"/>
      <c r="V692" s="4"/>
      <c r="W692" s="3"/>
    </row>
    <row r="693" spans="1:24" x14ac:dyDescent="0.25">
      <c r="A693" s="158"/>
      <c r="B693" s="1"/>
      <c r="C693" s="457"/>
      <c r="D693" s="154">
        <v>677</v>
      </c>
      <c r="E693" s="3" t="s">
        <v>3023</v>
      </c>
      <c r="F693" s="3" t="s">
        <v>3024</v>
      </c>
      <c r="G693" s="2" t="s">
        <v>3025</v>
      </c>
      <c r="H693" s="2"/>
      <c r="I693" s="156" t="str">
        <f t="shared" si="40"/>
        <v/>
      </c>
      <c r="J693" s="156"/>
      <c r="K693" s="156"/>
      <c r="L693" s="2"/>
      <c r="M693" s="157" t="str">
        <f>CONCATENATE("К",L693)</f>
        <v>К</v>
      </c>
      <c r="N693" s="161" t="s">
        <v>3633</v>
      </c>
      <c r="O693" s="4">
        <v>12</v>
      </c>
      <c r="P693" s="1"/>
      <c r="U693" s="1"/>
      <c r="V693" s="4"/>
      <c r="W693" s="3"/>
    </row>
    <row r="694" spans="1:24" x14ac:dyDescent="0.25">
      <c r="A694" s="154">
        <v>613</v>
      </c>
      <c r="B694" s="456" t="s">
        <v>3552</v>
      </c>
      <c r="C694" s="456"/>
      <c r="D694" s="158">
        <v>678</v>
      </c>
      <c r="E694" s="3" t="s">
        <v>61</v>
      </c>
      <c r="F694" s="43" t="s">
        <v>62</v>
      </c>
      <c r="G694" s="2" t="s">
        <v>3129</v>
      </c>
      <c r="H694" s="2"/>
      <c r="I694" s="156" t="str">
        <f t="shared" si="40"/>
        <v/>
      </c>
      <c r="J694" s="156"/>
      <c r="K694" s="156"/>
      <c r="L694" s="2" t="s">
        <v>2355</v>
      </c>
      <c r="M694" s="157" t="str">
        <f>CONCATENATE("К",L694)</f>
        <v>К08106057</v>
      </c>
      <c r="N694" s="161" t="s">
        <v>3633</v>
      </c>
      <c r="O694" s="4" t="s">
        <v>2028</v>
      </c>
      <c r="P694" s="1"/>
      <c r="U694" s="153" t="s">
        <v>3640</v>
      </c>
      <c r="V694" s="4"/>
      <c r="W694" s="3"/>
    </row>
    <row r="695" spans="1:24" x14ac:dyDescent="0.25">
      <c r="A695" s="158"/>
      <c r="B695" s="1"/>
      <c r="C695" s="1"/>
      <c r="D695" s="154">
        <v>679</v>
      </c>
      <c r="E695" s="3" t="s">
        <v>3026</v>
      </c>
      <c r="F695" s="43" t="s">
        <v>3431</v>
      </c>
      <c r="G695" s="2"/>
      <c r="H695" s="2"/>
      <c r="I695" s="156" t="str">
        <f t="shared" si="40"/>
        <v/>
      </c>
      <c r="J695" s="156"/>
      <c r="K695" s="156"/>
      <c r="L695" s="2"/>
      <c r="M695" s="157" t="str">
        <f>CONCATENATE("К",L695)</f>
        <v>К</v>
      </c>
      <c r="N695" s="161" t="s">
        <v>3633</v>
      </c>
      <c r="O695" s="4">
        <v>12</v>
      </c>
      <c r="P695" s="1"/>
      <c r="U695" s="1"/>
      <c r="V695" s="4"/>
      <c r="W695" s="3"/>
    </row>
    <row r="696" spans="1:24" x14ac:dyDescent="0.25">
      <c r="A696" s="158"/>
      <c r="B696" s="1"/>
      <c r="C696" s="481" t="s">
        <v>3640</v>
      </c>
      <c r="D696" s="154">
        <v>686</v>
      </c>
      <c r="E696" s="482" t="s">
        <v>2320</v>
      </c>
      <c r="F696" s="43" t="s">
        <v>1214</v>
      </c>
      <c r="G696" s="2" t="s">
        <v>2138</v>
      </c>
      <c r="H696" s="2" t="s">
        <v>66</v>
      </c>
      <c r="I696" s="156" t="str">
        <f t="shared" si="40"/>
        <v>2019</v>
      </c>
      <c r="J696" s="3"/>
      <c r="K696" s="156"/>
      <c r="L696" s="2"/>
      <c r="M696" s="157"/>
      <c r="N696" s="161" t="s">
        <v>3633</v>
      </c>
      <c r="O696" s="543" t="s">
        <v>2028</v>
      </c>
      <c r="P696" s="1"/>
      <c r="U696" s="1"/>
      <c r="V696" s="4"/>
      <c r="W696" s="3"/>
    </row>
    <row r="697" spans="1:24" x14ac:dyDescent="0.25">
      <c r="A697" s="158"/>
      <c r="B697" s="1"/>
      <c r="C697" s="481" t="s">
        <v>3640</v>
      </c>
      <c r="D697" s="154">
        <v>688</v>
      </c>
      <c r="E697" s="482" t="s">
        <v>2320</v>
      </c>
      <c r="F697" s="43" t="s">
        <v>1214</v>
      </c>
      <c r="G697" s="2" t="s">
        <v>5540</v>
      </c>
      <c r="H697" s="2" t="s">
        <v>66</v>
      </c>
      <c r="I697" s="156" t="str">
        <f t="shared" si="40"/>
        <v>2019</v>
      </c>
      <c r="J697" s="3"/>
      <c r="K697" s="156"/>
      <c r="L697" s="2"/>
      <c r="M697" s="157"/>
      <c r="N697" s="161" t="s">
        <v>3633</v>
      </c>
      <c r="O697" s="542" t="s">
        <v>1076</v>
      </c>
      <c r="P697" s="1"/>
      <c r="U697" s="1"/>
      <c r="V697" s="4"/>
      <c r="W697" s="3"/>
    </row>
    <row r="698" spans="1:24" x14ac:dyDescent="0.25">
      <c r="A698" s="154">
        <v>545</v>
      </c>
      <c r="B698" s="1"/>
      <c r="C698" s="481" t="s">
        <v>3640</v>
      </c>
      <c r="D698" s="158">
        <v>689</v>
      </c>
      <c r="E698" s="482" t="s">
        <v>2320</v>
      </c>
      <c r="F698" s="43" t="s">
        <v>1214</v>
      </c>
      <c r="G698" s="2" t="s">
        <v>5538</v>
      </c>
      <c r="H698" s="2" t="s">
        <v>66</v>
      </c>
      <c r="I698" s="156" t="str">
        <f t="shared" si="40"/>
        <v>2019</v>
      </c>
      <c r="J698" s="3"/>
      <c r="K698" s="156"/>
      <c r="L698" s="2"/>
      <c r="M698" s="157"/>
      <c r="N698" s="161" t="s">
        <v>3633</v>
      </c>
      <c r="O698" s="542" t="s">
        <v>706</v>
      </c>
      <c r="P698" s="1"/>
      <c r="U698" s="1"/>
      <c r="V698" s="4"/>
      <c r="W698" s="3"/>
    </row>
    <row r="699" spans="1:24" x14ac:dyDescent="0.25">
      <c r="A699" s="154">
        <v>527</v>
      </c>
      <c r="B699" s="1"/>
      <c r="C699" s="481" t="s">
        <v>3640</v>
      </c>
      <c r="D699" s="158">
        <v>690</v>
      </c>
      <c r="E699" s="482" t="s">
        <v>2320</v>
      </c>
      <c r="F699" s="43" t="s">
        <v>1214</v>
      </c>
      <c r="G699" s="2" t="s">
        <v>5539</v>
      </c>
      <c r="H699" s="2" t="s">
        <v>66</v>
      </c>
      <c r="I699" s="156" t="str">
        <f t="shared" si="40"/>
        <v>2019</v>
      </c>
      <c r="J699" s="3"/>
      <c r="K699" s="156"/>
      <c r="L699" s="2"/>
      <c r="M699" s="157"/>
      <c r="N699" s="161" t="s">
        <v>3633</v>
      </c>
      <c r="O699" s="542" t="s">
        <v>706</v>
      </c>
      <c r="P699" s="1"/>
      <c r="U699" s="1"/>
      <c r="V699" s="4"/>
      <c r="W699" s="3"/>
    </row>
    <row r="700" spans="1:24" s="162" customFormat="1" x14ac:dyDescent="0.25">
      <c r="A700" s="158">
        <v>652</v>
      </c>
      <c r="B700" s="167"/>
      <c r="C700" s="167"/>
      <c r="D700" s="154">
        <v>698</v>
      </c>
      <c r="G700" s="449"/>
      <c r="H700" s="449"/>
      <c r="I700" s="156" t="str">
        <f t="shared" si="40"/>
        <v/>
      </c>
      <c r="J700" s="495"/>
      <c r="K700" s="495"/>
      <c r="L700" s="449" t="s">
        <v>3154</v>
      </c>
      <c r="M700" s="496" t="str">
        <f>CONCATENATE("К",L700)</f>
        <v>К01370268</v>
      </c>
      <c r="N700" s="162" t="s">
        <v>3633</v>
      </c>
      <c r="O700" s="168" t="s">
        <v>2635</v>
      </c>
      <c r="P700" s="167"/>
      <c r="Q700" s="167"/>
      <c r="S700" s="167"/>
      <c r="T700" s="3"/>
      <c r="U700" s="1"/>
      <c r="V700" s="4"/>
      <c r="W700" s="3"/>
      <c r="X700" s="3"/>
    </row>
    <row r="701" spans="1:24" s="581" customFormat="1" x14ac:dyDescent="0.25">
      <c r="A701" s="714"/>
      <c r="B701" s="715"/>
      <c r="C701" s="715"/>
      <c r="D701" s="714"/>
      <c r="E701" s="581" t="s">
        <v>5657</v>
      </c>
      <c r="F701" s="581" t="s">
        <v>5658</v>
      </c>
      <c r="G701" s="589" t="s">
        <v>5659</v>
      </c>
      <c r="H701" s="589" t="s">
        <v>5660</v>
      </c>
      <c r="I701" s="156" t="str">
        <f t="shared" si="40"/>
        <v>2022</v>
      </c>
      <c r="J701" s="714">
        <v>2022</v>
      </c>
      <c r="K701" s="714"/>
      <c r="L701" s="589"/>
      <c r="M701" s="582"/>
      <c r="O701" s="716"/>
      <c r="P701" s="715"/>
      <c r="Q701" s="715"/>
      <c r="S701" s="715"/>
      <c r="U701" s="715"/>
      <c r="V701" s="716"/>
    </row>
    <row r="702" spans="1:24" s="581" customFormat="1" x14ac:dyDescent="0.25">
      <c r="A702" s="714"/>
      <c r="B702" s="715"/>
      <c r="C702" s="715"/>
      <c r="D702" s="714"/>
      <c r="E702" s="581" t="s">
        <v>5661</v>
      </c>
      <c r="G702" s="589"/>
      <c r="H702" s="589"/>
      <c r="I702" s="714"/>
      <c r="J702" s="714">
        <v>2023</v>
      </c>
      <c r="K702" s="714"/>
      <c r="L702" s="589"/>
      <c r="M702" s="582"/>
      <c r="O702" s="716"/>
      <c r="P702" s="715"/>
      <c r="Q702" s="715"/>
      <c r="S702" s="715"/>
      <c r="U702" s="715"/>
      <c r="V702" s="716"/>
    </row>
    <row r="703" spans="1:24" s="581" customFormat="1" x14ac:dyDescent="0.25">
      <c r="A703" s="714"/>
      <c r="B703" s="715"/>
      <c r="C703" s="715"/>
      <c r="D703" s="714"/>
      <c r="E703" s="581" t="s">
        <v>5661</v>
      </c>
      <c r="G703" s="589"/>
      <c r="H703" s="589"/>
      <c r="I703" s="714"/>
      <c r="J703" s="714">
        <v>2023</v>
      </c>
      <c r="K703" s="714"/>
      <c r="L703" s="589"/>
      <c r="M703" s="582"/>
      <c r="O703" s="716"/>
      <c r="P703" s="715"/>
      <c r="Q703" s="715"/>
      <c r="S703" s="715"/>
      <c r="U703" s="715"/>
      <c r="V703" s="716"/>
    </row>
    <row r="704" spans="1:24" s="581" customFormat="1" x14ac:dyDescent="0.25">
      <c r="A704" s="714"/>
      <c r="B704" s="715"/>
      <c r="C704" s="715"/>
      <c r="D704" s="714"/>
      <c r="E704" s="581" t="s">
        <v>5662</v>
      </c>
      <c r="F704" s="581" t="s">
        <v>5663</v>
      </c>
      <c r="G704" s="589"/>
      <c r="H704" s="589"/>
      <c r="I704" s="714"/>
      <c r="J704" s="714">
        <v>2023</v>
      </c>
      <c r="K704" s="714"/>
      <c r="L704" s="589"/>
      <c r="M704" s="582"/>
      <c r="O704" s="716"/>
      <c r="P704" s="715"/>
      <c r="Q704" s="715"/>
      <c r="S704" s="715"/>
      <c r="U704" s="715"/>
      <c r="V704" s="716"/>
    </row>
    <row r="705" spans="1:24" s="581" customFormat="1" x14ac:dyDescent="0.25">
      <c r="A705" s="714"/>
      <c r="B705" s="715"/>
      <c r="C705" s="715"/>
      <c r="D705" s="714"/>
      <c r="E705" s="486" t="s">
        <v>3677</v>
      </c>
      <c r="F705" s="581" t="s">
        <v>5664</v>
      </c>
      <c r="G705" s="589"/>
      <c r="H705" s="589"/>
      <c r="I705" s="714"/>
      <c r="J705" s="714">
        <v>2023</v>
      </c>
      <c r="K705" s="714"/>
      <c r="L705" s="589"/>
      <c r="M705" s="582"/>
      <c r="O705" s="716"/>
      <c r="P705" s="715"/>
      <c r="Q705" s="715"/>
      <c r="S705" s="715"/>
      <c r="U705" s="715"/>
      <c r="V705" s="716"/>
    </row>
    <row r="706" spans="1:24" s="581" customFormat="1" x14ac:dyDescent="0.25">
      <c r="A706" s="714"/>
      <c r="B706" s="715"/>
      <c r="C706" s="715"/>
      <c r="D706" s="714"/>
      <c r="E706" s="485" t="s">
        <v>3658</v>
      </c>
      <c r="F706" s="43" t="s">
        <v>3441</v>
      </c>
      <c r="G706" s="589"/>
      <c r="H706" s="589"/>
      <c r="I706" s="714"/>
      <c r="J706" s="714">
        <v>2023</v>
      </c>
      <c r="K706" s="714"/>
      <c r="L706" s="589"/>
      <c r="M706" s="582"/>
      <c r="O706" s="716"/>
      <c r="P706" s="715"/>
      <c r="Q706" s="715"/>
      <c r="S706" s="715"/>
      <c r="U706" s="715"/>
      <c r="V706" s="716"/>
    </row>
    <row r="707" spans="1:24" s="581" customFormat="1" x14ac:dyDescent="0.25">
      <c r="A707" s="714"/>
      <c r="B707" s="715"/>
      <c r="C707" s="715"/>
      <c r="D707" s="714"/>
      <c r="G707" s="589"/>
      <c r="H707" s="589"/>
      <c r="I707" s="714"/>
      <c r="J707" s="714"/>
      <c r="K707" s="714"/>
      <c r="L707" s="589"/>
      <c r="M707" s="582"/>
      <c r="O707" s="716"/>
      <c r="P707" s="715"/>
      <c r="Q707" s="715"/>
      <c r="S707" s="715"/>
      <c r="U707" s="715"/>
      <c r="V707" s="716"/>
    </row>
    <row r="708" spans="1:24" x14ac:dyDescent="0.25">
      <c r="A708" s="154">
        <v>653</v>
      </c>
      <c r="B708" s="136" t="s">
        <v>3552</v>
      </c>
      <c r="C708" s="136"/>
      <c r="D708" s="154">
        <v>700</v>
      </c>
      <c r="E708" s="138" t="s">
        <v>3565</v>
      </c>
      <c r="F708" s="172" t="s">
        <v>3562</v>
      </c>
      <c r="G708" s="500">
        <v>16706</v>
      </c>
      <c r="H708" s="2"/>
      <c r="I708" s="156" t="str">
        <f t="shared" ref="I708:I739" si="41">RIGHT(H708,4)</f>
        <v/>
      </c>
      <c r="J708" s="156"/>
      <c r="K708" s="156"/>
      <c r="L708" s="2"/>
      <c r="M708" s="157" t="str">
        <f t="shared" ref="M708:M751" si="42">CONCATENATE("К",L708)</f>
        <v>К</v>
      </c>
      <c r="N708" s="138" t="s">
        <v>3563</v>
      </c>
      <c r="O708" s="4"/>
      <c r="P708" s="1"/>
      <c r="U708" s="1"/>
      <c r="V708" s="4"/>
      <c r="W708" s="3"/>
    </row>
    <row r="709" spans="1:24" x14ac:dyDescent="0.25">
      <c r="A709" s="158">
        <v>564</v>
      </c>
      <c r="B709" s="136" t="s">
        <v>3552</v>
      </c>
      <c r="C709" s="136"/>
      <c r="D709" s="158">
        <v>701</v>
      </c>
      <c r="E709" s="138" t="s">
        <v>3565</v>
      </c>
      <c r="F709" s="172" t="s">
        <v>3562</v>
      </c>
      <c r="G709" s="501"/>
      <c r="H709" s="176"/>
      <c r="I709" s="156" t="str">
        <f t="shared" si="41"/>
        <v/>
      </c>
      <c r="J709" s="156"/>
      <c r="K709" s="156"/>
      <c r="L709" s="2"/>
      <c r="M709" s="157" t="str">
        <f t="shared" si="42"/>
        <v>К</v>
      </c>
      <c r="N709" s="138" t="s">
        <v>3563</v>
      </c>
      <c r="O709" s="4"/>
      <c r="P709" s="1"/>
      <c r="U709" s="1"/>
      <c r="V709" s="4"/>
      <c r="W709" s="3"/>
    </row>
    <row r="710" spans="1:24" x14ac:dyDescent="0.25">
      <c r="A710" s="154">
        <v>515</v>
      </c>
      <c r="B710" s="136" t="s">
        <v>3552</v>
      </c>
      <c r="C710" s="136"/>
      <c r="D710" s="154">
        <v>702</v>
      </c>
      <c r="E710" s="138" t="s">
        <v>3564</v>
      </c>
      <c r="F710" s="172" t="s">
        <v>3561</v>
      </c>
      <c r="G710" s="501"/>
      <c r="H710" s="176"/>
      <c r="I710" s="156" t="str">
        <f t="shared" si="41"/>
        <v/>
      </c>
      <c r="J710" s="156"/>
      <c r="K710" s="156"/>
      <c r="L710" s="2"/>
      <c r="M710" s="157" t="str">
        <f t="shared" si="42"/>
        <v>К</v>
      </c>
      <c r="N710" s="138" t="s">
        <v>3563</v>
      </c>
      <c r="O710" s="4"/>
      <c r="P710" s="1"/>
      <c r="U710" s="1"/>
      <c r="V710" s="4"/>
      <c r="W710" s="3"/>
    </row>
    <row r="711" spans="1:24" x14ac:dyDescent="0.25">
      <c r="A711" s="154">
        <v>565</v>
      </c>
      <c r="B711" s="136" t="s">
        <v>3552</v>
      </c>
      <c r="C711" s="136"/>
      <c r="D711" s="158">
        <v>703</v>
      </c>
      <c r="E711" s="138" t="s">
        <v>3555</v>
      </c>
      <c r="F711" s="3" t="s">
        <v>455</v>
      </c>
      <c r="G711" s="501" t="s">
        <v>1758</v>
      </c>
      <c r="H711" s="2" t="s">
        <v>59</v>
      </c>
      <c r="I711" s="156" t="str">
        <f t="shared" si="41"/>
        <v>2013</v>
      </c>
      <c r="J711" s="156"/>
      <c r="K711" s="156"/>
      <c r="L711" s="501" t="s">
        <v>1759</v>
      </c>
      <c r="M711" s="157" t="str">
        <f t="shared" si="42"/>
        <v>К08105932</v>
      </c>
      <c r="N711" s="138" t="s">
        <v>3563</v>
      </c>
      <c r="O711" s="4"/>
      <c r="P711" s="1"/>
      <c r="U711" s="1"/>
      <c r="V711" s="4"/>
      <c r="W711" s="3"/>
    </row>
    <row r="712" spans="1:24" x14ac:dyDescent="0.25">
      <c r="A712" s="495">
        <v>627</v>
      </c>
      <c r="B712" s="136" t="s">
        <v>3552</v>
      </c>
      <c r="C712" s="136"/>
      <c r="D712" s="158">
        <v>704</v>
      </c>
      <c r="E712" s="138" t="s">
        <v>3555</v>
      </c>
      <c r="F712" s="3" t="s">
        <v>455</v>
      </c>
      <c r="G712" s="501"/>
      <c r="H712" s="176"/>
      <c r="I712" s="156" t="str">
        <f t="shared" si="41"/>
        <v/>
      </c>
      <c r="J712" s="156"/>
      <c r="K712" s="156"/>
      <c r="L712" s="2"/>
      <c r="M712" s="157" t="str">
        <f t="shared" si="42"/>
        <v>К</v>
      </c>
      <c r="N712" s="138" t="s">
        <v>3563</v>
      </c>
      <c r="O712" s="4"/>
      <c r="P712" s="1"/>
      <c r="T712" s="162"/>
      <c r="U712" s="167"/>
      <c r="V712" s="168"/>
      <c r="W712" s="162"/>
      <c r="X712" s="162"/>
    </row>
    <row r="713" spans="1:24" x14ac:dyDescent="0.25">
      <c r="A713" s="158">
        <v>628</v>
      </c>
      <c r="B713" s="136" t="s">
        <v>3552</v>
      </c>
      <c r="C713" s="136"/>
      <c r="D713" s="154">
        <v>705</v>
      </c>
      <c r="E713" s="138" t="s">
        <v>3555</v>
      </c>
      <c r="F713" s="172" t="s">
        <v>3560</v>
      </c>
      <c r="G713" s="501"/>
      <c r="H713" s="176"/>
      <c r="I713" s="156" t="str">
        <f t="shared" si="41"/>
        <v/>
      </c>
      <c r="J713" s="156"/>
      <c r="K713" s="156"/>
      <c r="L713" s="2"/>
      <c r="M713" s="157" t="str">
        <f t="shared" si="42"/>
        <v>К</v>
      </c>
      <c r="N713" s="138" t="s">
        <v>3563</v>
      </c>
      <c r="O713" s="4"/>
      <c r="P713" s="1"/>
      <c r="U713" s="1"/>
      <c r="V713" s="4"/>
      <c r="W713" s="3"/>
    </row>
    <row r="714" spans="1:24" x14ac:dyDescent="0.25">
      <c r="A714" s="158">
        <v>654</v>
      </c>
      <c r="B714" s="136" t="s">
        <v>3552</v>
      </c>
      <c r="C714" s="136"/>
      <c r="D714" s="158">
        <v>706</v>
      </c>
      <c r="E714" s="138" t="s">
        <v>3555</v>
      </c>
      <c r="F714" s="172" t="s">
        <v>3560</v>
      </c>
      <c r="G714" s="501"/>
      <c r="H714" s="176"/>
      <c r="I714" s="156" t="str">
        <f t="shared" si="41"/>
        <v/>
      </c>
      <c r="J714" s="156"/>
      <c r="K714" s="156"/>
      <c r="L714" s="2"/>
      <c r="M714" s="157" t="str">
        <f t="shared" si="42"/>
        <v>К</v>
      </c>
      <c r="N714" s="138" t="s">
        <v>3563</v>
      </c>
      <c r="O714" s="4"/>
      <c r="P714" s="1"/>
      <c r="W714" s="3"/>
    </row>
    <row r="715" spans="1:24" x14ac:dyDescent="0.25">
      <c r="A715" s="154">
        <v>655</v>
      </c>
      <c r="B715" s="456" t="s">
        <v>3552</v>
      </c>
      <c r="C715" s="456"/>
      <c r="D715" s="154">
        <v>707</v>
      </c>
      <c r="E715" s="3" t="s">
        <v>3313</v>
      </c>
      <c r="F715" s="43" t="s">
        <v>3385</v>
      </c>
      <c r="G715" s="2"/>
      <c r="H715" s="2"/>
      <c r="I715" s="156" t="str">
        <f t="shared" si="41"/>
        <v/>
      </c>
      <c r="J715" s="156"/>
      <c r="K715" s="156"/>
      <c r="L715" s="2"/>
      <c r="M715" s="157" t="str">
        <f t="shared" si="42"/>
        <v>К</v>
      </c>
      <c r="N715" s="138" t="s">
        <v>22</v>
      </c>
      <c r="O715" s="180" t="s">
        <v>3553</v>
      </c>
      <c r="P715" s="1"/>
      <c r="W715" s="3"/>
    </row>
    <row r="716" spans="1:24" x14ac:dyDescent="0.25">
      <c r="A716" s="158">
        <v>656</v>
      </c>
      <c r="B716" s="456" t="s">
        <v>3552</v>
      </c>
      <c r="C716" s="456"/>
      <c r="D716" s="158">
        <v>708</v>
      </c>
      <c r="E716" s="3" t="s">
        <v>3313</v>
      </c>
      <c r="F716" s="43" t="s">
        <v>3385</v>
      </c>
      <c r="G716" s="2"/>
      <c r="H716" s="2"/>
      <c r="I716" s="156" t="str">
        <f t="shared" si="41"/>
        <v/>
      </c>
      <c r="J716" s="156"/>
      <c r="K716" s="156"/>
      <c r="L716" s="2"/>
      <c r="M716" s="157" t="str">
        <f t="shared" si="42"/>
        <v>К</v>
      </c>
      <c r="N716" s="138" t="s">
        <v>22</v>
      </c>
      <c r="O716" s="180" t="s">
        <v>3553</v>
      </c>
      <c r="P716" s="1"/>
      <c r="W716" s="3"/>
    </row>
    <row r="717" spans="1:24" x14ac:dyDescent="0.25">
      <c r="A717" s="154">
        <v>657</v>
      </c>
      <c r="B717" s="1"/>
      <c r="C717" s="457" t="s">
        <v>3034</v>
      </c>
      <c r="D717" s="154">
        <v>709</v>
      </c>
      <c r="E717" s="3" t="s">
        <v>76</v>
      </c>
      <c r="F717" s="3" t="s">
        <v>77</v>
      </c>
      <c r="G717" s="2" t="s">
        <v>78</v>
      </c>
      <c r="H717" s="2" t="s">
        <v>79</v>
      </c>
      <c r="I717" s="156" t="str">
        <f t="shared" si="41"/>
        <v>2009</v>
      </c>
      <c r="J717" s="156">
        <v>2009</v>
      </c>
      <c r="K717" s="156"/>
      <c r="L717" s="2" t="s">
        <v>80</v>
      </c>
      <c r="M717" s="157" t="str">
        <f t="shared" si="42"/>
        <v>К08102630_2</v>
      </c>
      <c r="N717" s="3" t="s">
        <v>22</v>
      </c>
      <c r="O717" s="4" t="s">
        <v>81</v>
      </c>
      <c r="P717" s="1"/>
      <c r="W717" s="3"/>
    </row>
    <row r="718" spans="1:24" s="162" customFormat="1" x14ac:dyDescent="0.25">
      <c r="A718" s="158">
        <v>658</v>
      </c>
      <c r="B718" s="1"/>
      <c r="C718" s="1"/>
      <c r="D718" s="158">
        <v>710</v>
      </c>
      <c r="E718" s="3" t="s">
        <v>82</v>
      </c>
      <c r="F718" s="3" t="s">
        <v>83</v>
      </c>
      <c r="G718" s="2" t="s">
        <v>84</v>
      </c>
      <c r="H718" s="2" t="s">
        <v>85</v>
      </c>
      <c r="I718" s="156" t="str">
        <f t="shared" si="41"/>
        <v>2018</v>
      </c>
      <c r="J718" s="156">
        <v>2018</v>
      </c>
      <c r="K718" s="156"/>
      <c r="L718" s="2" t="s">
        <v>86</v>
      </c>
      <c r="M718" s="157" t="str">
        <f t="shared" si="42"/>
        <v>К41012400126</v>
      </c>
      <c r="N718" s="3" t="s">
        <v>22</v>
      </c>
      <c r="O718" s="4" t="s">
        <v>81</v>
      </c>
      <c r="P718" s="1"/>
      <c r="Q718" s="1"/>
      <c r="R718" s="3"/>
      <c r="S718" s="1"/>
      <c r="T718" s="3"/>
      <c r="U718"/>
      <c r="V718" s="1"/>
      <c r="W718" s="3"/>
      <c r="X718" s="3"/>
    </row>
    <row r="719" spans="1:24" x14ac:dyDescent="0.25">
      <c r="A719" s="154">
        <v>659</v>
      </c>
      <c r="B719" s="136" t="s">
        <v>3552</v>
      </c>
      <c r="C719" s="136"/>
      <c r="D719" s="158">
        <v>711</v>
      </c>
      <c r="E719" s="138" t="s">
        <v>3554</v>
      </c>
      <c r="F719" s="459" t="s">
        <v>1144</v>
      </c>
      <c r="G719" s="2" t="s">
        <v>40</v>
      </c>
      <c r="H719" s="2" t="s">
        <v>41</v>
      </c>
      <c r="I719" s="156" t="str">
        <f t="shared" si="41"/>
        <v>2015</v>
      </c>
      <c r="J719" s="156"/>
      <c r="K719" s="156"/>
      <c r="L719" s="2" t="s">
        <v>42</v>
      </c>
      <c r="M719" s="157" t="str">
        <f t="shared" si="42"/>
        <v>К7240000199</v>
      </c>
      <c r="N719" s="3" t="s">
        <v>22</v>
      </c>
      <c r="O719" s="4" t="s">
        <v>43</v>
      </c>
      <c r="P719" s="1"/>
      <c r="W719" s="3"/>
    </row>
    <row r="720" spans="1:24" x14ac:dyDescent="0.25">
      <c r="A720" s="158">
        <v>660</v>
      </c>
      <c r="B720" s="136" t="s">
        <v>3552</v>
      </c>
      <c r="C720" s="136"/>
      <c r="D720" s="154">
        <v>712</v>
      </c>
      <c r="E720" s="138" t="s">
        <v>3554</v>
      </c>
      <c r="F720" s="3" t="s">
        <v>64</v>
      </c>
      <c r="G720" s="2" t="s">
        <v>65</v>
      </c>
      <c r="H720" s="2" t="s">
        <v>66</v>
      </c>
      <c r="I720" s="156" t="str">
        <f t="shared" si="41"/>
        <v>2019</v>
      </c>
      <c r="J720" s="156"/>
      <c r="K720" s="156"/>
      <c r="L720" s="2" t="s">
        <v>67</v>
      </c>
      <c r="M720" s="157" t="str">
        <f t="shared" si="42"/>
        <v>К21012400323</v>
      </c>
      <c r="N720" s="3" t="s">
        <v>22</v>
      </c>
      <c r="O720" s="4" t="s">
        <v>68</v>
      </c>
      <c r="P720" s="1"/>
      <c r="W720" s="3"/>
    </row>
    <row r="721" spans="1:24" x14ac:dyDescent="0.25">
      <c r="A721" s="154">
        <v>691</v>
      </c>
      <c r="B721" s="1"/>
      <c r="C721" s="1"/>
      <c r="D721" s="158">
        <v>713</v>
      </c>
      <c r="E721" s="3" t="s">
        <v>87</v>
      </c>
      <c r="F721" s="166" t="s">
        <v>88</v>
      </c>
      <c r="G721" s="2" t="s">
        <v>89</v>
      </c>
      <c r="H721" s="2" t="s">
        <v>90</v>
      </c>
      <c r="I721" s="156" t="str">
        <f t="shared" si="41"/>
        <v>2008</v>
      </c>
      <c r="J721" s="156">
        <v>2008</v>
      </c>
      <c r="K721" s="156"/>
      <c r="L721" s="2" t="s">
        <v>80</v>
      </c>
      <c r="M721" s="157" t="str">
        <f t="shared" si="42"/>
        <v>К08102630_2</v>
      </c>
      <c r="N721" s="3" t="s">
        <v>22</v>
      </c>
      <c r="O721" s="4" t="s">
        <v>81</v>
      </c>
      <c r="P721" s="1"/>
      <c r="W721" s="3"/>
    </row>
    <row r="722" spans="1:24" x14ac:dyDescent="0.25">
      <c r="A722" s="158">
        <v>692</v>
      </c>
      <c r="B722" s="456" t="s">
        <v>3552</v>
      </c>
      <c r="C722" s="456"/>
      <c r="D722" s="154">
        <v>714</v>
      </c>
      <c r="E722" s="3" t="s">
        <v>2319</v>
      </c>
      <c r="F722" s="43" t="s">
        <v>32</v>
      </c>
      <c r="G722" s="2" t="s">
        <v>33</v>
      </c>
      <c r="H722" s="461" t="s">
        <v>969</v>
      </c>
      <c r="I722" s="156" t="str">
        <f t="shared" si="41"/>
        <v>2017</v>
      </c>
      <c r="J722" s="156"/>
      <c r="K722" s="156"/>
      <c r="L722" s="2"/>
      <c r="M722" s="157" t="str">
        <f t="shared" si="42"/>
        <v>К</v>
      </c>
      <c r="N722" s="3" t="s">
        <v>22</v>
      </c>
      <c r="O722" s="4" t="s">
        <v>34</v>
      </c>
      <c r="P722" s="1"/>
      <c r="W722" s="3"/>
    </row>
    <row r="723" spans="1:24" x14ac:dyDescent="0.25">
      <c r="A723" s="158">
        <v>680</v>
      </c>
      <c r="B723" s="456" t="s">
        <v>3552</v>
      </c>
      <c r="C723" s="456"/>
      <c r="D723" s="158">
        <v>715</v>
      </c>
      <c r="E723" s="3" t="s">
        <v>2319</v>
      </c>
      <c r="F723" s="43" t="s">
        <v>32</v>
      </c>
      <c r="G723" s="2" t="s">
        <v>44</v>
      </c>
      <c r="H723" s="461" t="s">
        <v>969</v>
      </c>
      <c r="I723" s="156" t="str">
        <f t="shared" si="41"/>
        <v>2017</v>
      </c>
      <c r="J723" s="156"/>
      <c r="K723" s="156"/>
      <c r="L723" s="2"/>
      <c r="M723" s="157" t="str">
        <f t="shared" si="42"/>
        <v>К</v>
      </c>
      <c r="N723" s="3" t="s">
        <v>22</v>
      </c>
      <c r="O723" s="4" t="s">
        <v>43</v>
      </c>
      <c r="P723" s="1"/>
      <c r="U723" s="1"/>
      <c r="V723" s="4"/>
      <c r="W723" s="3"/>
    </row>
    <row r="724" spans="1:24" x14ac:dyDescent="0.25">
      <c r="A724" s="154">
        <v>681</v>
      </c>
      <c r="B724" s="456" t="s">
        <v>3552</v>
      </c>
      <c r="C724" s="456"/>
      <c r="D724" s="154">
        <v>716</v>
      </c>
      <c r="E724" s="3" t="s">
        <v>2319</v>
      </c>
      <c r="F724" s="3" t="s">
        <v>54</v>
      </c>
      <c r="G724" s="2" t="s">
        <v>55</v>
      </c>
      <c r="H724" s="2"/>
      <c r="I724" s="156" t="str">
        <f t="shared" si="41"/>
        <v/>
      </c>
      <c r="J724" s="156"/>
      <c r="K724" s="156"/>
      <c r="L724" s="2"/>
      <c r="M724" s="157" t="str">
        <f t="shared" si="42"/>
        <v>К</v>
      </c>
      <c r="N724" s="3" t="s">
        <v>22</v>
      </c>
      <c r="O724" s="4" t="s">
        <v>56</v>
      </c>
      <c r="P724" s="1"/>
      <c r="U724" s="1"/>
      <c r="V724" s="4"/>
      <c r="W724" s="3"/>
    </row>
    <row r="725" spans="1:24" x14ac:dyDescent="0.25">
      <c r="A725" s="154">
        <v>667</v>
      </c>
      <c r="B725" s="456" t="s">
        <v>3552</v>
      </c>
      <c r="C725" s="456"/>
      <c r="D725" s="158">
        <v>717</v>
      </c>
      <c r="E725" s="3" t="s">
        <v>2319</v>
      </c>
      <c r="F725" s="43" t="s">
        <v>32</v>
      </c>
      <c r="G725" s="2" t="s">
        <v>57</v>
      </c>
      <c r="H725" s="461" t="s">
        <v>969</v>
      </c>
      <c r="I725" s="156" t="str">
        <f t="shared" si="41"/>
        <v>2017</v>
      </c>
      <c r="J725" s="156"/>
      <c r="K725" s="156"/>
      <c r="L725" s="2"/>
      <c r="M725" s="157" t="str">
        <f t="shared" si="42"/>
        <v>К</v>
      </c>
      <c r="N725" s="3" t="s">
        <v>22</v>
      </c>
      <c r="O725" s="4" t="s">
        <v>56</v>
      </c>
      <c r="P725" s="1"/>
      <c r="U725" s="1"/>
      <c r="V725" s="4"/>
      <c r="W725" s="3"/>
    </row>
    <row r="726" spans="1:24" x14ac:dyDescent="0.25">
      <c r="A726" s="158">
        <v>676</v>
      </c>
      <c r="B726" s="456" t="s">
        <v>3552</v>
      </c>
      <c r="C726" s="456"/>
      <c r="D726" s="158">
        <v>718</v>
      </c>
      <c r="E726" s="3" t="s">
        <v>2319</v>
      </c>
      <c r="F726" s="43" t="s">
        <v>32</v>
      </c>
      <c r="G726" s="2" t="s">
        <v>127</v>
      </c>
      <c r="H726" s="461" t="s">
        <v>969</v>
      </c>
      <c r="I726" s="156" t="str">
        <f t="shared" si="41"/>
        <v>2017</v>
      </c>
      <c r="J726" s="156"/>
      <c r="K726" s="156"/>
      <c r="L726" s="2"/>
      <c r="M726" s="157" t="str">
        <f t="shared" si="42"/>
        <v>К</v>
      </c>
      <c r="N726" s="3" t="s">
        <v>22</v>
      </c>
      <c r="O726" s="4"/>
      <c r="P726" s="1"/>
      <c r="U726" s="1"/>
      <c r="V726" s="4"/>
      <c r="W726" s="3"/>
    </row>
    <row r="727" spans="1:24" x14ac:dyDescent="0.25">
      <c r="A727" s="158">
        <v>682</v>
      </c>
      <c r="B727" s="456" t="s">
        <v>3552</v>
      </c>
      <c r="C727" s="456"/>
      <c r="D727" s="154">
        <v>719</v>
      </c>
      <c r="E727" s="3" t="s">
        <v>2303</v>
      </c>
      <c r="F727" s="3" t="s">
        <v>19</v>
      </c>
      <c r="G727" s="2" t="s">
        <v>20</v>
      </c>
      <c r="H727" s="2" t="s">
        <v>59</v>
      </c>
      <c r="I727" s="156" t="str">
        <f t="shared" si="41"/>
        <v>2013</v>
      </c>
      <c r="J727" s="156"/>
      <c r="K727" s="156"/>
      <c r="L727" s="2" t="s">
        <v>21</v>
      </c>
      <c r="M727" s="157" t="str">
        <f t="shared" si="42"/>
        <v>К08102661_3</v>
      </c>
      <c r="N727" s="3" t="s">
        <v>22</v>
      </c>
      <c r="O727" s="4" t="s">
        <v>23</v>
      </c>
      <c r="P727" s="1"/>
      <c r="U727" s="1"/>
      <c r="V727" s="4"/>
      <c r="W727" s="3"/>
    </row>
    <row r="728" spans="1:24" x14ac:dyDescent="0.25">
      <c r="A728" s="158">
        <v>664</v>
      </c>
      <c r="B728" s="456" t="s">
        <v>3552</v>
      </c>
      <c r="C728" s="456"/>
      <c r="D728" s="158">
        <v>720</v>
      </c>
      <c r="E728" s="3" t="s">
        <v>2303</v>
      </c>
      <c r="F728" s="3" t="s">
        <v>19</v>
      </c>
      <c r="G728" s="2" t="s">
        <v>35</v>
      </c>
      <c r="H728" s="2" t="s">
        <v>66</v>
      </c>
      <c r="I728" s="156" t="str">
        <f t="shared" si="41"/>
        <v>2019</v>
      </c>
      <c r="J728" s="156"/>
      <c r="K728" s="156"/>
      <c r="L728" s="2" t="s">
        <v>36</v>
      </c>
      <c r="M728" s="157" t="str">
        <f t="shared" si="42"/>
        <v>КBA0000002715</v>
      </c>
      <c r="N728" s="3" t="s">
        <v>22</v>
      </c>
      <c r="O728" s="4" t="s">
        <v>34</v>
      </c>
      <c r="P728" s="1"/>
      <c r="U728" s="1"/>
      <c r="V728" s="4"/>
      <c r="W728" s="3"/>
    </row>
    <row r="729" spans="1:24" x14ac:dyDescent="0.25">
      <c r="A729" s="158">
        <v>668</v>
      </c>
      <c r="B729" s="456" t="s">
        <v>3552</v>
      </c>
      <c r="C729" s="456"/>
      <c r="D729" s="154">
        <v>721</v>
      </c>
      <c r="E729" s="3" t="s">
        <v>2303</v>
      </c>
      <c r="F729" s="3" t="s">
        <v>69</v>
      </c>
      <c r="G729" s="2" t="s">
        <v>70</v>
      </c>
      <c r="H729" s="2" t="s">
        <v>615</v>
      </c>
      <c r="I729" s="156" t="str">
        <f t="shared" si="41"/>
        <v>2016</v>
      </c>
      <c r="J729" s="156"/>
      <c r="K729" s="156"/>
      <c r="L729" s="2" t="s">
        <v>71</v>
      </c>
      <c r="M729" s="157" t="str">
        <f t="shared" si="42"/>
        <v>К7240000606</v>
      </c>
      <c r="N729" s="3" t="s">
        <v>22</v>
      </c>
      <c r="O729" s="4" t="s">
        <v>68</v>
      </c>
      <c r="P729" s="1"/>
      <c r="U729" s="1"/>
      <c r="V729" s="4"/>
      <c r="W729" s="3"/>
    </row>
    <row r="730" spans="1:24" x14ac:dyDescent="0.25">
      <c r="A730" s="158">
        <v>672</v>
      </c>
      <c r="B730" s="1"/>
      <c r="C730" s="457" t="s">
        <v>3034</v>
      </c>
      <c r="D730" s="158">
        <v>722</v>
      </c>
      <c r="E730" s="3" t="s">
        <v>91</v>
      </c>
      <c r="F730" s="3" t="s">
        <v>92</v>
      </c>
      <c r="G730" s="2" t="s">
        <v>93</v>
      </c>
      <c r="H730" s="2">
        <v>2009</v>
      </c>
      <c r="I730" s="156" t="str">
        <f t="shared" si="41"/>
        <v>2009</v>
      </c>
      <c r="J730" s="156"/>
      <c r="K730" s="156"/>
      <c r="L730" s="2" t="s">
        <v>94</v>
      </c>
      <c r="M730" s="157" t="str">
        <f t="shared" si="42"/>
        <v>К08102728_2</v>
      </c>
      <c r="N730" s="3" t="s">
        <v>22</v>
      </c>
      <c r="O730" s="4" t="s">
        <v>81</v>
      </c>
      <c r="P730" s="1"/>
      <c r="U730" s="1"/>
      <c r="V730" s="4"/>
      <c r="W730" s="3"/>
    </row>
    <row r="731" spans="1:24" x14ac:dyDescent="0.25">
      <c r="A731" s="154">
        <v>673</v>
      </c>
      <c r="B731" s="1"/>
      <c r="C731" s="457" t="s">
        <v>3034</v>
      </c>
      <c r="D731" s="154">
        <v>723</v>
      </c>
      <c r="E731" s="3" t="s">
        <v>95</v>
      </c>
      <c r="F731" s="3" t="s">
        <v>96</v>
      </c>
      <c r="G731" s="2" t="s">
        <v>97</v>
      </c>
      <c r="H731" s="2" t="s">
        <v>85</v>
      </c>
      <c r="I731" s="156" t="str">
        <f t="shared" si="41"/>
        <v>2018</v>
      </c>
      <c r="J731" s="156">
        <v>2018</v>
      </c>
      <c r="K731" s="156"/>
      <c r="L731" s="2" t="s">
        <v>86</v>
      </c>
      <c r="M731" s="157" t="str">
        <f t="shared" si="42"/>
        <v>К41012400126</v>
      </c>
      <c r="N731" s="3" t="s">
        <v>22</v>
      </c>
      <c r="O731" s="4" t="s">
        <v>81</v>
      </c>
      <c r="P731" s="1"/>
      <c r="U731" s="1"/>
      <c r="V731" s="4"/>
      <c r="W731" s="3"/>
    </row>
    <row r="732" spans="1:24" x14ac:dyDescent="0.25">
      <c r="A732" s="158">
        <v>696</v>
      </c>
      <c r="B732" s="1"/>
      <c r="C732" s="457" t="s">
        <v>3034</v>
      </c>
      <c r="D732" s="158">
        <v>724</v>
      </c>
      <c r="E732" s="485" t="s">
        <v>3701</v>
      </c>
      <c r="F732" s="485" t="s">
        <v>2384</v>
      </c>
      <c r="G732" s="2" t="s">
        <v>98</v>
      </c>
      <c r="H732" s="2">
        <v>2012</v>
      </c>
      <c r="I732" s="156" t="str">
        <f t="shared" si="41"/>
        <v>2012</v>
      </c>
      <c r="J732" s="156">
        <v>2012</v>
      </c>
      <c r="K732" s="156"/>
      <c r="L732" s="2" t="s">
        <v>99</v>
      </c>
      <c r="M732" s="157" t="str">
        <f t="shared" si="42"/>
        <v>К08103946</v>
      </c>
      <c r="N732" s="3" t="s">
        <v>22</v>
      </c>
      <c r="O732" s="4" t="s">
        <v>81</v>
      </c>
      <c r="P732" s="1"/>
      <c r="U732" s="1"/>
      <c r="V732" s="4"/>
      <c r="W732" s="3"/>
    </row>
    <row r="733" spans="1:24" x14ac:dyDescent="0.25">
      <c r="A733" s="154">
        <v>661</v>
      </c>
      <c r="B733" s="167"/>
      <c r="C733" s="167"/>
      <c r="D733" s="158">
        <v>725</v>
      </c>
      <c r="E733" s="162" t="s">
        <v>100</v>
      </c>
      <c r="F733" s="162" t="s">
        <v>101</v>
      </c>
      <c r="G733" s="449"/>
      <c r="H733" s="449"/>
      <c r="I733" s="156" t="str">
        <f t="shared" si="41"/>
        <v/>
      </c>
      <c r="J733" s="156"/>
      <c r="K733" s="156"/>
      <c r="L733" s="2" t="s">
        <v>102</v>
      </c>
      <c r="M733" s="157" t="str">
        <f t="shared" si="42"/>
        <v>К0480055</v>
      </c>
      <c r="N733" s="162" t="s">
        <v>22</v>
      </c>
      <c r="O733" s="4" t="s">
        <v>81</v>
      </c>
      <c r="P733" s="167"/>
      <c r="U733" s="1"/>
      <c r="V733" s="4"/>
      <c r="W733" s="3"/>
    </row>
    <row r="734" spans="1:24" s="162" customFormat="1" x14ac:dyDescent="0.25">
      <c r="A734" s="154">
        <v>665</v>
      </c>
      <c r="B734" s="1"/>
      <c r="C734" s="457" t="s">
        <v>3034</v>
      </c>
      <c r="D734" s="154">
        <v>726</v>
      </c>
      <c r="E734" s="3" t="s">
        <v>24</v>
      </c>
      <c r="F734" s="3" t="s">
        <v>25</v>
      </c>
      <c r="G734" s="2" t="s">
        <v>26</v>
      </c>
      <c r="H734" s="2">
        <v>2018</v>
      </c>
      <c r="I734" s="156" t="str">
        <f t="shared" si="41"/>
        <v>2018</v>
      </c>
      <c r="J734" s="156"/>
      <c r="K734" s="156"/>
      <c r="L734" s="2" t="s">
        <v>27</v>
      </c>
      <c r="M734" s="157" t="str">
        <f t="shared" si="42"/>
        <v>К71012400124</v>
      </c>
      <c r="N734" s="3" t="s">
        <v>22</v>
      </c>
      <c r="O734" s="4" t="s">
        <v>23</v>
      </c>
      <c r="P734" s="1"/>
      <c r="Q734" s="1"/>
      <c r="R734" s="3"/>
      <c r="S734" s="1"/>
      <c r="T734" s="3"/>
      <c r="U734" s="1"/>
      <c r="V734" s="4"/>
      <c r="W734" s="3"/>
      <c r="X734" s="3"/>
    </row>
    <row r="735" spans="1:24" x14ac:dyDescent="0.25">
      <c r="A735" s="154">
        <v>677</v>
      </c>
      <c r="B735" s="1"/>
      <c r="C735" s="1"/>
      <c r="D735" s="158">
        <v>727</v>
      </c>
      <c r="E735" s="3" t="s">
        <v>24</v>
      </c>
      <c r="F735" s="3" t="s">
        <v>37</v>
      </c>
      <c r="G735" s="2" t="s">
        <v>38</v>
      </c>
      <c r="H735" s="2">
        <v>2013</v>
      </c>
      <c r="I735" s="156" t="str">
        <f t="shared" si="41"/>
        <v>2013</v>
      </c>
      <c r="J735" s="156"/>
      <c r="K735" s="156"/>
      <c r="L735" s="2" t="s">
        <v>39</v>
      </c>
      <c r="M735" s="157" t="str">
        <f t="shared" si="42"/>
        <v>К08105132</v>
      </c>
      <c r="N735" s="3" t="s">
        <v>22</v>
      </c>
      <c r="O735" s="4" t="s">
        <v>34</v>
      </c>
      <c r="P735" s="1"/>
      <c r="U735" s="1"/>
      <c r="V735" s="4"/>
      <c r="W735" s="3"/>
    </row>
    <row r="736" spans="1:24" x14ac:dyDescent="0.25">
      <c r="A736" s="154">
        <v>683</v>
      </c>
      <c r="B736" s="1"/>
      <c r="C736" s="1"/>
      <c r="D736" s="154">
        <v>728</v>
      </c>
      <c r="E736" s="3" t="s">
        <v>24</v>
      </c>
      <c r="F736" s="3" t="s">
        <v>45</v>
      </c>
      <c r="G736" s="2" t="s">
        <v>46</v>
      </c>
      <c r="H736" s="2" t="s">
        <v>47</v>
      </c>
      <c r="I736" s="156" t="str">
        <f t="shared" si="41"/>
        <v>2010</v>
      </c>
      <c r="J736" s="156"/>
      <c r="K736" s="156"/>
      <c r="L736" s="2" t="s">
        <v>48</v>
      </c>
      <c r="M736" s="157" t="str">
        <f t="shared" si="42"/>
        <v>К08102853_3</v>
      </c>
      <c r="N736" s="3" t="s">
        <v>22</v>
      </c>
      <c r="O736" s="4" t="s">
        <v>43</v>
      </c>
      <c r="P736" s="1"/>
      <c r="U736" s="1"/>
      <c r="V736" s="4"/>
      <c r="W736" s="3"/>
    </row>
    <row r="737" spans="1:24" x14ac:dyDescent="0.25">
      <c r="A737" s="158">
        <v>684</v>
      </c>
      <c r="B737" s="1"/>
      <c r="C737" s="457" t="s">
        <v>3034</v>
      </c>
      <c r="D737" s="158">
        <v>729</v>
      </c>
      <c r="E737" s="3" t="s">
        <v>24</v>
      </c>
      <c r="F737" s="3" t="s">
        <v>45</v>
      </c>
      <c r="G737" s="2" t="s">
        <v>52</v>
      </c>
      <c r="H737" s="2" t="s">
        <v>47</v>
      </c>
      <c r="I737" s="156" t="str">
        <f t="shared" si="41"/>
        <v>2010</v>
      </c>
      <c r="J737" s="156"/>
      <c r="K737" s="156"/>
      <c r="L737" s="2" t="s">
        <v>48</v>
      </c>
      <c r="M737" s="157" t="str">
        <f t="shared" si="42"/>
        <v>К08102853_3</v>
      </c>
      <c r="N737" s="3" t="s">
        <v>22</v>
      </c>
      <c r="O737" s="4" t="s">
        <v>53</v>
      </c>
      <c r="P737" s="1"/>
      <c r="U737" s="1"/>
      <c r="V737" s="4"/>
      <c r="W737" s="162"/>
      <c r="X737" s="162" t="s">
        <v>3034</v>
      </c>
    </row>
    <row r="738" spans="1:24" x14ac:dyDescent="0.25">
      <c r="A738" s="154">
        <v>685</v>
      </c>
      <c r="B738" s="1"/>
      <c r="C738" s="457" t="s">
        <v>3034</v>
      </c>
      <c r="D738" s="154">
        <v>730</v>
      </c>
      <c r="E738" s="3" t="s">
        <v>24</v>
      </c>
      <c r="F738" s="3" t="s">
        <v>37</v>
      </c>
      <c r="G738" s="2" t="s">
        <v>58</v>
      </c>
      <c r="H738" s="2" t="s">
        <v>59</v>
      </c>
      <c r="I738" s="156" t="str">
        <f t="shared" si="41"/>
        <v>2013</v>
      </c>
      <c r="J738" s="156"/>
      <c r="K738" s="156"/>
      <c r="L738" s="2" t="s">
        <v>60</v>
      </c>
      <c r="M738" s="157" t="str">
        <f t="shared" si="42"/>
        <v>К08105134</v>
      </c>
      <c r="N738" s="3" t="s">
        <v>22</v>
      </c>
      <c r="O738" s="4" t="s">
        <v>56</v>
      </c>
      <c r="P738" s="1"/>
      <c r="U738" s="1"/>
      <c r="V738" s="4"/>
      <c r="W738" s="3"/>
    </row>
    <row r="739" spans="1:24" x14ac:dyDescent="0.25">
      <c r="A739" s="158">
        <v>686</v>
      </c>
      <c r="B739" s="1"/>
      <c r="C739" s="1"/>
      <c r="D739" s="158">
        <v>731</v>
      </c>
      <c r="E739" s="3" t="s">
        <v>24</v>
      </c>
      <c r="F739" s="3" t="s">
        <v>72</v>
      </c>
      <c r="G739" s="2"/>
      <c r="H739" s="2"/>
      <c r="I739" s="156" t="str">
        <f t="shared" si="41"/>
        <v/>
      </c>
      <c r="J739" s="156"/>
      <c r="K739" s="156"/>
      <c r="L739" s="2" t="s">
        <v>73</v>
      </c>
      <c r="M739" s="157" t="str">
        <f t="shared" si="42"/>
        <v>К08102433_2</v>
      </c>
      <c r="N739" s="3" t="s">
        <v>22</v>
      </c>
      <c r="O739" s="4" t="s">
        <v>68</v>
      </c>
      <c r="P739" s="1"/>
      <c r="T739" s="162"/>
      <c r="U739" s="167"/>
      <c r="V739" s="168" t="s">
        <v>103</v>
      </c>
      <c r="W739" s="3"/>
    </row>
    <row r="740" spans="1:24" x14ac:dyDescent="0.25">
      <c r="A740" s="158">
        <v>662</v>
      </c>
      <c r="B740" s="1"/>
      <c r="C740" s="457" t="s">
        <v>3034</v>
      </c>
      <c r="D740" s="158">
        <v>732</v>
      </c>
      <c r="E740" s="3" t="s">
        <v>24</v>
      </c>
      <c r="F740" s="3" t="s">
        <v>104</v>
      </c>
      <c r="G740" s="2" t="s">
        <v>105</v>
      </c>
      <c r="H740" s="2">
        <v>2011</v>
      </c>
      <c r="I740" s="156" t="str">
        <f t="shared" ref="I740:I771" si="43">RIGHT(H740,4)</f>
        <v>2011</v>
      </c>
      <c r="J740" s="156"/>
      <c r="K740" s="156"/>
      <c r="L740" s="2" t="s">
        <v>106</v>
      </c>
      <c r="M740" s="157" t="str">
        <f t="shared" si="42"/>
        <v>К08102992_2</v>
      </c>
      <c r="N740" s="3" t="s">
        <v>22</v>
      </c>
      <c r="O740" s="4" t="s">
        <v>81</v>
      </c>
      <c r="P740" s="1"/>
      <c r="U740" s="153" t="s">
        <v>3646</v>
      </c>
      <c r="V740" s="4"/>
      <c r="W740" s="3"/>
    </row>
    <row r="741" spans="1:24" x14ac:dyDescent="0.25">
      <c r="A741" s="158">
        <v>666</v>
      </c>
      <c r="B741" s="1"/>
      <c r="C741" s="457" t="s">
        <v>3034</v>
      </c>
      <c r="D741" s="154">
        <v>733</v>
      </c>
      <c r="E741" s="3" t="s">
        <v>24</v>
      </c>
      <c r="F741" s="3" t="s">
        <v>104</v>
      </c>
      <c r="G741" s="2" t="s">
        <v>107</v>
      </c>
      <c r="H741" s="2">
        <v>2011</v>
      </c>
      <c r="I741" s="156" t="str">
        <f t="shared" si="43"/>
        <v>2011</v>
      </c>
      <c r="J741" s="156"/>
      <c r="K741" s="156"/>
      <c r="L741" s="2" t="s">
        <v>108</v>
      </c>
      <c r="M741" s="157" t="str">
        <f t="shared" si="42"/>
        <v>К08102993</v>
      </c>
      <c r="N741" s="3" t="s">
        <v>22</v>
      </c>
      <c r="O741" s="4" t="s">
        <v>81</v>
      </c>
      <c r="P741" s="1"/>
      <c r="U741" s="153" t="s">
        <v>3646</v>
      </c>
      <c r="V741" s="4"/>
      <c r="W741" s="3"/>
    </row>
    <row r="742" spans="1:24" x14ac:dyDescent="0.25">
      <c r="A742" s="154">
        <v>669</v>
      </c>
      <c r="B742" s="1"/>
      <c r="C742" s="457" t="s">
        <v>3034</v>
      </c>
      <c r="D742" s="158">
        <v>734</v>
      </c>
      <c r="E742" s="3" t="s">
        <v>24</v>
      </c>
      <c r="F742" s="3" t="s">
        <v>37</v>
      </c>
      <c r="G742" s="2" t="s">
        <v>114</v>
      </c>
      <c r="H742" s="2">
        <v>2006</v>
      </c>
      <c r="I742" s="156" t="str">
        <f t="shared" si="43"/>
        <v>2006</v>
      </c>
      <c r="J742" s="156"/>
      <c r="K742" s="156"/>
      <c r="L742" s="2" t="s">
        <v>115</v>
      </c>
      <c r="M742" s="157" t="str">
        <f t="shared" si="42"/>
        <v>К04700205</v>
      </c>
      <c r="N742" s="3" t="s">
        <v>22</v>
      </c>
      <c r="O742" s="4" t="s">
        <v>116</v>
      </c>
      <c r="P742" s="1"/>
      <c r="U742" s="153" t="s">
        <v>3646</v>
      </c>
      <c r="V742" s="4"/>
      <c r="W742" s="3"/>
    </row>
    <row r="743" spans="1:24" x14ac:dyDescent="0.25">
      <c r="A743" s="154">
        <v>671</v>
      </c>
      <c r="B743" s="1"/>
      <c r="C743" s="457" t="s">
        <v>3034</v>
      </c>
      <c r="D743" s="154">
        <v>735</v>
      </c>
      <c r="E743" s="3" t="s">
        <v>24</v>
      </c>
      <c r="F743" s="3" t="s">
        <v>25</v>
      </c>
      <c r="G743" s="2" t="s">
        <v>117</v>
      </c>
      <c r="H743" s="2">
        <v>2018</v>
      </c>
      <c r="I743" s="156" t="str">
        <f t="shared" si="43"/>
        <v>2018</v>
      </c>
      <c r="J743" s="156"/>
      <c r="K743" s="156"/>
      <c r="L743" s="2" t="s">
        <v>118</v>
      </c>
      <c r="M743" s="157" t="str">
        <f t="shared" si="42"/>
        <v>К7101240122</v>
      </c>
      <c r="N743" s="3" t="s">
        <v>22</v>
      </c>
      <c r="O743" s="4" t="s">
        <v>119</v>
      </c>
      <c r="P743" s="1"/>
      <c r="U743" s="153" t="s">
        <v>3646</v>
      </c>
      <c r="V743" s="4"/>
      <c r="W743" s="3"/>
    </row>
    <row r="744" spans="1:24" x14ac:dyDescent="0.25">
      <c r="A744" s="158">
        <v>674</v>
      </c>
      <c r="B744" s="1"/>
      <c r="C744" s="457" t="s">
        <v>3034</v>
      </c>
      <c r="D744" s="158">
        <v>736</v>
      </c>
      <c r="E744" s="3" t="s">
        <v>24</v>
      </c>
      <c r="F744" s="3" t="s">
        <v>37</v>
      </c>
      <c r="G744" s="2" t="s">
        <v>120</v>
      </c>
      <c r="H744" s="2">
        <v>2018</v>
      </c>
      <c r="I744" s="156" t="str">
        <f t="shared" si="43"/>
        <v>2018</v>
      </c>
      <c r="J744" s="156"/>
      <c r="K744" s="156"/>
      <c r="L744" s="2" t="s">
        <v>121</v>
      </c>
      <c r="M744" s="157" t="str">
        <f t="shared" si="42"/>
        <v>К7101240121</v>
      </c>
      <c r="N744" s="3" t="s">
        <v>22</v>
      </c>
      <c r="O744" s="4" t="s">
        <v>122</v>
      </c>
      <c r="P744" s="1"/>
      <c r="U744" s="153" t="s">
        <v>3646</v>
      </c>
      <c r="V744" s="4"/>
      <c r="W744" s="3"/>
    </row>
    <row r="745" spans="1:24" x14ac:dyDescent="0.25">
      <c r="A745" s="158">
        <v>678</v>
      </c>
      <c r="B745" s="1"/>
      <c r="C745" s="457" t="s">
        <v>3034</v>
      </c>
      <c r="D745" s="154">
        <v>737</v>
      </c>
      <c r="E745" s="3" t="s">
        <v>24</v>
      </c>
      <c r="F745" s="3" t="s">
        <v>25</v>
      </c>
      <c r="G745" s="2" t="s">
        <v>123</v>
      </c>
      <c r="H745" s="2" t="s">
        <v>124</v>
      </c>
      <c r="I745" s="156" t="str">
        <f t="shared" si="43"/>
        <v>2018</v>
      </c>
      <c r="J745" s="156"/>
      <c r="K745" s="156"/>
      <c r="L745" s="2" t="s">
        <v>125</v>
      </c>
      <c r="M745" s="157" t="str">
        <f t="shared" si="42"/>
        <v>К71012400123</v>
      </c>
      <c r="N745" s="3" t="s">
        <v>22</v>
      </c>
      <c r="O745" s="4" t="s">
        <v>126</v>
      </c>
      <c r="P745" s="1"/>
      <c r="U745" s="153" t="s">
        <v>3646</v>
      </c>
      <c r="V745" s="4"/>
      <c r="W745" s="3"/>
    </row>
    <row r="746" spans="1:24" x14ac:dyDescent="0.25">
      <c r="A746" s="154">
        <v>687</v>
      </c>
      <c r="B746" s="1"/>
      <c r="C746" s="457" t="s">
        <v>3034</v>
      </c>
      <c r="D746" s="158">
        <v>738</v>
      </c>
      <c r="E746" s="3" t="s">
        <v>24</v>
      </c>
      <c r="F746" s="3" t="s">
        <v>37</v>
      </c>
      <c r="G746" s="2" t="s">
        <v>128</v>
      </c>
      <c r="H746" s="2">
        <v>2013</v>
      </c>
      <c r="I746" s="156" t="str">
        <f t="shared" si="43"/>
        <v>2013</v>
      </c>
      <c r="J746" s="156"/>
      <c r="K746" s="156"/>
      <c r="L746" s="2" t="s">
        <v>129</v>
      </c>
      <c r="M746" s="157" t="str">
        <f t="shared" si="42"/>
        <v>К08105133</v>
      </c>
      <c r="N746" s="3" t="s">
        <v>22</v>
      </c>
      <c r="O746" s="4"/>
      <c r="P746" s="1"/>
      <c r="U746" s="153" t="s">
        <v>3646</v>
      </c>
      <c r="V746" s="4"/>
      <c r="W746" s="3"/>
    </row>
    <row r="747" spans="1:24" x14ac:dyDescent="0.25">
      <c r="A747" s="158">
        <v>688</v>
      </c>
      <c r="B747" s="1"/>
      <c r="C747" s="1"/>
      <c r="D747" s="158">
        <v>739</v>
      </c>
      <c r="E747" s="3" t="s">
        <v>28</v>
      </c>
      <c r="F747" s="3" t="s">
        <v>29</v>
      </c>
      <c r="G747" s="2" t="s">
        <v>30</v>
      </c>
      <c r="H747" s="2">
        <v>1998</v>
      </c>
      <c r="I747" s="156" t="str">
        <f t="shared" si="43"/>
        <v>1998</v>
      </c>
      <c r="J747" s="156">
        <v>1998</v>
      </c>
      <c r="K747" s="156"/>
      <c r="L747" s="2" t="s">
        <v>31</v>
      </c>
      <c r="M747" s="157" t="str">
        <f t="shared" si="42"/>
        <v>К01380273</v>
      </c>
      <c r="N747" s="3" t="s">
        <v>22</v>
      </c>
      <c r="O747" s="4" t="s">
        <v>23</v>
      </c>
      <c r="P747" s="1"/>
      <c r="U747" s="153" t="s">
        <v>3646</v>
      </c>
      <c r="V747" s="4"/>
      <c r="W747" s="3"/>
    </row>
    <row r="748" spans="1:24" x14ac:dyDescent="0.25">
      <c r="A748" s="158">
        <v>690</v>
      </c>
      <c r="B748" s="1"/>
      <c r="C748" s="1"/>
      <c r="D748" s="154">
        <v>740</v>
      </c>
      <c r="E748" s="3" t="s">
        <v>28</v>
      </c>
      <c r="F748" s="3" t="s">
        <v>49</v>
      </c>
      <c r="G748" s="2" t="s">
        <v>50</v>
      </c>
      <c r="H748" s="2" t="s">
        <v>51</v>
      </c>
      <c r="I748" s="156" t="str">
        <f t="shared" si="43"/>
        <v>2014</v>
      </c>
      <c r="J748" s="156">
        <v>2014</v>
      </c>
      <c r="K748" s="156"/>
      <c r="L748" s="2"/>
      <c r="M748" s="157" t="str">
        <f t="shared" si="42"/>
        <v>К</v>
      </c>
      <c r="N748" s="3" t="s">
        <v>22</v>
      </c>
      <c r="O748" s="4" t="s">
        <v>43</v>
      </c>
      <c r="P748" s="1"/>
      <c r="U748" s="153" t="s">
        <v>3646</v>
      </c>
      <c r="V748" s="4"/>
      <c r="W748" s="3"/>
    </row>
    <row r="749" spans="1:24" x14ac:dyDescent="0.25">
      <c r="A749" s="154">
        <v>693</v>
      </c>
      <c r="B749" s="167"/>
      <c r="C749" s="167"/>
      <c r="D749" s="158">
        <v>741</v>
      </c>
      <c r="E749" s="162" t="s">
        <v>109</v>
      </c>
      <c r="F749" s="162" t="s">
        <v>110</v>
      </c>
      <c r="G749" s="449" t="s">
        <v>111</v>
      </c>
      <c r="H749" s="449" t="s">
        <v>112</v>
      </c>
      <c r="I749" s="156" t="str">
        <f t="shared" si="43"/>
        <v>2011</v>
      </c>
      <c r="J749" s="156">
        <v>2011</v>
      </c>
      <c r="K749" s="156"/>
      <c r="L749" s="2" t="s">
        <v>113</v>
      </c>
      <c r="M749" s="157" t="str">
        <f t="shared" si="42"/>
        <v>К08104085</v>
      </c>
      <c r="N749" s="162" t="s">
        <v>22</v>
      </c>
      <c r="O749" s="4" t="s">
        <v>81</v>
      </c>
      <c r="P749" s="167"/>
      <c r="U749" s="153" t="s">
        <v>3646</v>
      </c>
      <c r="V749" s="4"/>
      <c r="W749" s="3"/>
    </row>
    <row r="750" spans="1:24" x14ac:dyDescent="0.25">
      <c r="A750" s="158">
        <v>694</v>
      </c>
      <c r="B750" s="456" t="s">
        <v>3552</v>
      </c>
      <c r="C750" s="456"/>
      <c r="D750" s="154">
        <v>742</v>
      </c>
      <c r="E750" s="3" t="s">
        <v>61</v>
      </c>
      <c r="F750" s="3" t="s">
        <v>62</v>
      </c>
      <c r="G750" s="2">
        <v>141121057</v>
      </c>
      <c r="H750" s="2"/>
      <c r="I750" s="156" t="str">
        <f t="shared" si="43"/>
        <v/>
      </c>
      <c r="J750" s="156"/>
      <c r="K750" s="156"/>
      <c r="L750" s="2" t="s">
        <v>63</v>
      </c>
      <c r="M750" s="157" t="str">
        <f t="shared" si="42"/>
        <v>К08107640</v>
      </c>
      <c r="N750" s="3" t="s">
        <v>22</v>
      </c>
      <c r="O750" s="4" t="s">
        <v>56</v>
      </c>
      <c r="P750" s="1"/>
      <c r="U750" s="153" t="s">
        <v>3646</v>
      </c>
      <c r="V750" s="4"/>
      <c r="W750" s="3"/>
    </row>
    <row r="751" spans="1:24" x14ac:dyDescent="0.25">
      <c r="A751" s="154">
        <v>695</v>
      </c>
      <c r="B751" s="456" t="s">
        <v>3552</v>
      </c>
      <c r="C751" s="456"/>
      <c r="D751" s="158">
        <v>743</v>
      </c>
      <c r="E751" s="3" t="s">
        <v>61</v>
      </c>
      <c r="F751" s="3" t="s">
        <v>62</v>
      </c>
      <c r="G751" s="2" t="s">
        <v>74</v>
      </c>
      <c r="H751" s="171" t="s">
        <v>59</v>
      </c>
      <c r="I751" s="156" t="str">
        <f t="shared" si="43"/>
        <v>2013</v>
      </c>
      <c r="J751" s="156">
        <v>2013</v>
      </c>
      <c r="K751" s="156"/>
      <c r="L751" s="2" t="s">
        <v>75</v>
      </c>
      <c r="M751" s="157" t="str">
        <f t="shared" si="42"/>
        <v>К08105523</v>
      </c>
      <c r="N751" s="3" t="s">
        <v>22</v>
      </c>
      <c r="O751" s="4" t="s">
        <v>68</v>
      </c>
      <c r="P751" s="1"/>
      <c r="U751" s="153" t="s">
        <v>3646</v>
      </c>
      <c r="V751" s="4"/>
      <c r="W751" s="3"/>
    </row>
    <row r="752" spans="1:24" x14ac:dyDescent="0.25">
      <c r="A752" s="154">
        <v>697</v>
      </c>
      <c r="B752" s="456"/>
      <c r="C752" s="481" t="s">
        <v>3640</v>
      </c>
      <c r="D752" s="154">
        <v>744</v>
      </c>
      <c r="E752" s="482" t="s">
        <v>2320</v>
      </c>
      <c r="F752" s="3" t="s">
        <v>5552</v>
      </c>
      <c r="G752" s="2" t="s">
        <v>5553</v>
      </c>
      <c r="H752" s="2" t="s">
        <v>969</v>
      </c>
      <c r="I752" s="156" t="str">
        <f t="shared" si="43"/>
        <v>2017</v>
      </c>
      <c r="J752" s="156"/>
      <c r="K752" s="156"/>
      <c r="L752" s="2"/>
      <c r="M752" s="157"/>
      <c r="N752" s="3" t="s">
        <v>22</v>
      </c>
      <c r="O752" s="483" t="s">
        <v>4458</v>
      </c>
      <c r="P752" s="1"/>
      <c r="U752" s="153" t="s">
        <v>3646</v>
      </c>
      <c r="V752" s="4"/>
      <c r="W752" s="3"/>
    </row>
    <row r="753" spans="1:24" x14ac:dyDescent="0.25">
      <c r="A753" s="154">
        <v>663</v>
      </c>
      <c r="B753" s="456" t="s">
        <v>3552</v>
      </c>
      <c r="C753" s="457" t="s">
        <v>3034</v>
      </c>
      <c r="D753" s="154">
        <v>754</v>
      </c>
      <c r="E753" s="3" t="s">
        <v>3371</v>
      </c>
      <c r="F753" s="3" t="s">
        <v>1327</v>
      </c>
      <c r="G753" s="2" t="s">
        <v>3372</v>
      </c>
      <c r="H753" s="2" t="s">
        <v>2277</v>
      </c>
      <c r="I753" s="156" t="str">
        <f t="shared" si="43"/>
        <v>1992</v>
      </c>
      <c r="J753" s="156">
        <v>1992</v>
      </c>
      <c r="K753" s="156"/>
      <c r="L753" s="2" t="s">
        <v>3373</v>
      </c>
      <c r="M753" s="157" t="str">
        <f t="shared" ref="M753:M782" si="44">CONCATENATE("К",L753)</f>
        <v>К01370274_1</v>
      </c>
      <c r="N753" s="3" t="s">
        <v>2110</v>
      </c>
      <c r="O753" s="4" t="s">
        <v>1263</v>
      </c>
      <c r="P753" s="1"/>
      <c r="U753" s="1"/>
      <c r="V753" s="4"/>
      <c r="W753" s="3"/>
    </row>
    <row r="754" spans="1:24" x14ac:dyDescent="0.25">
      <c r="A754" s="158">
        <v>670</v>
      </c>
      <c r="B754" s="456" t="s">
        <v>3552</v>
      </c>
      <c r="C754" s="457" t="s">
        <v>3034</v>
      </c>
      <c r="D754" s="154">
        <v>749</v>
      </c>
      <c r="E754" s="3" t="s">
        <v>2975</v>
      </c>
      <c r="F754" s="3" t="s">
        <v>3268</v>
      </c>
      <c r="G754" s="2" t="s">
        <v>3360</v>
      </c>
      <c r="H754" s="2" t="s">
        <v>3262</v>
      </c>
      <c r="I754" s="156" t="str">
        <f t="shared" si="43"/>
        <v>1993</v>
      </c>
      <c r="J754" s="156">
        <v>1993</v>
      </c>
      <c r="K754" s="156"/>
      <c r="L754" s="2" t="s">
        <v>3361</v>
      </c>
      <c r="M754" s="157" t="str">
        <f t="shared" si="44"/>
        <v>К01370847</v>
      </c>
      <c r="N754" s="3" t="s">
        <v>2110</v>
      </c>
      <c r="O754" s="4" t="s">
        <v>1263</v>
      </c>
      <c r="P754" s="1"/>
      <c r="U754" s="1"/>
      <c r="V754" s="4"/>
      <c r="W754" s="3"/>
    </row>
    <row r="755" spans="1:24" x14ac:dyDescent="0.25">
      <c r="A755" s="154">
        <v>689</v>
      </c>
      <c r="B755" s="456" t="s">
        <v>3552</v>
      </c>
      <c r="C755" s="457" t="s">
        <v>3034</v>
      </c>
      <c r="D755" s="158">
        <v>759</v>
      </c>
      <c r="E755" s="3" t="s">
        <v>2978</v>
      </c>
      <c r="F755" s="43" t="s">
        <v>2982</v>
      </c>
      <c r="G755" s="2" t="s">
        <v>3374</v>
      </c>
      <c r="H755" s="2" t="s">
        <v>3375</v>
      </c>
      <c r="I755" s="156" t="str">
        <f t="shared" si="43"/>
        <v>1998</v>
      </c>
      <c r="J755" s="156">
        <v>1998</v>
      </c>
      <c r="K755" s="156"/>
      <c r="L755" s="2" t="s">
        <v>3376</v>
      </c>
      <c r="M755" s="157" t="str">
        <f t="shared" si="44"/>
        <v>К01370751</v>
      </c>
      <c r="N755" s="3" t="s">
        <v>2110</v>
      </c>
      <c r="O755" s="4" t="s">
        <v>1263</v>
      </c>
      <c r="P755" s="1"/>
      <c r="T755" s="162"/>
      <c r="U755" s="167"/>
      <c r="V755" s="168" t="s">
        <v>103</v>
      </c>
      <c r="W755" s="3"/>
    </row>
    <row r="756" spans="1:24" x14ac:dyDescent="0.25">
      <c r="A756" s="154">
        <v>675</v>
      </c>
      <c r="B756" s="456" t="s">
        <v>3552</v>
      </c>
      <c r="C756" s="457" t="s">
        <v>3034</v>
      </c>
      <c r="D756" s="158">
        <v>760</v>
      </c>
      <c r="E756" s="3" t="s">
        <v>2978</v>
      </c>
      <c r="F756" s="43" t="s">
        <v>2982</v>
      </c>
      <c r="G756" s="2" t="s">
        <v>3377</v>
      </c>
      <c r="H756" s="2" t="s">
        <v>327</v>
      </c>
      <c r="I756" s="156" t="str">
        <f t="shared" si="43"/>
        <v>2003</v>
      </c>
      <c r="J756" s="156">
        <v>2003</v>
      </c>
      <c r="K756" s="156"/>
      <c r="L756" s="2" t="s">
        <v>3378</v>
      </c>
      <c r="M756" s="157" t="str">
        <f t="shared" si="44"/>
        <v>К03101132</v>
      </c>
      <c r="N756" s="3" t="s">
        <v>2110</v>
      </c>
      <c r="O756" s="4" t="s">
        <v>1263</v>
      </c>
      <c r="P756" s="1"/>
      <c r="U756" s="1"/>
      <c r="V756" s="4"/>
      <c r="W756" s="3"/>
    </row>
    <row r="757" spans="1:24" x14ac:dyDescent="0.25">
      <c r="A757" s="154">
        <v>679</v>
      </c>
      <c r="B757" s="456" t="s">
        <v>3552</v>
      </c>
      <c r="C757" s="457" t="s">
        <v>3034</v>
      </c>
      <c r="D757" s="158">
        <v>787</v>
      </c>
      <c r="E757" s="3" t="s">
        <v>325</v>
      </c>
      <c r="F757" s="43" t="s">
        <v>1936</v>
      </c>
      <c r="G757" s="2"/>
      <c r="H757" s="169" t="s">
        <v>5653</v>
      </c>
      <c r="I757" s="156" t="str">
        <f t="shared" si="43"/>
        <v>2007</v>
      </c>
      <c r="J757" s="156">
        <v>2007</v>
      </c>
      <c r="K757" s="156"/>
      <c r="L757" s="2"/>
      <c r="M757" s="157" t="str">
        <f t="shared" si="44"/>
        <v>К</v>
      </c>
      <c r="N757" s="3" t="s">
        <v>2110</v>
      </c>
      <c r="O757" s="4" t="s">
        <v>1895</v>
      </c>
      <c r="P757" s="1"/>
      <c r="U757" s="1"/>
      <c r="V757" s="4"/>
      <c r="W757" s="3"/>
    </row>
    <row r="758" spans="1:24" x14ac:dyDescent="0.25">
      <c r="A758" s="154"/>
      <c r="B758" s="456" t="s">
        <v>3552</v>
      </c>
      <c r="C758" s="457" t="s">
        <v>3034</v>
      </c>
      <c r="D758" s="154">
        <v>747</v>
      </c>
      <c r="E758" s="3" t="s">
        <v>2973</v>
      </c>
      <c r="F758" s="43" t="s">
        <v>2987</v>
      </c>
      <c r="G758" s="2" t="s">
        <v>3356</v>
      </c>
      <c r="H758" s="2" t="s">
        <v>90</v>
      </c>
      <c r="I758" s="156" t="str">
        <f t="shared" si="43"/>
        <v>2008</v>
      </c>
      <c r="J758" s="156">
        <v>2008</v>
      </c>
      <c r="K758" s="156"/>
      <c r="L758" s="2" t="s">
        <v>3357</v>
      </c>
      <c r="M758" s="157" t="str">
        <f t="shared" si="44"/>
        <v>К03101130</v>
      </c>
      <c r="N758" s="3" t="s">
        <v>2110</v>
      </c>
      <c r="O758" s="4" t="s">
        <v>1263</v>
      </c>
      <c r="P758" s="1"/>
      <c r="U758" s="1"/>
      <c r="V758" s="4"/>
      <c r="W758" s="3"/>
    </row>
    <row r="759" spans="1:24" x14ac:dyDescent="0.25">
      <c r="A759" s="158">
        <v>700</v>
      </c>
      <c r="B759" s="456" t="s">
        <v>3552</v>
      </c>
      <c r="C759" s="457" t="s">
        <v>3034</v>
      </c>
      <c r="D759" s="158">
        <v>750</v>
      </c>
      <c r="E759" s="3" t="s">
        <v>2975</v>
      </c>
      <c r="F759" s="3" t="s">
        <v>3268</v>
      </c>
      <c r="G759" s="2" t="s">
        <v>3362</v>
      </c>
      <c r="H759" s="2" t="s">
        <v>79</v>
      </c>
      <c r="I759" s="156" t="str">
        <f t="shared" si="43"/>
        <v>2009</v>
      </c>
      <c r="J759" s="156">
        <v>2009</v>
      </c>
      <c r="K759" s="156"/>
      <c r="L759" s="2" t="s">
        <v>3363</v>
      </c>
      <c r="M759" s="157" t="str">
        <f t="shared" si="44"/>
        <v>К08102683_2</v>
      </c>
      <c r="N759" s="3" t="s">
        <v>2110</v>
      </c>
      <c r="O759" s="4" t="s">
        <v>1263</v>
      </c>
      <c r="P759" s="1"/>
      <c r="U759" s="1"/>
      <c r="V759" s="4"/>
      <c r="W759" s="3"/>
    </row>
    <row r="760" spans="1:24" x14ac:dyDescent="0.25">
      <c r="A760" s="154">
        <v>701</v>
      </c>
      <c r="B760" s="136" t="s">
        <v>3552</v>
      </c>
      <c r="C760" s="136"/>
      <c r="D760" s="158">
        <v>757</v>
      </c>
      <c r="E760" s="138" t="s">
        <v>3555</v>
      </c>
      <c r="F760" s="43" t="s">
        <v>2151</v>
      </c>
      <c r="G760" s="2" t="s">
        <v>3325</v>
      </c>
      <c r="H760" s="2" t="s">
        <v>3326</v>
      </c>
      <c r="I760" s="156" t="str">
        <f t="shared" si="43"/>
        <v>2009</v>
      </c>
      <c r="J760" s="156"/>
      <c r="K760" s="156"/>
      <c r="L760" s="2" t="s">
        <v>2899</v>
      </c>
      <c r="M760" s="157" t="str">
        <f t="shared" si="44"/>
        <v>К08102124</v>
      </c>
      <c r="N760" s="3" t="s">
        <v>2110</v>
      </c>
      <c r="O760" s="4" t="s">
        <v>1081</v>
      </c>
      <c r="P760" s="1"/>
      <c r="U760" s="1"/>
      <c r="V760" s="4"/>
      <c r="W760" s="3"/>
    </row>
    <row r="761" spans="1:24" x14ac:dyDescent="0.25">
      <c r="A761" s="158">
        <v>726</v>
      </c>
      <c r="B761" s="1"/>
      <c r="C761" s="457" t="s">
        <v>3034</v>
      </c>
      <c r="D761" s="154">
        <v>777</v>
      </c>
      <c r="E761" s="3" t="s">
        <v>24</v>
      </c>
      <c r="F761" s="3" t="s">
        <v>1084</v>
      </c>
      <c r="G761" s="2" t="s">
        <v>3379</v>
      </c>
      <c r="H761" s="2" t="s">
        <v>79</v>
      </c>
      <c r="I761" s="156" t="str">
        <f t="shared" si="43"/>
        <v>2009</v>
      </c>
      <c r="J761" s="156"/>
      <c r="K761" s="156"/>
      <c r="L761" s="2">
        <v>8102569</v>
      </c>
      <c r="M761" s="157" t="str">
        <f t="shared" si="44"/>
        <v>К8102569</v>
      </c>
      <c r="N761" s="3" t="s">
        <v>2110</v>
      </c>
      <c r="O761" s="4" t="s">
        <v>1263</v>
      </c>
      <c r="P761" s="1"/>
      <c r="U761" s="1"/>
      <c r="V761" s="4"/>
      <c r="W761" s="3"/>
    </row>
    <row r="762" spans="1:24" x14ac:dyDescent="0.25">
      <c r="A762" s="154">
        <v>727</v>
      </c>
      <c r="B762" s="1"/>
      <c r="C762" s="457" t="s">
        <v>3034</v>
      </c>
      <c r="D762" s="158">
        <v>778</v>
      </c>
      <c r="E762" s="162" t="s">
        <v>24</v>
      </c>
      <c r="F762" s="162" t="s">
        <v>1084</v>
      </c>
      <c r="G762" s="449" t="s">
        <v>3382</v>
      </c>
      <c r="H762" s="449" t="s">
        <v>79</v>
      </c>
      <c r="I762" s="495" t="str">
        <f t="shared" si="43"/>
        <v>2009</v>
      </c>
      <c r="J762" s="495"/>
      <c r="K762" s="495"/>
      <c r="L762" s="449" t="s">
        <v>1417</v>
      </c>
      <c r="M762" s="157" t="str">
        <f t="shared" si="44"/>
        <v>К08102650</v>
      </c>
      <c r="N762" s="3" t="s">
        <v>2110</v>
      </c>
      <c r="O762" s="4" t="s">
        <v>122</v>
      </c>
      <c r="P762" s="1"/>
      <c r="U762" s="1"/>
      <c r="V762" s="4"/>
      <c r="W762" s="3"/>
    </row>
    <row r="763" spans="1:24" x14ac:dyDescent="0.25">
      <c r="A763" s="158">
        <v>728</v>
      </c>
      <c r="B763" s="1"/>
      <c r="C763" s="457" t="s">
        <v>3034</v>
      </c>
      <c r="D763" s="158">
        <v>767</v>
      </c>
      <c r="E763" s="3" t="s">
        <v>24</v>
      </c>
      <c r="F763" s="3" t="s">
        <v>104</v>
      </c>
      <c r="G763" s="2" t="s">
        <v>3310</v>
      </c>
      <c r="H763" s="2" t="s">
        <v>283</v>
      </c>
      <c r="I763" s="156" t="str">
        <f t="shared" si="43"/>
        <v>2011</v>
      </c>
      <c r="J763" s="156"/>
      <c r="K763" s="156"/>
      <c r="L763" s="2" t="s">
        <v>3311</v>
      </c>
      <c r="M763" s="157" t="str">
        <f t="shared" si="44"/>
        <v>К08102958_2</v>
      </c>
      <c r="N763" s="3" t="s">
        <v>2110</v>
      </c>
      <c r="O763" s="4" t="s">
        <v>3312</v>
      </c>
      <c r="P763" s="1"/>
      <c r="U763" s="1"/>
      <c r="V763" s="4"/>
      <c r="W763" s="3"/>
    </row>
    <row r="764" spans="1:24" x14ac:dyDescent="0.25">
      <c r="A764" s="154">
        <v>729</v>
      </c>
      <c r="B764" s="1"/>
      <c r="C764" s="457" t="s">
        <v>3034</v>
      </c>
      <c r="D764" s="158">
        <v>769</v>
      </c>
      <c r="E764" s="3" t="s">
        <v>24</v>
      </c>
      <c r="F764" s="3" t="s">
        <v>104</v>
      </c>
      <c r="G764" s="2" t="s">
        <v>3323</v>
      </c>
      <c r="H764" s="2" t="s">
        <v>283</v>
      </c>
      <c r="I764" s="156" t="str">
        <f t="shared" si="43"/>
        <v>2011</v>
      </c>
      <c r="J764" s="156"/>
      <c r="K764" s="156"/>
      <c r="L764" s="2" t="s">
        <v>3324</v>
      </c>
      <c r="M764" s="157" t="str">
        <f t="shared" si="44"/>
        <v>К08102984</v>
      </c>
      <c r="N764" s="3" t="s">
        <v>2110</v>
      </c>
      <c r="O764" s="4" t="s">
        <v>3315</v>
      </c>
      <c r="P764" s="1"/>
      <c r="U764" s="1"/>
      <c r="V764" s="4"/>
      <c r="W764" s="3"/>
    </row>
    <row r="765" spans="1:24" x14ac:dyDescent="0.25">
      <c r="A765" s="158">
        <v>730</v>
      </c>
      <c r="B765" s="456" t="s">
        <v>3552</v>
      </c>
      <c r="C765" s="457" t="s">
        <v>3034</v>
      </c>
      <c r="D765" s="158">
        <v>752</v>
      </c>
      <c r="E765" s="3" t="s">
        <v>1408</v>
      </c>
      <c r="F765" s="3" t="s">
        <v>3366</v>
      </c>
      <c r="G765" s="2" t="s">
        <v>3367</v>
      </c>
      <c r="H765" s="2" t="s">
        <v>870</v>
      </c>
      <c r="I765" s="156" t="str">
        <f t="shared" si="43"/>
        <v>2012</v>
      </c>
      <c r="J765" s="156">
        <v>2012</v>
      </c>
      <c r="K765" s="156"/>
      <c r="L765" s="2" t="s">
        <v>3368</v>
      </c>
      <c r="M765" s="157" t="str">
        <f t="shared" si="44"/>
        <v>К08108774</v>
      </c>
      <c r="N765" s="3" t="s">
        <v>2110</v>
      </c>
      <c r="O765" s="4" t="s">
        <v>1263</v>
      </c>
      <c r="P765" s="1"/>
      <c r="U765" s="1"/>
      <c r="V765" s="4"/>
      <c r="W765" s="3"/>
    </row>
    <row r="766" spans="1:24" x14ac:dyDescent="0.25">
      <c r="A766" s="154">
        <v>731</v>
      </c>
      <c r="B766" s="136" t="s">
        <v>3552</v>
      </c>
      <c r="C766" s="136"/>
      <c r="D766" s="154">
        <v>756</v>
      </c>
      <c r="E766" s="138" t="s">
        <v>3555</v>
      </c>
      <c r="F766" s="43" t="s">
        <v>455</v>
      </c>
      <c r="G766" s="2" t="s">
        <v>3317</v>
      </c>
      <c r="H766" s="2" t="s">
        <v>59</v>
      </c>
      <c r="I766" s="156" t="str">
        <f t="shared" si="43"/>
        <v>2013</v>
      </c>
      <c r="J766" s="156"/>
      <c r="K766" s="156"/>
      <c r="L766" s="2" t="s">
        <v>3318</v>
      </c>
      <c r="M766" s="157" t="str">
        <f t="shared" si="44"/>
        <v>К08105925</v>
      </c>
      <c r="N766" s="3" t="s">
        <v>2110</v>
      </c>
      <c r="O766" s="4" t="s">
        <v>3312</v>
      </c>
      <c r="P766" s="1"/>
      <c r="U766" s="1"/>
      <c r="V766" s="4"/>
      <c r="W766" s="3"/>
    </row>
    <row r="767" spans="1:24" x14ac:dyDescent="0.25">
      <c r="A767" s="158">
        <v>732</v>
      </c>
      <c r="B767" s="1"/>
      <c r="C767" s="457" t="s">
        <v>3034</v>
      </c>
      <c r="D767" s="154">
        <v>768</v>
      </c>
      <c r="E767" s="3" t="s">
        <v>24</v>
      </c>
      <c r="F767" s="3" t="s">
        <v>1084</v>
      </c>
      <c r="G767" s="2" t="s">
        <v>3321</v>
      </c>
      <c r="H767" s="2" t="s">
        <v>59</v>
      </c>
      <c r="I767" s="156" t="str">
        <f t="shared" si="43"/>
        <v>2013</v>
      </c>
      <c r="J767" s="156"/>
      <c r="K767" s="156"/>
      <c r="L767" s="2" t="s">
        <v>3322</v>
      </c>
      <c r="M767" s="157" t="str">
        <f t="shared" si="44"/>
        <v>К08105169</v>
      </c>
      <c r="N767" s="3" t="s">
        <v>2110</v>
      </c>
      <c r="O767" s="4" t="s">
        <v>3315</v>
      </c>
      <c r="P767" s="1"/>
      <c r="U767" s="1"/>
      <c r="V767" s="4"/>
      <c r="W767" s="3"/>
    </row>
    <row r="768" spans="1:24" x14ac:dyDescent="0.25">
      <c r="A768" s="154">
        <v>733</v>
      </c>
      <c r="B768" s="1"/>
      <c r="C768" s="1"/>
      <c r="D768" s="154">
        <v>770</v>
      </c>
      <c r="E768" s="3" t="s">
        <v>24</v>
      </c>
      <c r="F768" s="3" t="s">
        <v>37</v>
      </c>
      <c r="G768" s="2" t="s">
        <v>3332</v>
      </c>
      <c r="H768" s="2" t="s">
        <v>59</v>
      </c>
      <c r="I768" s="156" t="str">
        <f t="shared" si="43"/>
        <v>2013</v>
      </c>
      <c r="J768" s="156"/>
      <c r="K768" s="156"/>
      <c r="L768" s="2" t="s">
        <v>3333</v>
      </c>
      <c r="M768" s="157" t="str">
        <f t="shared" si="44"/>
        <v>К08105148</v>
      </c>
      <c r="N768" s="3" t="s">
        <v>2110</v>
      </c>
      <c r="O768" s="4" t="s">
        <v>3328</v>
      </c>
      <c r="P768" s="1"/>
      <c r="U768" s="1"/>
      <c r="V768" s="4"/>
      <c r="W768" s="162"/>
      <c r="X768" s="162" t="s">
        <v>3034</v>
      </c>
    </row>
    <row r="769" spans="1:24" x14ac:dyDescent="0.25">
      <c r="A769" s="154">
        <v>713</v>
      </c>
      <c r="B769" s="1"/>
      <c r="C769" s="457" t="s">
        <v>3034</v>
      </c>
      <c r="D769" s="158">
        <v>771</v>
      </c>
      <c r="E769" s="3" t="s">
        <v>24</v>
      </c>
      <c r="F769" s="3" t="s">
        <v>37</v>
      </c>
      <c r="G769" s="2" t="s">
        <v>3337</v>
      </c>
      <c r="H769" s="2" t="s">
        <v>59</v>
      </c>
      <c r="I769" s="156" t="str">
        <f t="shared" si="43"/>
        <v>2013</v>
      </c>
      <c r="J769" s="156"/>
      <c r="K769" s="156"/>
      <c r="L769" s="2" t="s">
        <v>3338</v>
      </c>
      <c r="M769" s="157" t="str">
        <f t="shared" si="44"/>
        <v>К08105164</v>
      </c>
      <c r="N769" s="3" t="s">
        <v>2110</v>
      </c>
      <c r="O769" s="4" t="s">
        <v>1895</v>
      </c>
      <c r="P769" s="1"/>
      <c r="U769" s="1"/>
      <c r="V769" s="4"/>
      <c r="W769" s="3"/>
    </row>
    <row r="770" spans="1:24" x14ac:dyDescent="0.25">
      <c r="A770" s="158">
        <v>698</v>
      </c>
      <c r="B770" s="1"/>
      <c r="C770" s="457" t="s">
        <v>3034</v>
      </c>
      <c r="D770" s="154">
        <v>772</v>
      </c>
      <c r="E770" s="3" t="s">
        <v>24</v>
      </c>
      <c r="F770" s="3" t="s">
        <v>1084</v>
      </c>
      <c r="G770" s="2" t="s">
        <v>3344</v>
      </c>
      <c r="H770" s="2" t="s">
        <v>59</v>
      </c>
      <c r="I770" s="156" t="str">
        <f t="shared" si="43"/>
        <v>2013</v>
      </c>
      <c r="J770" s="156"/>
      <c r="K770" s="156"/>
      <c r="L770" s="2" t="s">
        <v>3345</v>
      </c>
      <c r="M770" s="157" t="str">
        <f t="shared" si="44"/>
        <v>К08105173</v>
      </c>
      <c r="N770" s="3" t="s">
        <v>2110</v>
      </c>
      <c r="O770" s="4" t="s">
        <v>3092</v>
      </c>
      <c r="P770" s="1"/>
      <c r="U770" s="1"/>
      <c r="V770" s="4"/>
      <c r="W770" s="3"/>
    </row>
    <row r="771" spans="1:24" x14ac:dyDescent="0.25">
      <c r="A771" s="158">
        <v>722</v>
      </c>
      <c r="B771" s="1"/>
      <c r="C771" s="457" t="s">
        <v>3034</v>
      </c>
      <c r="D771" s="158">
        <v>773</v>
      </c>
      <c r="E771" s="3" t="s">
        <v>24</v>
      </c>
      <c r="F771" s="3" t="s">
        <v>37</v>
      </c>
      <c r="G771" s="2" t="s">
        <v>3346</v>
      </c>
      <c r="H771" s="2" t="s">
        <v>59</v>
      </c>
      <c r="I771" s="156" t="str">
        <f t="shared" si="43"/>
        <v>2013</v>
      </c>
      <c r="J771" s="156"/>
      <c r="K771" s="156"/>
      <c r="L771" s="2" t="s">
        <v>3347</v>
      </c>
      <c r="M771" s="157" t="str">
        <f t="shared" si="44"/>
        <v>К08105166</v>
      </c>
      <c r="N771" s="3" t="s">
        <v>2110</v>
      </c>
      <c r="O771" s="4" t="s">
        <v>1160</v>
      </c>
      <c r="P771" s="1"/>
      <c r="U771" s="1"/>
      <c r="V771" s="4"/>
      <c r="W771" s="3"/>
    </row>
    <row r="772" spans="1:24" x14ac:dyDescent="0.25">
      <c r="A772" s="154">
        <v>723</v>
      </c>
      <c r="B772" s="1"/>
      <c r="C772" s="457" t="s">
        <v>3034</v>
      </c>
      <c r="D772" s="158">
        <v>774</v>
      </c>
      <c r="E772" s="3" t="s">
        <v>24</v>
      </c>
      <c r="F772" s="3" t="s">
        <v>1084</v>
      </c>
      <c r="G772" s="2" t="s">
        <v>3348</v>
      </c>
      <c r="H772" s="2" t="s">
        <v>59</v>
      </c>
      <c r="I772" s="156" t="str">
        <f t="shared" ref="I772:I782" si="45">RIGHT(H772,4)</f>
        <v>2013</v>
      </c>
      <c r="J772" s="156"/>
      <c r="K772" s="156"/>
      <c r="L772" s="2" t="s">
        <v>3349</v>
      </c>
      <c r="M772" s="157" t="str">
        <f t="shared" si="44"/>
        <v>К081025692</v>
      </c>
      <c r="N772" s="3" t="s">
        <v>2110</v>
      </c>
      <c r="O772" s="4" t="s">
        <v>1167</v>
      </c>
      <c r="P772" s="1"/>
      <c r="U772" s="1"/>
      <c r="V772" s="4"/>
      <c r="W772" s="3"/>
    </row>
    <row r="773" spans="1:24" x14ac:dyDescent="0.25">
      <c r="A773" s="158">
        <v>734</v>
      </c>
      <c r="B773" s="1"/>
      <c r="C773" s="457" t="s">
        <v>3034</v>
      </c>
      <c r="D773" s="154">
        <v>775</v>
      </c>
      <c r="E773" s="3" t="s">
        <v>24</v>
      </c>
      <c r="F773" s="3" t="s">
        <v>37</v>
      </c>
      <c r="G773" s="2">
        <v>15132</v>
      </c>
      <c r="H773" s="2">
        <v>2013</v>
      </c>
      <c r="I773" s="156" t="str">
        <f t="shared" si="45"/>
        <v>2013</v>
      </c>
      <c r="J773" s="156"/>
      <c r="K773" s="156"/>
      <c r="L773" s="2" t="s">
        <v>3353</v>
      </c>
      <c r="M773" s="157" t="str">
        <f t="shared" si="44"/>
        <v>К08105146</v>
      </c>
      <c r="N773" s="3" t="s">
        <v>2110</v>
      </c>
      <c r="O773" s="4" t="s">
        <v>1081</v>
      </c>
      <c r="P773" s="1"/>
      <c r="U773" s="1"/>
      <c r="V773" s="4"/>
      <c r="W773" s="3"/>
    </row>
    <row r="774" spans="1:24" x14ac:dyDescent="0.25">
      <c r="A774" s="154">
        <v>735</v>
      </c>
      <c r="B774" s="1"/>
      <c r="C774" s="457" t="s">
        <v>3034</v>
      </c>
      <c r="D774" s="158">
        <v>776</v>
      </c>
      <c r="E774" s="3" t="s">
        <v>24</v>
      </c>
      <c r="F774" s="3" t="s">
        <v>37</v>
      </c>
      <c r="G774" s="2" t="s">
        <v>3354</v>
      </c>
      <c r="H774" s="2" t="s">
        <v>59</v>
      </c>
      <c r="I774" s="156" t="str">
        <f t="shared" si="45"/>
        <v>2013</v>
      </c>
      <c r="J774" s="156"/>
      <c r="K774" s="156"/>
      <c r="L774" s="2" t="s">
        <v>3355</v>
      </c>
      <c r="M774" s="157" t="str">
        <f t="shared" si="44"/>
        <v>К08105147</v>
      </c>
      <c r="N774" s="3" t="s">
        <v>2110</v>
      </c>
      <c r="O774" s="4" t="s">
        <v>1081</v>
      </c>
      <c r="P774" s="1"/>
      <c r="U774" s="1"/>
      <c r="V774" s="4"/>
      <c r="W774" s="3"/>
    </row>
    <row r="775" spans="1:24" x14ac:dyDescent="0.25">
      <c r="A775" s="158">
        <v>708</v>
      </c>
      <c r="B775" s="1"/>
      <c r="C775" s="457" t="s">
        <v>3034</v>
      </c>
      <c r="D775" s="154">
        <v>779</v>
      </c>
      <c r="E775" s="3" t="s">
        <v>24</v>
      </c>
      <c r="F775" s="3" t="s">
        <v>1084</v>
      </c>
      <c r="G775" s="2" t="s">
        <v>3383</v>
      </c>
      <c r="H775" s="2" t="s">
        <v>59</v>
      </c>
      <c r="I775" s="156" t="str">
        <f t="shared" si="45"/>
        <v>2013</v>
      </c>
      <c r="J775" s="156"/>
      <c r="K775" s="156"/>
      <c r="L775" s="2" t="s">
        <v>3384</v>
      </c>
      <c r="M775" s="157" t="str">
        <f t="shared" si="44"/>
        <v>К08105165</v>
      </c>
      <c r="N775" s="3" t="s">
        <v>2110</v>
      </c>
      <c r="O775" s="4" t="s">
        <v>122</v>
      </c>
      <c r="P775" s="1"/>
      <c r="U775" s="1"/>
      <c r="V775" s="4"/>
      <c r="W775" s="3"/>
    </row>
    <row r="776" spans="1:24" x14ac:dyDescent="0.25">
      <c r="A776" s="158">
        <v>702</v>
      </c>
      <c r="B776" s="1"/>
      <c r="C776" s="1"/>
      <c r="D776" s="154">
        <v>786</v>
      </c>
      <c r="E776" s="3" t="s">
        <v>3380</v>
      </c>
      <c r="F776" s="43" t="s">
        <v>3389</v>
      </c>
      <c r="G776" s="2" t="s">
        <v>3381</v>
      </c>
      <c r="H776" s="2" t="s">
        <v>59</v>
      </c>
      <c r="I776" s="156" t="str">
        <f t="shared" si="45"/>
        <v>2013</v>
      </c>
      <c r="J776" s="156">
        <v>2013</v>
      </c>
      <c r="K776" s="156"/>
      <c r="L776" s="2"/>
      <c r="M776" s="157" t="str">
        <f t="shared" si="44"/>
        <v>К</v>
      </c>
      <c r="N776" s="3" t="s">
        <v>2110</v>
      </c>
      <c r="O776" s="4" t="s">
        <v>1263</v>
      </c>
      <c r="P776" s="1"/>
      <c r="U776" s="1"/>
      <c r="V776" s="4"/>
      <c r="W776" s="3"/>
    </row>
    <row r="777" spans="1:24" x14ac:dyDescent="0.25">
      <c r="A777" s="154">
        <v>703</v>
      </c>
      <c r="B777" s="136" t="s">
        <v>3552</v>
      </c>
      <c r="C777" s="136"/>
      <c r="D777" s="154">
        <v>758</v>
      </c>
      <c r="E777" s="138" t="s">
        <v>3555</v>
      </c>
      <c r="F777" s="43" t="s">
        <v>2152</v>
      </c>
      <c r="G777" s="2" t="s">
        <v>3319</v>
      </c>
      <c r="H777" s="2" t="s">
        <v>3320</v>
      </c>
      <c r="I777" s="156" t="str">
        <f t="shared" si="45"/>
        <v>2014</v>
      </c>
      <c r="J777" s="156"/>
      <c r="K777" s="156"/>
      <c r="L777" s="2" t="s">
        <v>3309</v>
      </c>
      <c r="M777" s="157" t="str">
        <f t="shared" si="44"/>
        <v>К41012400072</v>
      </c>
      <c r="N777" s="3" t="s">
        <v>2110</v>
      </c>
      <c r="O777" s="4" t="s">
        <v>1081</v>
      </c>
      <c r="P777" s="1"/>
      <c r="U777" s="1"/>
      <c r="V777" s="4"/>
      <c r="W777" s="3"/>
    </row>
    <row r="778" spans="1:24" x14ac:dyDescent="0.25">
      <c r="A778" s="154">
        <v>709</v>
      </c>
      <c r="B778" s="456" t="s">
        <v>3552</v>
      </c>
      <c r="C778" s="457" t="s">
        <v>3034</v>
      </c>
      <c r="D778" s="158">
        <v>748</v>
      </c>
      <c r="E778" s="3" t="s">
        <v>2974</v>
      </c>
      <c r="F778" s="43" t="s">
        <v>2986</v>
      </c>
      <c r="G778" s="2" t="s">
        <v>3358</v>
      </c>
      <c r="H778" s="2" t="s">
        <v>615</v>
      </c>
      <c r="I778" s="156" t="str">
        <f t="shared" si="45"/>
        <v>2016</v>
      </c>
      <c r="J778" s="156">
        <v>2016</v>
      </c>
      <c r="K778" s="156"/>
      <c r="L778" s="2" t="s">
        <v>3359</v>
      </c>
      <c r="M778" s="157" t="str">
        <f t="shared" si="44"/>
        <v>К7260000224</v>
      </c>
      <c r="N778" s="3" t="s">
        <v>2110</v>
      </c>
      <c r="O778" s="4" t="s">
        <v>1263</v>
      </c>
      <c r="P778" s="1"/>
      <c r="U778" s="1"/>
      <c r="V778" s="4"/>
      <c r="W778" s="3"/>
    </row>
    <row r="779" spans="1:24" x14ac:dyDescent="0.25">
      <c r="A779" s="158">
        <v>714</v>
      </c>
      <c r="B779" s="456" t="s">
        <v>3552</v>
      </c>
      <c r="C779" s="457" t="s">
        <v>3034</v>
      </c>
      <c r="D779" s="154">
        <v>751</v>
      </c>
      <c r="E779" s="3" t="s">
        <v>1264</v>
      </c>
      <c r="F779" s="459" t="s">
        <v>1270</v>
      </c>
      <c r="G779" s="2" t="s">
        <v>3364</v>
      </c>
      <c r="H779" s="2" t="s">
        <v>3365</v>
      </c>
      <c r="I779" s="156" t="str">
        <f t="shared" si="45"/>
        <v>2016</v>
      </c>
      <c r="J779" s="156">
        <v>2016</v>
      </c>
      <c r="K779" s="156"/>
      <c r="L779" s="2"/>
      <c r="M779" s="157" t="str">
        <f t="shared" si="44"/>
        <v>К</v>
      </c>
      <c r="N779" s="3" t="s">
        <v>2110</v>
      </c>
      <c r="O779" s="4" t="s">
        <v>1263</v>
      </c>
      <c r="P779" s="1"/>
      <c r="U779" s="1"/>
      <c r="V779" s="4"/>
      <c r="W779" s="3"/>
    </row>
    <row r="780" spans="1:24" x14ac:dyDescent="0.25">
      <c r="A780" s="158">
        <v>710</v>
      </c>
      <c r="B780" s="456" t="s">
        <v>3552</v>
      </c>
      <c r="C780" s="457" t="s">
        <v>3034</v>
      </c>
      <c r="D780" s="158">
        <v>753</v>
      </c>
      <c r="E780" s="3" t="s">
        <v>1408</v>
      </c>
      <c r="F780" s="3" t="s">
        <v>3366</v>
      </c>
      <c r="G780" s="2" t="s">
        <v>3369</v>
      </c>
      <c r="H780" s="2" t="s">
        <v>1349</v>
      </c>
      <c r="I780" s="156" t="str">
        <f t="shared" si="45"/>
        <v>2016</v>
      </c>
      <c r="J780" s="156">
        <v>2016</v>
      </c>
      <c r="K780" s="156"/>
      <c r="L780" s="2" t="s">
        <v>3370</v>
      </c>
      <c r="M780" s="157" t="str">
        <f t="shared" si="44"/>
        <v>К7360000225</v>
      </c>
      <c r="N780" s="3" t="s">
        <v>2110</v>
      </c>
      <c r="O780" s="4" t="s">
        <v>1263</v>
      </c>
      <c r="P780" s="1"/>
      <c r="U780" s="1"/>
      <c r="V780" s="4"/>
      <c r="W780" s="3"/>
    </row>
    <row r="781" spans="1:24" s="162" customFormat="1" x14ac:dyDescent="0.25">
      <c r="A781" s="154">
        <v>699</v>
      </c>
      <c r="B781" s="136" t="s">
        <v>3552</v>
      </c>
      <c r="C781" s="136"/>
      <c r="D781" s="158">
        <v>762</v>
      </c>
      <c r="E781" s="3" t="s">
        <v>2303</v>
      </c>
      <c r="F781" s="3" t="s">
        <v>69</v>
      </c>
      <c r="G781" s="2" t="s">
        <v>3330</v>
      </c>
      <c r="H781" s="461" t="s">
        <v>615</v>
      </c>
      <c r="I781" s="156" t="str">
        <f t="shared" si="45"/>
        <v>2016</v>
      </c>
      <c r="J781" s="156"/>
      <c r="K781" s="156"/>
      <c r="L781" s="2" t="s">
        <v>2616</v>
      </c>
      <c r="M781" s="157" t="str">
        <f t="shared" si="44"/>
        <v>К08108758</v>
      </c>
      <c r="N781" s="3" t="s">
        <v>2110</v>
      </c>
      <c r="O781" s="4" t="s">
        <v>3315</v>
      </c>
      <c r="P781" s="1"/>
      <c r="Q781" s="1"/>
      <c r="R781" s="3"/>
      <c r="S781" s="1"/>
      <c r="T781" s="3"/>
      <c r="U781" s="153" t="s">
        <v>3646</v>
      </c>
      <c r="V781" s="4"/>
      <c r="W781" s="3"/>
      <c r="X781" s="3"/>
    </row>
    <row r="782" spans="1:24" x14ac:dyDescent="0.25">
      <c r="A782" s="154">
        <v>705</v>
      </c>
      <c r="B782" s="456" t="s">
        <v>3552</v>
      </c>
      <c r="C782" s="457"/>
      <c r="D782" s="154">
        <v>782</v>
      </c>
      <c r="E782" s="3" t="s">
        <v>61</v>
      </c>
      <c r="F782" s="43" t="s">
        <v>62</v>
      </c>
      <c r="G782" s="2" t="s">
        <v>3340</v>
      </c>
      <c r="H782" s="2" t="s">
        <v>3341</v>
      </c>
      <c r="I782" s="156" t="str">
        <f t="shared" si="45"/>
        <v>2016</v>
      </c>
      <c r="J782" s="156">
        <v>2016</v>
      </c>
      <c r="K782" s="156"/>
      <c r="L782" s="2" t="s">
        <v>3342</v>
      </c>
      <c r="M782" s="157" t="str">
        <f t="shared" si="44"/>
        <v>К08108751</v>
      </c>
      <c r="N782" s="3" t="s">
        <v>2110</v>
      </c>
      <c r="O782" s="4" t="s">
        <v>3315</v>
      </c>
      <c r="P782" s="1"/>
      <c r="U782" s="153" t="s">
        <v>3646</v>
      </c>
      <c r="V782" s="4"/>
      <c r="W782" s="3"/>
    </row>
    <row r="783" spans="1:24" x14ac:dyDescent="0.25">
      <c r="A783" s="158">
        <v>704</v>
      </c>
      <c r="B783" s="456"/>
      <c r="C783" s="455" t="s">
        <v>3693</v>
      </c>
      <c r="D783" s="158">
        <v>781</v>
      </c>
      <c r="E783" s="485" t="s">
        <v>2305</v>
      </c>
      <c r="F783" s="482" t="s">
        <v>266</v>
      </c>
      <c r="G783" s="469" t="s">
        <v>5559</v>
      </c>
      <c r="H783" s="469" t="s">
        <v>51</v>
      </c>
      <c r="I783" s="156">
        <v>2018</v>
      </c>
      <c r="J783" s="156">
        <v>2018</v>
      </c>
      <c r="K783" s="156"/>
      <c r="L783" s="2"/>
      <c r="M783" s="157"/>
      <c r="N783" s="3" t="s">
        <v>2110</v>
      </c>
      <c r="O783" s="4"/>
      <c r="P783" s="1"/>
      <c r="U783" s="153" t="s">
        <v>3646</v>
      </c>
      <c r="V783" s="4"/>
      <c r="W783" s="3"/>
    </row>
    <row r="784" spans="1:24" x14ac:dyDescent="0.25">
      <c r="A784" s="154">
        <v>711</v>
      </c>
      <c r="B784" s="456" t="s">
        <v>3552</v>
      </c>
      <c r="C784" s="455" t="s">
        <v>3693</v>
      </c>
      <c r="D784" s="158">
        <v>788</v>
      </c>
      <c r="E784" s="3" t="s">
        <v>325</v>
      </c>
      <c r="F784" s="43" t="s">
        <v>3388</v>
      </c>
      <c r="G784" s="2" t="s">
        <v>3351</v>
      </c>
      <c r="H784" s="2"/>
      <c r="I784" s="156">
        <v>2018</v>
      </c>
      <c r="J784" s="156">
        <v>2018</v>
      </c>
      <c r="K784" s="156"/>
      <c r="L784" s="2" t="s">
        <v>3352</v>
      </c>
      <c r="M784" s="157" t="str">
        <f t="shared" ref="M784:M790" si="46">CONCATENATE("К",L784)</f>
        <v>К4240000008</v>
      </c>
      <c r="N784" s="3" t="s">
        <v>2110</v>
      </c>
      <c r="O784" s="4" t="s">
        <v>1895</v>
      </c>
      <c r="P784" s="1"/>
      <c r="U784" s="153" t="s">
        <v>3646</v>
      </c>
      <c r="V784" s="4"/>
      <c r="W784" s="3"/>
    </row>
    <row r="785" spans="1:23" x14ac:dyDescent="0.25">
      <c r="A785" s="154">
        <v>715</v>
      </c>
      <c r="B785" s="136" t="s">
        <v>3552</v>
      </c>
      <c r="C785" s="136"/>
      <c r="D785" s="158">
        <v>755</v>
      </c>
      <c r="E785" s="138" t="s">
        <v>3554</v>
      </c>
      <c r="F785" s="43" t="s">
        <v>64</v>
      </c>
      <c r="G785" s="2" t="s">
        <v>3308</v>
      </c>
      <c r="H785" s="2" t="s">
        <v>66</v>
      </c>
      <c r="I785" s="156" t="str">
        <f t="shared" ref="I785:I790" si="47">RIGHT(H785,4)</f>
        <v>2019</v>
      </c>
      <c r="J785" s="156"/>
      <c r="K785" s="156"/>
      <c r="L785" s="2" t="s">
        <v>3309</v>
      </c>
      <c r="M785" s="157" t="str">
        <f t="shared" si="46"/>
        <v>К41012400072</v>
      </c>
      <c r="N785" s="3" t="s">
        <v>2110</v>
      </c>
      <c r="O785" s="4" t="s">
        <v>1895</v>
      </c>
      <c r="P785" s="1"/>
      <c r="U785" s="153" t="s">
        <v>3646</v>
      </c>
      <c r="V785" s="4"/>
      <c r="W785" s="3"/>
    </row>
    <row r="786" spans="1:23" x14ac:dyDescent="0.25">
      <c r="A786" s="154">
        <v>719</v>
      </c>
      <c r="B786" s="1"/>
      <c r="C786" s="1"/>
      <c r="D786" s="154">
        <v>763</v>
      </c>
      <c r="E786" s="137" t="s">
        <v>2303</v>
      </c>
      <c r="F786" s="43" t="s">
        <v>19</v>
      </c>
      <c r="G786" s="2" t="s">
        <v>3329</v>
      </c>
      <c r="H786" s="461" t="s">
        <v>66</v>
      </c>
      <c r="I786" s="156" t="str">
        <f t="shared" si="47"/>
        <v>2019</v>
      </c>
      <c r="J786" s="156"/>
      <c r="K786" s="156"/>
      <c r="L786" s="2"/>
      <c r="M786" s="157" t="str">
        <f t="shared" si="46"/>
        <v>К</v>
      </c>
      <c r="N786" s="3" t="s">
        <v>2110</v>
      </c>
      <c r="O786" s="4" t="s">
        <v>3315</v>
      </c>
      <c r="P786" s="1"/>
      <c r="U786" s="153" t="s">
        <v>3646</v>
      </c>
      <c r="V786" s="4"/>
      <c r="W786" s="3"/>
    </row>
    <row r="787" spans="1:23" x14ac:dyDescent="0.25">
      <c r="A787" s="158">
        <v>720</v>
      </c>
      <c r="B787" s="1"/>
      <c r="C787" s="1"/>
      <c r="D787" s="158">
        <v>764</v>
      </c>
      <c r="E787" s="137" t="s">
        <v>2303</v>
      </c>
      <c r="F787" s="43" t="s">
        <v>19</v>
      </c>
      <c r="G787" s="2" t="s">
        <v>3334</v>
      </c>
      <c r="H787" s="461" t="s">
        <v>66</v>
      </c>
      <c r="I787" s="156" t="str">
        <f t="shared" si="47"/>
        <v>2019</v>
      </c>
      <c r="J787" s="156"/>
      <c r="K787" s="156"/>
      <c r="L787" s="2"/>
      <c r="M787" s="157" t="str">
        <f t="shared" si="46"/>
        <v>К</v>
      </c>
      <c r="N787" s="3" t="s">
        <v>2110</v>
      </c>
      <c r="O787" s="4" t="s">
        <v>3328</v>
      </c>
      <c r="P787" s="1"/>
      <c r="U787" s="153" t="s">
        <v>3646</v>
      </c>
      <c r="V787" s="4"/>
      <c r="W787" s="3"/>
    </row>
    <row r="788" spans="1:23" x14ac:dyDescent="0.25">
      <c r="A788" s="154">
        <v>721</v>
      </c>
      <c r="B788" s="1"/>
      <c r="C788" s="1"/>
      <c r="D788" s="154">
        <v>765</v>
      </c>
      <c r="E788" s="137" t="s">
        <v>2303</v>
      </c>
      <c r="F788" s="43" t="s">
        <v>19</v>
      </c>
      <c r="G788" s="2" t="s">
        <v>3335</v>
      </c>
      <c r="H788" s="604" t="s">
        <v>66</v>
      </c>
      <c r="I788" s="156" t="str">
        <f t="shared" si="47"/>
        <v>2019</v>
      </c>
      <c r="J788" s="156"/>
      <c r="K788" s="156"/>
      <c r="L788" s="2"/>
      <c r="M788" s="157" t="str">
        <f t="shared" si="46"/>
        <v>К</v>
      </c>
      <c r="N788" s="3" t="s">
        <v>2110</v>
      </c>
      <c r="O788" s="4" t="s">
        <v>1895</v>
      </c>
      <c r="P788" s="1"/>
      <c r="U788" s="153" t="s">
        <v>3646</v>
      </c>
      <c r="V788" s="4"/>
      <c r="W788" s="3"/>
    </row>
    <row r="789" spans="1:23" x14ac:dyDescent="0.25">
      <c r="A789" s="158">
        <v>724</v>
      </c>
      <c r="B789" s="456" t="s">
        <v>3552</v>
      </c>
      <c r="C789" s="456"/>
      <c r="D789" s="158">
        <v>745</v>
      </c>
      <c r="E789" s="3" t="s">
        <v>3313</v>
      </c>
      <c r="F789" s="43" t="s">
        <v>3385</v>
      </c>
      <c r="G789" s="2" t="s">
        <v>3314</v>
      </c>
      <c r="H789" s="601" t="s">
        <v>5652</v>
      </c>
      <c r="I789" s="156" t="str">
        <f t="shared" si="47"/>
        <v>2019</v>
      </c>
      <c r="J789" s="156">
        <v>2019</v>
      </c>
      <c r="K789" s="156"/>
      <c r="L789" s="2"/>
      <c r="M789" s="157" t="str">
        <f t="shared" si="46"/>
        <v>К</v>
      </c>
      <c r="N789" s="3" t="s">
        <v>2110</v>
      </c>
      <c r="O789" s="4" t="s">
        <v>3315</v>
      </c>
      <c r="P789" s="1"/>
      <c r="U789" s="153" t="s">
        <v>3646</v>
      </c>
      <c r="V789" s="4"/>
      <c r="W789" s="3"/>
    </row>
    <row r="790" spans="1:23" x14ac:dyDescent="0.25">
      <c r="A790" s="154">
        <v>725</v>
      </c>
      <c r="B790" s="456" t="s">
        <v>3552</v>
      </c>
      <c r="C790" s="456"/>
      <c r="D790" s="158">
        <v>746</v>
      </c>
      <c r="E790" s="3" t="s">
        <v>3313</v>
      </c>
      <c r="F790" s="43" t="s">
        <v>3385</v>
      </c>
      <c r="G790" s="2" t="s">
        <v>3316</v>
      </c>
      <c r="H790" s="169" t="s">
        <v>5652</v>
      </c>
      <c r="I790" s="156" t="str">
        <f t="shared" si="47"/>
        <v>2019</v>
      </c>
      <c r="J790" s="156">
        <v>2019</v>
      </c>
      <c r="K790" s="156"/>
      <c r="L790" s="2"/>
      <c r="M790" s="157" t="str">
        <f t="shared" si="46"/>
        <v>К</v>
      </c>
      <c r="N790" s="3" t="s">
        <v>2110</v>
      </c>
      <c r="O790" s="4" t="s">
        <v>3315</v>
      </c>
      <c r="P790" s="1"/>
      <c r="U790" s="153" t="s">
        <v>3646</v>
      </c>
      <c r="V790" s="4"/>
      <c r="W790" s="3"/>
    </row>
    <row r="791" spans="1:23" x14ac:dyDescent="0.25">
      <c r="A791" s="154"/>
      <c r="B791" s="456"/>
      <c r="C791" s="456"/>
      <c r="D791" s="158"/>
      <c r="E791" s="581" t="s">
        <v>5654</v>
      </c>
      <c r="F791" s="581" t="s">
        <v>5655</v>
      </c>
      <c r="G791" s="2"/>
      <c r="H791" s="601" t="s">
        <v>5656</v>
      </c>
      <c r="I791" s="156" t="str">
        <f>RIGHT(H791,4)</f>
        <v>2020</v>
      </c>
      <c r="J791" s="156"/>
      <c r="K791" s="156"/>
      <c r="L791" s="601" t="s">
        <v>3514</v>
      </c>
      <c r="M791" s="157" t="str">
        <f>CONCATENATE("К",L791)</f>
        <v>К41012412304</v>
      </c>
      <c r="N791" s="3" t="s">
        <v>2110</v>
      </c>
      <c r="O791" s="4"/>
      <c r="P791" s="1"/>
      <c r="U791" s="153"/>
      <c r="V791" s="4"/>
      <c r="W791" s="3"/>
    </row>
    <row r="792" spans="1:23" x14ac:dyDescent="0.25">
      <c r="A792" s="154"/>
      <c r="B792" s="456"/>
      <c r="C792" s="456"/>
      <c r="D792" s="158"/>
      <c r="E792" s="581" t="s">
        <v>5654</v>
      </c>
      <c r="F792" s="581" t="s">
        <v>5655</v>
      </c>
      <c r="G792" s="2"/>
      <c r="H792" s="601" t="s">
        <v>5656</v>
      </c>
      <c r="I792" s="156" t="str">
        <f>RIGHT(H792,4)</f>
        <v>2020</v>
      </c>
      <c r="J792" s="156"/>
      <c r="K792" s="156"/>
      <c r="L792" s="601" t="s">
        <v>3525</v>
      </c>
      <c r="M792" s="157" t="str">
        <f>CONCATENATE("К",L792)</f>
        <v>К41012412378</v>
      </c>
      <c r="N792" s="3" t="s">
        <v>2110</v>
      </c>
      <c r="O792" s="4"/>
      <c r="P792" s="1"/>
      <c r="U792" s="153"/>
      <c r="V792" s="4"/>
      <c r="W792" s="3"/>
    </row>
    <row r="793" spans="1:23" x14ac:dyDescent="0.25">
      <c r="A793" s="154"/>
      <c r="B793" s="456"/>
      <c r="C793" s="456"/>
      <c r="D793" s="158"/>
      <c r="E793" s="581" t="s">
        <v>5654</v>
      </c>
      <c r="F793" s="581" t="s">
        <v>5655</v>
      </c>
      <c r="G793" s="2"/>
      <c r="H793" s="601" t="s">
        <v>5656</v>
      </c>
      <c r="I793" s="156" t="str">
        <f>RIGHT(H793,4)</f>
        <v>2020</v>
      </c>
      <c r="J793" s="156"/>
      <c r="K793" s="156"/>
      <c r="L793" s="601" t="s">
        <v>3524</v>
      </c>
      <c r="M793" s="157" t="str">
        <f>CONCATENATE("К",L793)</f>
        <v>К41012412377</v>
      </c>
      <c r="N793" s="3" t="s">
        <v>2110</v>
      </c>
      <c r="O793" s="4"/>
      <c r="P793" s="1"/>
      <c r="U793" s="153"/>
      <c r="V793" s="4"/>
      <c r="W793" s="3"/>
    </row>
    <row r="794" spans="1:23" x14ac:dyDescent="0.25">
      <c r="A794" s="154"/>
      <c r="B794" s="456"/>
      <c r="C794" s="456"/>
      <c r="D794" s="158"/>
      <c r="E794" s="581" t="s">
        <v>5654</v>
      </c>
      <c r="F794" s="581" t="s">
        <v>5655</v>
      </c>
      <c r="G794" s="2"/>
      <c r="H794" s="601" t="s">
        <v>5656</v>
      </c>
      <c r="I794" s="156" t="str">
        <f>RIGHT(H794,4)</f>
        <v>2020</v>
      </c>
      <c r="J794" s="156"/>
      <c r="K794" s="156"/>
      <c r="L794" s="601" t="s">
        <v>3523</v>
      </c>
      <c r="M794" s="157" t="str">
        <f>CONCATENATE("К",L794)</f>
        <v>К41012412313</v>
      </c>
      <c r="N794" s="3" t="s">
        <v>2110</v>
      </c>
      <c r="O794" s="4"/>
      <c r="P794" s="1"/>
      <c r="U794" s="153"/>
      <c r="V794" s="4"/>
      <c r="W794" s="3"/>
    </row>
    <row r="795" spans="1:23" x14ac:dyDescent="0.25">
      <c r="A795" s="154"/>
      <c r="B795" s="456"/>
      <c r="C795" s="456"/>
      <c r="D795" s="158"/>
      <c r="E795" s="581" t="s">
        <v>5654</v>
      </c>
      <c r="F795" s="581" t="s">
        <v>5655</v>
      </c>
      <c r="G795" s="2"/>
      <c r="H795" s="601" t="s">
        <v>5656</v>
      </c>
      <c r="I795" s="156" t="str">
        <f>RIGHT(H795,4)</f>
        <v>2020</v>
      </c>
      <c r="J795" s="156"/>
      <c r="K795" s="156"/>
      <c r="L795" s="601" t="s">
        <v>3522</v>
      </c>
      <c r="M795" s="157" t="str">
        <f>CONCATENATE("К",L795)</f>
        <v>К41012412312</v>
      </c>
      <c r="N795" s="3" t="s">
        <v>2110</v>
      </c>
      <c r="O795" s="4"/>
      <c r="P795" s="1"/>
      <c r="U795" s="153"/>
      <c r="V795" s="4"/>
      <c r="W795" s="3"/>
    </row>
    <row r="796" spans="1:23" x14ac:dyDescent="0.25">
      <c r="A796" s="158">
        <v>736</v>
      </c>
      <c r="B796" s="1"/>
      <c r="C796" s="1"/>
      <c r="D796" s="154">
        <v>761</v>
      </c>
      <c r="E796" s="3" t="s">
        <v>2967</v>
      </c>
      <c r="F796" s="43" t="s">
        <v>3386</v>
      </c>
      <c r="G796" s="2" t="s">
        <v>3327</v>
      </c>
      <c r="H796" s="2"/>
      <c r="I796" s="156" t="str">
        <f t="shared" ref="I796:I812" si="48">RIGHT(H796,4)</f>
        <v/>
      </c>
      <c r="J796" s="156"/>
      <c r="K796" s="156"/>
      <c r="L796" s="2"/>
      <c r="M796" s="157" t="str">
        <f t="shared" ref="M796:M827" si="49">CONCATENATE("К",L796)</f>
        <v>К</v>
      </c>
      <c r="N796" s="3" t="s">
        <v>2110</v>
      </c>
      <c r="O796" s="4" t="s">
        <v>3328</v>
      </c>
      <c r="P796" s="1"/>
      <c r="U796" s="153" t="s">
        <v>3646</v>
      </c>
      <c r="V796" s="4"/>
      <c r="W796" s="3"/>
    </row>
    <row r="797" spans="1:23" x14ac:dyDescent="0.25">
      <c r="A797" s="158">
        <v>738</v>
      </c>
      <c r="B797" s="1"/>
      <c r="C797" s="1"/>
      <c r="D797" s="158">
        <v>766</v>
      </c>
      <c r="E797" s="3" t="s">
        <v>2968</v>
      </c>
      <c r="F797" s="43" t="s">
        <v>3387</v>
      </c>
      <c r="G797" s="2" t="s">
        <v>3331</v>
      </c>
      <c r="H797" s="2"/>
      <c r="I797" s="156" t="str">
        <f t="shared" si="48"/>
        <v/>
      </c>
      <c r="J797" s="156"/>
      <c r="K797" s="156"/>
      <c r="L797" s="2"/>
      <c r="M797" s="157" t="str">
        <f t="shared" si="49"/>
        <v>К</v>
      </c>
      <c r="N797" s="3" t="s">
        <v>2110</v>
      </c>
      <c r="O797" s="4" t="s">
        <v>3328</v>
      </c>
      <c r="P797" s="1"/>
      <c r="U797" s="153" t="s">
        <v>3646</v>
      </c>
      <c r="V797" s="4"/>
      <c r="W797" s="3"/>
    </row>
    <row r="798" spans="1:23" x14ac:dyDescent="0.25">
      <c r="A798" s="154">
        <v>739</v>
      </c>
      <c r="B798" s="1"/>
      <c r="C798" s="1"/>
      <c r="D798" s="158">
        <v>780</v>
      </c>
      <c r="E798" s="3" t="s">
        <v>28</v>
      </c>
      <c r="F798" s="43" t="s">
        <v>49</v>
      </c>
      <c r="G798" s="2" t="s">
        <v>3336</v>
      </c>
      <c r="H798" s="2"/>
      <c r="I798" s="156" t="str">
        <f t="shared" si="48"/>
        <v/>
      </c>
      <c r="J798" s="156"/>
      <c r="K798" s="156"/>
      <c r="L798" s="2" t="s">
        <v>3309</v>
      </c>
      <c r="M798" s="157" t="str">
        <f t="shared" si="49"/>
        <v>К41012400072</v>
      </c>
      <c r="N798" s="3" t="s">
        <v>2110</v>
      </c>
      <c r="O798" s="4" t="s">
        <v>1895</v>
      </c>
      <c r="P798" s="1"/>
      <c r="U798" s="153" t="s">
        <v>3646</v>
      </c>
      <c r="V798" s="4"/>
      <c r="W798" s="3"/>
    </row>
    <row r="799" spans="1:23" x14ac:dyDescent="0.25">
      <c r="A799" s="158">
        <v>716</v>
      </c>
      <c r="B799" s="456" t="s">
        <v>3552</v>
      </c>
      <c r="C799" s="456"/>
      <c r="D799" s="158">
        <v>783</v>
      </c>
      <c r="E799" s="3" t="s">
        <v>61</v>
      </c>
      <c r="F799" s="43" t="s">
        <v>2990</v>
      </c>
      <c r="G799" s="2" t="s">
        <v>3339</v>
      </c>
      <c r="H799" s="2"/>
      <c r="I799" s="156" t="str">
        <f t="shared" si="48"/>
        <v/>
      </c>
      <c r="J799" s="156"/>
      <c r="K799" s="156"/>
      <c r="L799" s="2"/>
      <c r="M799" s="157" t="str">
        <f t="shared" si="49"/>
        <v>К</v>
      </c>
      <c r="N799" s="3" t="s">
        <v>2110</v>
      </c>
      <c r="O799" s="4" t="s">
        <v>3315</v>
      </c>
      <c r="P799" s="1"/>
      <c r="U799" s="1"/>
      <c r="V799" s="4"/>
      <c r="W799" s="3"/>
    </row>
    <row r="800" spans="1:23" x14ac:dyDescent="0.25">
      <c r="A800" s="158"/>
      <c r="B800" s="456" t="s">
        <v>3552</v>
      </c>
      <c r="C800" s="456"/>
      <c r="D800" s="154">
        <v>784</v>
      </c>
      <c r="E800" s="3" t="s">
        <v>61</v>
      </c>
      <c r="F800" s="43" t="s">
        <v>2990</v>
      </c>
      <c r="G800" s="2" t="s">
        <v>3343</v>
      </c>
      <c r="H800" s="2"/>
      <c r="I800" s="156" t="str">
        <f t="shared" si="48"/>
        <v/>
      </c>
      <c r="J800" s="156"/>
      <c r="K800" s="156"/>
      <c r="L800" s="2"/>
      <c r="M800" s="157" t="str">
        <f t="shared" si="49"/>
        <v>К</v>
      </c>
      <c r="N800" s="3" t="s">
        <v>2110</v>
      </c>
      <c r="O800" s="4" t="s">
        <v>3328</v>
      </c>
      <c r="P800" s="1"/>
      <c r="U800" s="1"/>
      <c r="V800" s="4"/>
      <c r="W800" s="3"/>
    </row>
    <row r="801" spans="1:23" x14ac:dyDescent="0.25">
      <c r="A801" s="158">
        <v>706</v>
      </c>
      <c r="B801" s="456" t="s">
        <v>3552</v>
      </c>
      <c r="C801" s="456"/>
      <c r="D801" s="158">
        <v>785</v>
      </c>
      <c r="E801" s="3" t="s">
        <v>61</v>
      </c>
      <c r="F801" s="43" t="s">
        <v>62</v>
      </c>
      <c r="G801" s="2" t="s">
        <v>3350</v>
      </c>
      <c r="H801" s="602"/>
      <c r="I801" s="156" t="str">
        <f t="shared" si="48"/>
        <v/>
      </c>
      <c r="J801" s="156"/>
      <c r="K801" s="156"/>
      <c r="L801" s="2" t="s">
        <v>3342</v>
      </c>
      <c r="M801" s="157" t="str">
        <f t="shared" si="49"/>
        <v>К08108751</v>
      </c>
      <c r="N801" s="3" t="s">
        <v>2110</v>
      </c>
      <c r="O801" s="4" t="s">
        <v>1895</v>
      </c>
      <c r="P801" s="1"/>
      <c r="U801" s="1"/>
      <c r="V801" s="4"/>
      <c r="W801" s="3"/>
    </row>
    <row r="802" spans="1:23" x14ac:dyDescent="0.25">
      <c r="A802" s="154">
        <v>707</v>
      </c>
      <c r="B802" s="1"/>
      <c r="C802" s="452" t="s">
        <v>3693</v>
      </c>
      <c r="D802" s="154">
        <v>798</v>
      </c>
      <c r="E802" s="581" t="s">
        <v>512</v>
      </c>
      <c r="F802" s="581" t="s">
        <v>350</v>
      </c>
      <c r="G802" s="546" t="s">
        <v>5555</v>
      </c>
      <c r="H802" s="469" t="s">
        <v>1329</v>
      </c>
      <c r="I802" s="156" t="str">
        <f t="shared" si="48"/>
        <v>1999</v>
      </c>
      <c r="J802" s="156">
        <v>1999</v>
      </c>
      <c r="K802" s="156"/>
      <c r="L802" s="2">
        <v>1370314</v>
      </c>
      <c r="M802" s="157" t="str">
        <f t="shared" si="49"/>
        <v>К1370314</v>
      </c>
      <c r="N802" s="482" t="s">
        <v>442</v>
      </c>
      <c r="O802" s="4" t="s">
        <v>349</v>
      </c>
      <c r="P802" s="1"/>
      <c r="R802" s="295" t="s">
        <v>3971</v>
      </c>
      <c r="S802" s="310">
        <v>40525</v>
      </c>
      <c r="U802" s="1"/>
      <c r="V802" s="4"/>
      <c r="W802" s="3"/>
    </row>
    <row r="803" spans="1:23" s="162" customFormat="1" x14ac:dyDescent="0.25">
      <c r="A803" s="495">
        <v>712</v>
      </c>
      <c r="B803" s="1"/>
      <c r="C803" s="457" t="s">
        <v>3034</v>
      </c>
      <c r="D803" s="158">
        <v>804</v>
      </c>
      <c r="E803" s="3" t="s">
        <v>604</v>
      </c>
      <c r="F803" s="3" t="s">
        <v>605</v>
      </c>
      <c r="G803" s="2" t="s">
        <v>606</v>
      </c>
      <c r="H803" s="589" t="s">
        <v>550</v>
      </c>
      <c r="I803" s="156" t="str">
        <f t="shared" si="48"/>
        <v>2005</v>
      </c>
      <c r="J803" s="156">
        <v>2005</v>
      </c>
      <c r="K803" s="156"/>
      <c r="L803" s="2" t="s">
        <v>607</v>
      </c>
      <c r="M803" s="157" t="str">
        <f t="shared" si="49"/>
        <v>К04700001</v>
      </c>
      <c r="N803" s="482" t="s">
        <v>442</v>
      </c>
      <c r="O803" s="4" t="s">
        <v>599</v>
      </c>
      <c r="P803" s="1"/>
      <c r="Q803" s="1"/>
      <c r="R803" s="3"/>
      <c r="S803" s="1"/>
      <c r="U803" s="167"/>
      <c r="V803" s="168"/>
    </row>
    <row r="804" spans="1:23" x14ac:dyDescent="0.25">
      <c r="A804" s="154">
        <v>717</v>
      </c>
      <c r="B804" s="456" t="s">
        <v>3552</v>
      </c>
      <c r="C804" s="457" t="s">
        <v>3693</v>
      </c>
      <c r="D804" s="158">
        <v>850</v>
      </c>
      <c r="E804" s="709" t="s">
        <v>444</v>
      </c>
      <c r="F804" s="709" t="s">
        <v>445</v>
      </c>
      <c r="G804" s="710" t="s">
        <v>549</v>
      </c>
      <c r="H804" s="712" t="s">
        <v>550</v>
      </c>
      <c r="I804" s="156" t="str">
        <f t="shared" si="48"/>
        <v>2005</v>
      </c>
      <c r="J804" s="156">
        <v>2005</v>
      </c>
      <c r="K804" s="156"/>
      <c r="L804" s="2" t="s">
        <v>551</v>
      </c>
      <c r="M804" s="157" t="str">
        <f t="shared" si="49"/>
        <v>К04700192</v>
      </c>
      <c r="N804" s="482" t="s">
        <v>442</v>
      </c>
      <c r="O804" s="4" t="s">
        <v>515</v>
      </c>
      <c r="P804" s="1"/>
      <c r="R804" s="170" t="s">
        <v>3740</v>
      </c>
      <c r="S804" s="455" t="s">
        <v>3741</v>
      </c>
      <c r="U804" s="1"/>
      <c r="V804" s="4"/>
      <c r="W804" s="3"/>
    </row>
    <row r="805" spans="1:23" x14ac:dyDescent="0.25">
      <c r="A805" s="154">
        <v>737</v>
      </c>
      <c r="B805" s="456" t="s">
        <v>3552</v>
      </c>
      <c r="C805" s="457" t="s">
        <v>3693</v>
      </c>
      <c r="D805" s="154">
        <v>854</v>
      </c>
      <c r="E805" s="709" t="s">
        <v>444</v>
      </c>
      <c r="F805" s="709" t="s">
        <v>445</v>
      </c>
      <c r="G805" s="710" t="s">
        <v>626</v>
      </c>
      <c r="H805" s="712" t="s">
        <v>550</v>
      </c>
      <c r="I805" s="156" t="str">
        <f t="shared" si="48"/>
        <v>2005</v>
      </c>
      <c r="J805" s="156">
        <v>2005</v>
      </c>
      <c r="K805" s="156"/>
      <c r="L805" s="2">
        <v>4700200</v>
      </c>
      <c r="M805" s="157" t="str">
        <f t="shared" si="49"/>
        <v>К4700200</v>
      </c>
      <c r="N805" s="482" t="s">
        <v>442</v>
      </c>
      <c r="O805" s="4" t="s">
        <v>599</v>
      </c>
      <c r="P805" s="1"/>
      <c r="R805" s="170" t="s">
        <v>3740</v>
      </c>
      <c r="S805" s="455" t="s">
        <v>3741</v>
      </c>
      <c r="U805" s="1"/>
      <c r="V805" s="4"/>
      <c r="W805" s="3"/>
    </row>
    <row r="806" spans="1:23" x14ac:dyDescent="0.25">
      <c r="A806" s="158">
        <v>740</v>
      </c>
      <c r="B806" s="456" t="s">
        <v>3552</v>
      </c>
      <c r="C806" s="457" t="s">
        <v>3693</v>
      </c>
      <c r="D806" s="158">
        <v>855</v>
      </c>
      <c r="E806" s="709" t="s">
        <v>444</v>
      </c>
      <c r="F806" s="709" t="s">
        <v>445</v>
      </c>
      <c r="G806" s="710" t="s">
        <v>628</v>
      </c>
      <c r="H806" s="712" t="s">
        <v>550</v>
      </c>
      <c r="I806" s="156" t="str">
        <f t="shared" si="48"/>
        <v>2005</v>
      </c>
      <c r="J806" s="156">
        <v>2005</v>
      </c>
      <c r="K806" s="156"/>
      <c r="L806" s="2">
        <v>8102710</v>
      </c>
      <c r="M806" s="157" t="str">
        <f t="shared" si="49"/>
        <v>К8102710</v>
      </c>
      <c r="N806" s="482" t="s">
        <v>442</v>
      </c>
      <c r="O806" s="4" t="s">
        <v>599</v>
      </c>
      <c r="P806" s="1"/>
      <c r="R806" s="170" t="s">
        <v>3740</v>
      </c>
      <c r="S806" s="455" t="s">
        <v>3741</v>
      </c>
      <c r="U806" s="1"/>
      <c r="V806" s="4"/>
      <c r="W806" s="3"/>
    </row>
    <row r="807" spans="1:23" x14ac:dyDescent="0.25">
      <c r="A807" s="158">
        <v>718</v>
      </c>
      <c r="B807" s="136" t="s">
        <v>3552</v>
      </c>
      <c r="C807" s="481" t="s">
        <v>3693</v>
      </c>
      <c r="D807" s="154">
        <v>873</v>
      </c>
      <c r="E807" s="3" t="s">
        <v>481</v>
      </c>
      <c r="F807" s="468" t="s">
        <v>2370</v>
      </c>
      <c r="G807" s="2" t="s">
        <v>643</v>
      </c>
      <c r="H807" s="469" t="s">
        <v>550</v>
      </c>
      <c r="I807" s="156" t="str">
        <f t="shared" si="48"/>
        <v>2005</v>
      </c>
      <c r="J807" s="156">
        <v>2005</v>
      </c>
      <c r="K807" s="156"/>
      <c r="L807" s="2" t="s">
        <v>644</v>
      </c>
      <c r="M807" s="157" t="str">
        <f t="shared" si="49"/>
        <v>К08102677</v>
      </c>
      <c r="N807" s="482" t="s">
        <v>442</v>
      </c>
      <c r="O807" s="4" t="s">
        <v>599</v>
      </c>
      <c r="P807" s="1"/>
      <c r="U807" s="1"/>
      <c r="V807" s="4"/>
      <c r="W807" s="3"/>
    </row>
    <row r="808" spans="1:23" x14ac:dyDescent="0.25">
      <c r="A808" s="154">
        <v>749</v>
      </c>
      <c r="B808" s="456" t="s">
        <v>3552</v>
      </c>
      <c r="C808" s="457" t="s">
        <v>3693</v>
      </c>
      <c r="D808" s="154">
        <v>849</v>
      </c>
      <c r="E808" s="709" t="s">
        <v>444</v>
      </c>
      <c r="F808" s="709" t="s">
        <v>445</v>
      </c>
      <c r="G808" s="710" t="s">
        <v>446</v>
      </c>
      <c r="H808" s="712" t="s">
        <v>464</v>
      </c>
      <c r="I808" s="156" t="str">
        <f t="shared" si="48"/>
        <v>2006</v>
      </c>
      <c r="J808" s="156">
        <v>2006</v>
      </c>
      <c r="K808" s="156"/>
      <c r="L808" s="2" t="s">
        <v>447</v>
      </c>
      <c r="M808" s="157" t="str">
        <f t="shared" si="49"/>
        <v>К04700276</v>
      </c>
      <c r="N808" s="482" t="s">
        <v>442</v>
      </c>
      <c r="O808" s="4" t="s">
        <v>443</v>
      </c>
      <c r="P808" s="1" t="s">
        <v>448</v>
      </c>
      <c r="R808" s="170" t="s">
        <v>3740</v>
      </c>
      <c r="S808" s="455" t="s">
        <v>3741</v>
      </c>
      <c r="U808" s="167"/>
      <c r="V808" s="168" t="s">
        <v>3579</v>
      </c>
      <c r="W808" s="3"/>
    </row>
    <row r="809" spans="1:23" x14ac:dyDescent="0.25">
      <c r="A809" s="158">
        <v>750</v>
      </c>
      <c r="B809" s="456" t="s">
        <v>3552</v>
      </c>
      <c r="C809" s="457" t="s">
        <v>3693</v>
      </c>
      <c r="D809" s="154">
        <v>852</v>
      </c>
      <c r="E809" s="709" t="s">
        <v>444</v>
      </c>
      <c r="F809" s="709" t="s">
        <v>445</v>
      </c>
      <c r="G809" s="710">
        <v>18566</v>
      </c>
      <c r="H809" s="712">
        <v>2006</v>
      </c>
      <c r="I809" s="156" t="str">
        <f t="shared" si="48"/>
        <v>2006</v>
      </c>
      <c r="J809" s="156">
        <v>2006</v>
      </c>
      <c r="K809" s="156"/>
      <c r="L809" s="2">
        <v>4700162</v>
      </c>
      <c r="M809" s="157" t="str">
        <f t="shared" si="49"/>
        <v>К4700162</v>
      </c>
      <c r="N809" s="482" t="s">
        <v>442</v>
      </c>
      <c r="O809" s="4" t="s">
        <v>567</v>
      </c>
      <c r="P809" s="1"/>
      <c r="R809" s="170" t="s">
        <v>3740</v>
      </c>
      <c r="S809" s="455" t="s">
        <v>3741</v>
      </c>
      <c r="U809" s="1"/>
      <c r="V809" s="4"/>
      <c r="W809" s="3"/>
    </row>
    <row r="810" spans="1:23" x14ac:dyDescent="0.25">
      <c r="A810" s="154">
        <v>851</v>
      </c>
      <c r="B810" s="456" t="s">
        <v>3552</v>
      </c>
      <c r="C810" s="457" t="s">
        <v>3693</v>
      </c>
      <c r="D810" s="158">
        <v>858</v>
      </c>
      <c r="E810" s="709" t="s">
        <v>444</v>
      </c>
      <c r="F810" s="709" t="s">
        <v>445</v>
      </c>
      <c r="G810" s="710" t="s">
        <v>672</v>
      </c>
      <c r="H810" s="712" t="s">
        <v>464</v>
      </c>
      <c r="I810" s="156" t="str">
        <f t="shared" si="48"/>
        <v>2006</v>
      </c>
      <c r="J810" s="156">
        <v>2006</v>
      </c>
      <c r="K810" s="156"/>
      <c r="L810" s="2" t="s">
        <v>673</v>
      </c>
      <c r="M810" s="157" t="str">
        <f t="shared" si="49"/>
        <v>К04700164</v>
      </c>
      <c r="N810" s="482" t="s">
        <v>442</v>
      </c>
      <c r="O810" s="4" t="s">
        <v>667</v>
      </c>
      <c r="P810" s="1"/>
      <c r="R810" s="170" t="s">
        <v>3740</v>
      </c>
      <c r="S810" s="455" t="s">
        <v>3741</v>
      </c>
      <c r="U810" s="1"/>
      <c r="V810" s="4"/>
      <c r="W810" s="3"/>
    </row>
    <row r="811" spans="1:23" x14ac:dyDescent="0.25">
      <c r="A811" s="158">
        <v>748</v>
      </c>
      <c r="B811" s="456" t="s">
        <v>3552</v>
      </c>
      <c r="C811" s="457" t="s">
        <v>3693</v>
      </c>
      <c r="D811" s="158">
        <v>860</v>
      </c>
      <c r="E811" s="709" t="s">
        <v>444</v>
      </c>
      <c r="F811" s="709" t="s">
        <v>445</v>
      </c>
      <c r="G811" s="710" t="s">
        <v>752</v>
      </c>
      <c r="H811" s="712" t="s">
        <v>464</v>
      </c>
      <c r="I811" s="156" t="str">
        <f t="shared" si="48"/>
        <v>2006</v>
      </c>
      <c r="J811" s="156">
        <v>2006</v>
      </c>
      <c r="K811" s="156"/>
      <c r="L811" s="2" t="s">
        <v>753</v>
      </c>
      <c r="M811" s="157" t="str">
        <f t="shared" si="49"/>
        <v>К04700277</v>
      </c>
      <c r="N811" s="482" t="s">
        <v>442</v>
      </c>
      <c r="O811" s="4" t="s">
        <v>667</v>
      </c>
      <c r="P811" s="1"/>
      <c r="R811" s="170" t="s">
        <v>3740</v>
      </c>
      <c r="S811" s="455" t="s">
        <v>3741</v>
      </c>
      <c r="U811" s="1"/>
      <c r="V811" s="4"/>
      <c r="W811" s="3"/>
    </row>
    <row r="812" spans="1:23" x14ac:dyDescent="0.25">
      <c r="A812" s="158">
        <v>752</v>
      </c>
      <c r="B812" s="136" t="s">
        <v>3552</v>
      </c>
      <c r="C812" s="481" t="s">
        <v>3693</v>
      </c>
      <c r="D812" s="158">
        <v>871</v>
      </c>
      <c r="E812" s="468" t="s">
        <v>481</v>
      </c>
      <c r="F812" s="468" t="s">
        <v>2370</v>
      </c>
      <c r="G812" s="2" t="s">
        <v>641</v>
      </c>
      <c r="H812" s="469" t="s">
        <v>464</v>
      </c>
      <c r="I812" s="156" t="str">
        <f t="shared" si="48"/>
        <v>2006</v>
      </c>
      <c r="J812" s="156">
        <v>2006</v>
      </c>
      <c r="K812" s="156"/>
      <c r="L812" s="2" t="s">
        <v>642</v>
      </c>
      <c r="M812" s="157" t="str">
        <f t="shared" si="49"/>
        <v>К01370062</v>
      </c>
      <c r="N812" s="482" t="s">
        <v>442</v>
      </c>
      <c r="O812" s="4" t="s">
        <v>599</v>
      </c>
      <c r="P812" s="1"/>
      <c r="U812" s="1"/>
      <c r="V812" s="4"/>
      <c r="W812" s="3"/>
    </row>
    <row r="813" spans="1:23" x14ac:dyDescent="0.25">
      <c r="A813" s="154">
        <v>825</v>
      </c>
      <c r="B813" s="1"/>
      <c r="C813" s="457" t="s">
        <v>3034</v>
      </c>
      <c r="D813" s="154">
        <v>805</v>
      </c>
      <c r="E813" s="170" t="s">
        <v>3728</v>
      </c>
      <c r="F813" s="459" t="s">
        <v>2996</v>
      </c>
      <c r="G813" s="2"/>
      <c r="H813" s="589" t="s">
        <v>232</v>
      </c>
      <c r="I813" s="156">
        <v>2007</v>
      </c>
      <c r="J813" s="156">
        <v>2007</v>
      </c>
      <c r="K813" s="156"/>
      <c r="L813" s="2" t="s">
        <v>756</v>
      </c>
      <c r="M813" s="157" t="str">
        <f t="shared" si="49"/>
        <v>К04700268</v>
      </c>
      <c r="N813" s="482" t="s">
        <v>442</v>
      </c>
      <c r="O813" s="4" t="s">
        <v>766</v>
      </c>
      <c r="P813" s="1"/>
      <c r="R813" s="170" t="s">
        <v>3726</v>
      </c>
      <c r="S813" s="455" t="s">
        <v>3727</v>
      </c>
      <c r="U813" s="1"/>
      <c r="V813" s="4"/>
      <c r="W813" s="3"/>
    </row>
    <row r="814" spans="1:23" x14ac:dyDescent="0.25">
      <c r="A814" s="158">
        <v>824</v>
      </c>
      <c r="B814" s="136" t="s">
        <v>3552</v>
      </c>
      <c r="C814" s="481" t="s">
        <v>3693</v>
      </c>
      <c r="D814" s="158">
        <v>879</v>
      </c>
      <c r="E814" s="3" t="s">
        <v>481</v>
      </c>
      <c r="F814" s="3" t="s">
        <v>708</v>
      </c>
      <c r="G814" s="2" t="s">
        <v>709</v>
      </c>
      <c r="H814" s="2" t="s">
        <v>710</v>
      </c>
      <c r="I814" s="156" t="str">
        <f t="shared" ref="I814:I851" si="50">RIGHT(H814,4)</f>
        <v>2007</v>
      </c>
      <c r="J814" s="156">
        <v>2007</v>
      </c>
      <c r="K814" s="156"/>
      <c r="L814" s="2" t="s">
        <v>711</v>
      </c>
      <c r="M814" s="157" t="str">
        <f t="shared" si="49"/>
        <v>К04700275</v>
      </c>
      <c r="N814" s="482" t="s">
        <v>442</v>
      </c>
      <c r="O814" s="4" t="s">
        <v>706</v>
      </c>
      <c r="P814" s="1"/>
      <c r="U814" s="1"/>
      <c r="V814" s="4"/>
      <c r="W814" s="3"/>
    </row>
    <row r="815" spans="1:23" x14ac:dyDescent="0.25">
      <c r="A815" s="158">
        <v>402</v>
      </c>
      <c r="B815" s="1"/>
      <c r="C815" s="457" t="s">
        <v>3693</v>
      </c>
      <c r="D815" s="154">
        <v>791</v>
      </c>
      <c r="E815" s="709" t="s">
        <v>564</v>
      </c>
      <c r="F815" s="709" t="s">
        <v>5556</v>
      </c>
      <c r="G815" s="710" t="s">
        <v>565</v>
      </c>
      <c r="H815" s="712" t="s">
        <v>90</v>
      </c>
      <c r="I815" s="156" t="str">
        <f t="shared" si="50"/>
        <v>2008</v>
      </c>
      <c r="J815" s="156">
        <v>2008</v>
      </c>
      <c r="K815" s="156"/>
      <c r="L815" s="2" t="s">
        <v>566</v>
      </c>
      <c r="M815" s="157" t="str">
        <f t="shared" si="49"/>
        <v>К04700281</v>
      </c>
      <c r="N815" s="482" t="s">
        <v>442</v>
      </c>
      <c r="O815" s="4" t="s">
        <v>567</v>
      </c>
      <c r="P815" s="1"/>
      <c r="U815" s="1"/>
      <c r="V815" s="4"/>
      <c r="W815" s="3"/>
    </row>
    <row r="816" spans="1:23" x14ac:dyDescent="0.25">
      <c r="A816" s="158">
        <v>754</v>
      </c>
      <c r="B816" s="1"/>
      <c r="C816" s="457" t="s">
        <v>3693</v>
      </c>
      <c r="D816" s="158">
        <v>797</v>
      </c>
      <c r="E816" s="709" t="s">
        <v>564</v>
      </c>
      <c r="F816" s="709" t="s">
        <v>596</v>
      </c>
      <c r="G816" s="710" t="s">
        <v>602</v>
      </c>
      <c r="H816" s="712" t="s">
        <v>90</v>
      </c>
      <c r="I816" s="156" t="str">
        <f t="shared" si="50"/>
        <v>2008</v>
      </c>
      <c r="J816" s="156">
        <v>2008</v>
      </c>
      <c r="K816" s="156"/>
      <c r="L816" s="2" t="s">
        <v>603</v>
      </c>
      <c r="M816" s="157" t="str">
        <f t="shared" si="49"/>
        <v>К08104791</v>
      </c>
      <c r="N816" s="482" t="s">
        <v>442</v>
      </c>
      <c r="O816" s="4" t="s">
        <v>599</v>
      </c>
      <c r="P816" s="1"/>
      <c r="U816" s="1"/>
      <c r="V816" s="4"/>
      <c r="W816" s="3"/>
    </row>
    <row r="817" spans="1:24" x14ac:dyDescent="0.25">
      <c r="A817" s="158">
        <v>760</v>
      </c>
      <c r="B817" s="1"/>
      <c r="C817" s="457" t="s">
        <v>3693</v>
      </c>
      <c r="D817" s="158">
        <v>802</v>
      </c>
      <c r="E817" s="709" t="s">
        <v>512</v>
      </c>
      <c r="F817" s="709" t="s">
        <v>514</v>
      </c>
      <c r="G817" s="710" t="s">
        <v>521</v>
      </c>
      <c r="H817" s="712" t="s">
        <v>90</v>
      </c>
      <c r="I817" s="156" t="str">
        <f t="shared" si="50"/>
        <v>2008</v>
      </c>
      <c r="J817" s="156">
        <v>2008</v>
      </c>
      <c r="K817" s="156"/>
      <c r="L817" s="2" t="s">
        <v>522</v>
      </c>
      <c r="M817" s="157" t="str">
        <f t="shared" si="49"/>
        <v>К08102705</v>
      </c>
      <c r="N817" s="482" t="s">
        <v>442</v>
      </c>
      <c r="O817" s="4" t="s">
        <v>515</v>
      </c>
      <c r="P817" s="1" t="s">
        <v>523</v>
      </c>
      <c r="R817" s="295" t="s">
        <v>3971</v>
      </c>
      <c r="S817" s="310">
        <v>40525</v>
      </c>
      <c r="U817" s="1"/>
      <c r="V817" s="4"/>
      <c r="W817" s="3"/>
    </row>
    <row r="818" spans="1:24" x14ac:dyDescent="0.25">
      <c r="A818" s="158">
        <v>860</v>
      </c>
      <c r="B818" s="456" t="s">
        <v>3552</v>
      </c>
      <c r="C818" s="457" t="s">
        <v>3693</v>
      </c>
      <c r="D818" s="154">
        <v>817</v>
      </c>
      <c r="E818" s="3" t="s">
        <v>370</v>
      </c>
      <c r="F818" s="581" t="s">
        <v>459</v>
      </c>
      <c r="G818" s="2" t="s">
        <v>371</v>
      </c>
      <c r="H818" s="469" t="s">
        <v>90</v>
      </c>
      <c r="I818" s="156" t="str">
        <f t="shared" si="50"/>
        <v>2008</v>
      </c>
      <c r="J818" s="156">
        <v>2008</v>
      </c>
      <c r="K818" s="156"/>
      <c r="L818" s="589" t="s">
        <v>372</v>
      </c>
      <c r="M818" s="157" t="str">
        <f t="shared" si="49"/>
        <v>К04700055</v>
      </c>
      <c r="N818" s="482" t="s">
        <v>442</v>
      </c>
      <c r="O818" s="4" t="s">
        <v>460</v>
      </c>
      <c r="P818" s="1"/>
      <c r="R818" s="295" t="s">
        <v>4147</v>
      </c>
      <c r="S818" s="172" t="s">
        <v>4148</v>
      </c>
      <c r="U818" s="1"/>
      <c r="V818" s="4"/>
      <c r="W818" s="3"/>
    </row>
    <row r="819" spans="1:24" x14ac:dyDescent="0.25">
      <c r="A819" s="158">
        <v>848</v>
      </c>
      <c r="B819" s="456" t="s">
        <v>3552</v>
      </c>
      <c r="C819" s="457" t="s">
        <v>3693</v>
      </c>
      <c r="D819" s="158">
        <v>851</v>
      </c>
      <c r="E819" s="709" t="s">
        <v>444</v>
      </c>
      <c r="F819" s="709" t="s">
        <v>445</v>
      </c>
      <c r="G819" s="710" t="s">
        <v>547</v>
      </c>
      <c r="H819" s="712" t="s">
        <v>90</v>
      </c>
      <c r="I819" s="156" t="str">
        <f t="shared" si="50"/>
        <v>2008</v>
      </c>
      <c r="J819" s="156">
        <v>2008</v>
      </c>
      <c r="K819" s="156"/>
      <c r="L819" s="2" t="s">
        <v>548</v>
      </c>
      <c r="M819" s="157" t="str">
        <f t="shared" si="49"/>
        <v>К08103081</v>
      </c>
      <c r="N819" s="482" t="s">
        <v>442</v>
      </c>
      <c r="O819" s="4" t="s">
        <v>515</v>
      </c>
      <c r="P819" s="1"/>
      <c r="R819" s="170" t="s">
        <v>3740</v>
      </c>
      <c r="S819" s="455" t="s">
        <v>3741</v>
      </c>
      <c r="U819" s="1"/>
      <c r="V819" s="4"/>
      <c r="W819" s="3"/>
    </row>
    <row r="820" spans="1:24" x14ac:dyDescent="0.25">
      <c r="A820" s="154">
        <v>837</v>
      </c>
      <c r="B820" s="456" t="s">
        <v>3552</v>
      </c>
      <c r="C820" s="457" t="s">
        <v>3693</v>
      </c>
      <c r="D820" s="158">
        <v>853</v>
      </c>
      <c r="E820" s="709" t="s">
        <v>444</v>
      </c>
      <c r="F820" s="709" t="s">
        <v>445</v>
      </c>
      <c r="G820" s="710" t="s">
        <v>581</v>
      </c>
      <c r="H820" s="712" t="s">
        <v>90</v>
      </c>
      <c r="I820" s="156" t="str">
        <f t="shared" si="50"/>
        <v>2008</v>
      </c>
      <c r="J820" s="156">
        <v>2008</v>
      </c>
      <c r="K820" s="156"/>
      <c r="L820" s="2">
        <v>8103079</v>
      </c>
      <c r="M820" s="157" t="str">
        <f t="shared" si="49"/>
        <v>К8103079</v>
      </c>
      <c r="N820" s="482" t="s">
        <v>442</v>
      </c>
      <c r="O820" s="4" t="s">
        <v>567</v>
      </c>
      <c r="P820" s="1"/>
      <c r="R820" s="170" t="s">
        <v>3740</v>
      </c>
      <c r="S820" s="455" t="s">
        <v>3741</v>
      </c>
      <c r="U820" s="1"/>
      <c r="V820" s="4"/>
      <c r="W820" s="3"/>
    </row>
    <row r="821" spans="1:24" x14ac:dyDescent="0.25">
      <c r="A821" s="158">
        <v>838</v>
      </c>
      <c r="B821" s="456" t="s">
        <v>3552</v>
      </c>
      <c r="C821" s="457" t="s">
        <v>3693</v>
      </c>
      <c r="D821" s="154">
        <v>859</v>
      </c>
      <c r="E821" s="709" t="s">
        <v>444</v>
      </c>
      <c r="F821" s="709" t="s">
        <v>445</v>
      </c>
      <c r="G821" s="710" t="s">
        <v>674</v>
      </c>
      <c r="H821" s="712" t="s">
        <v>90</v>
      </c>
      <c r="I821" s="156" t="str">
        <f t="shared" si="50"/>
        <v>2008</v>
      </c>
      <c r="J821" s="156">
        <v>2008</v>
      </c>
      <c r="K821" s="156"/>
      <c r="L821" s="2" t="s">
        <v>675</v>
      </c>
      <c r="M821" s="157" t="str">
        <f t="shared" si="49"/>
        <v>К08103078</v>
      </c>
      <c r="N821" s="482" t="s">
        <v>442</v>
      </c>
      <c r="O821" s="4" t="s">
        <v>667</v>
      </c>
      <c r="P821" s="1"/>
      <c r="R821" s="170" t="s">
        <v>3740</v>
      </c>
      <c r="S821" s="455" t="s">
        <v>3741</v>
      </c>
      <c r="U821" s="1"/>
      <c r="V821" s="4"/>
      <c r="W821" s="3"/>
    </row>
    <row r="822" spans="1:24" x14ac:dyDescent="0.25">
      <c r="A822" s="154">
        <v>477</v>
      </c>
      <c r="B822" s="136" t="s">
        <v>3552</v>
      </c>
      <c r="C822" s="481" t="s">
        <v>3693</v>
      </c>
      <c r="D822" s="158">
        <v>872</v>
      </c>
      <c r="E822" s="3" t="s">
        <v>481</v>
      </c>
      <c r="F822" s="3" t="s">
        <v>645</v>
      </c>
      <c r="G822" s="2" t="s">
        <v>646</v>
      </c>
      <c r="H822" s="469" t="s">
        <v>90</v>
      </c>
      <c r="I822" s="156" t="str">
        <f t="shared" si="50"/>
        <v>2008</v>
      </c>
      <c r="J822" s="156">
        <v>2008</v>
      </c>
      <c r="K822" s="156"/>
      <c r="L822" s="2" t="s">
        <v>647</v>
      </c>
      <c r="M822" s="157" t="str">
        <f t="shared" si="49"/>
        <v>К04700278</v>
      </c>
      <c r="N822" s="482" t="s">
        <v>442</v>
      </c>
      <c r="O822" s="4" t="s">
        <v>599</v>
      </c>
      <c r="P822" s="1"/>
      <c r="R822" s="170" t="s">
        <v>3766</v>
      </c>
      <c r="S822" s="455" t="s">
        <v>3768</v>
      </c>
      <c r="U822" s="1"/>
      <c r="V822" s="4"/>
      <c r="W822" s="3"/>
    </row>
    <row r="823" spans="1:24" x14ac:dyDescent="0.25">
      <c r="A823" s="154">
        <v>815</v>
      </c>
      <c r="B823" s="136" t="s">
        <v>3552</v>
      </c>
      <c r="C823" s="481" t="s">
        <v>3693</v>
      </c>
      <c r="D823" s="158">
        <v>876</v>
      </c>
      <c r="E823" s="3" t="s">
        <v>481</v>
      </c>
      <c r="F823" s="3" t="s">
        <v>648</v>
      </c>
      <c r="G823" s="2" t="s">
        <v>681</v>
      </c>
      <c r="H823" s="469" t="s">
        <v>90</v>
      </c>
      <c r="I823" s="156" t="str">
        <f t="shared" si="50"/>
        <v>2008</v>
      </c>
      <c r="J823" s="156">
        <v>2008</v>
      </c>
      <c r="K823" s="156"/>
      <c r="L823" s="2" t="s">
        <v>682</v>
      </c>
      <c r="M823" s="157" t="str">
        <f t="shared" si="49"/>
        <v>К04700264</v>
      </c>
      <c r="N823" s="482" t="s">
        <v>442</v>
      </c>
      <c r="O823" s="4" t="s">
        <v>667</v>
      </c>
      <c r="P823" s="1"/>
      <c r="R823" s="170" t="s">
        <v>3766</v>
      </c>
      <c r="S823" s="455" t="s">
        <v>3768</v>
      </c>
      <c r="U823" s="1"/>
      <c r="V823" s="4"/>
      <c r="W823" s="3"/>
    </row>
    <row r="824" spans="1:24" x14ac:dyDescent="0.25">
      <c r="A824" s="158">
        <v>816</v>
      </c>
      <c r="B824" s="136" t="s">
        <v>3552</v>
      </c>
      <c r="C824" s="481" t="s">
        <v>3693</v>
      </c>
      <c r="D824" s="154">
        <v>877</v>
      </c>
      <c r="E824" s="3" t="s">
        <v>481</v>
      </c>
      <c r="F824" s="3" t="s">
        <v>678</v>
      </c>
      <c r="G824" s="2" t="s">
        <v>679</v>
      </c>
      <c r="H824" s="469" t="s">
        <v>90</v>
      </c>
      <c r="I824" s="156" t="str">
        <f t="shared" si="50"/>
        <v>2008</v>
      </c>
      <c r="J824" s="156">
        <v>2008</v>
      </c>
      <c r="K824" s="156"/>
      <c r="L824" s="2" t="s">
        <v>680</v>
      </c>
      <c r="M824" s="157" t="str">
        <f t="shared" si="49"/>
        <v>К08102699_2</v>
      </c>
      <c r="N824" s="482" t="s">
        <v>442</v>
      </c>
      <c r="O824" s="4" t="s">
        <v>667</v>
      </c>
      <c r="P824" s="1"/>
      <c r="U824" s="1"/>
      <c r="V824" s="4" t="s">
        <v>741</v>
      </c>
      <c r="W824" s="3"/>
    </row>
    <row r="825" spans="1:24" x14ac:dyDescent="0.25">
      <c r="A825" s="495">
        <v>833</v>
      </c>
      <c r="B825" s="1"/>
      <c r="C825" s="457" t="s">
        <v>3693</v>
      </c>
      <c r="D825" s="158">
        <v>801</v>
      </c>
      <c r="E825" s="711" t="s">
        <v>512</v>
      </c>
      <c r="F825" s="711" t="s">
        <v>514</v>
      </c>
      <c r="G825" s="740" t="s">
        <v>519</v>
      </c>
      <c r="H825" s="712" t="s">
        <v>79</v>
      </c>
      <c r="I825" s="156" t="str">
        <f t="shared" si="50"/>
        <v>2009</v>
      </c>
      <c r="J825" s="156">
        <v>2009</v>
      </c>
      <c r="K825" s="156"/>
      <c r="L825" s="2" t="s">
        <v>520</v>
      </c>
      <c r="M825" s="157" t="str">
        <f t="shared" si="49"/>
        <v>К08102704</v>
      </c>
      <c r="N825" s="482" t="s">
        <v>442</v>
      </c>
      <c r="O825" s="4" t="s">
        <v>515</v>
      </c>
      <c r="P825" s="1" t="s">
        <v>448</v>
      </c>
      <c r="R825" s="295" t="s">
        <v>3971</v>
      </c>
      <c r="S825" s="310">
        <v>40525</v>
      </c>
      <c r="U825" s="1"/>
      <c r="V825" s="4"/>
      <c r="W825" s="3"/>
    </row>
    <row r="826" spans="1:24" s="162" customFormat="1" x14ac:dyDescent="0.25">
      <c r="A826" s="158">
        <v>570</v>
      </c>
      <c r="B826" s="1"/>
      <c r="C826" s="1"/>
      <c r="D826" s="158">
        <v>841</v>
      </c>
      <c r="E826" s="581" t="s">
        <v>100</v>
      </c>
      <c r="F826" s="581" t="s">
        <v>101</v>
      </c>
      <c r="G826" s="2"/>
      <c r="H826" s="589" t="s">
        <v>79</v>
      </c>
      <c r="I826" s="156" t="str">
        <f t="shared" si="50"/>
        <v>2009</v>
      </c>
      <c r="J826" s="156">
        <v>2009</v>
      </c>
      <c r="K826" s="156"/>
      <c r="L826" s="2" t="s">
        <v>541</v>
      </c>
      <c r="M826" s="157" t="str">
        <f t="shared" si="49"/>
        <v>К08102670</v>
      </c>
      <c r="N826" s="482" t="s">
        <v>442</v>
      </c>
      <c r="O826" s="4" t="s">
        <v>515</v>
      </c>
      <c r="P826" s="1"/>
      <c r="Q826" s="1"/>
      <c r="R826" s="3"/>
      <c r="S826" s="3"/>
      <c r="T826" s="3"/>
      <c r="U826" s="1"/>
      <c r="V826" s="4"/>
      <c r="W826" s="3"/>
      <c r="X826" s="3"/>
    </row>
    <row r="827" spans="1:24" x14ac:dyDescent="0.25">
      <c r="A827" s="158">
        <v>650</v>
      </c>
      <c r="B827" s="1"/>
      <c r="C827" s="1"/>
      <c r="D827" s="154">
        <v>842</v>
      </c>
      <c r="E827" s="3" t="s">
        <v>100</v>
      </c>
      <c r="F827" s="3" t="s">
        <v>101</v>
      </c>
      <c r="G827" s="2"/>
      <c r="H827" s="589" t="s">
        <v>79</v>
      </c>
      <c r="I827" s="156" t="str">
        <f t="shared" si="50"/>
        <v>2009</v>
      </c>
      <c r="J827" s="156">
        <v>2009</v>
      </c>
      <c r="K827" s="156"/>
      <c r="L827" s="2" t="s">
        <v>542</v>
      </c>
      <c r="M827" s="157" t="str">
        <f t="shared" si="49"/>
        <v>К08102671</v>
      </c>
      <c r="N827" s="482" t="s">
        <v>442</v>
      </c>
      <c r="O827" s="4" t="s">
        <v>515</v>
      </c>
      <c r="P827" s="1"/>
      <c r="S827" s="3"/>
      <c r="U827" s="1"/>
      <c r="V827" s="4"/>
      <c r="W827" s="3"/>
    </row>
    <row r="828" spans="1:24" x14ac:dyDescent="0.25">
      <c r="A828" s="158">
        <v>626</v>
      </c>
      <c r="B828" s="1"/>
      <c r="C828" s="1"/>
      <c r="D828" s="158">
        <v>843</v>
      </c>
      <c r="E828" s="3" t="s">
        <v>100</v>
      </c>
      <c r="F828" s="3" t="s">
        <v>101</v>
      </c>
      <c r="G828" s="2"/>
      <c r="H828" s="589" t="s">
        <v>79</v>
      </c>
      <c r="I828" s="156" t="str">
        <f t="shared" si="50"/>
        <v>2009</v>
      </c>
      <c r="J828" s="156">
        <v>2009</v>
      </c>
      <c r="K828" s="156"/>
      <c r="L828" s="2" t="s">
        <v>543</v>
      </c>
      <c r="M828" s="157" t="str">
        <f t="shared" ref="M828:M859" si="51">CONCATENATE("К",L828)</f>
        <v>К08102672</v>
      </c>
      <c r="N828" s="482" t="s">
        <v>442</v>
      </c>
      <c r="O828" s="4" t="s">
        <v>515</v>
      </c>
      <c r="P828" s="1"/>
      <c r="S828" s="3"/>
      <c r="U828" s="1"/>
      <c r="V828" s="4"/>
      <c r="W828" s="162"/>
      <c r="X828" s="162" t="s">
        <v>3034</v>
      </c>
    </row>
    <row r="829" spans="1:24" x14ac:dyDescent="0.25">
      <c r="A829" s="158">
        <v>644</v>
      </c>
      <c r="B829" s="1"/>
      <c r="C829" s="1"/>
      <c r="D829" s="158">
        <v>844</v>
      </c>
      <c r="E829" s="3" t="s">
        <v>100</v>
      </c>
      <c r="F829" s="3" t="s">
        <v>101</v>
      </c>
      <c r="G829" s="2"/>
      <c r="H829" s="589" t="s">
        <v>79</v>
      </c>
      <c r="I829" s="156" t="str">
        <f t="shared" si="50"/>
        <v>2009</v>
      </c>
      <c r="J829" s="156">
        <v>2009</v>
      </c>
      <c r="K829" s="156"/>
      <c r="L829" s="2" t="s">
        <v>625</v>
      </c>
      <c r="M829" s="157" t="str">
        <f t="shared" si="51"/>
        <v>К08102669</v>
      </c>
      <c r="N829" s="482" t="s">
        <v>442</v>
      </c>
      <c r="O829" s="4" t="s">
        <v>599</v>
      </c>
      <c r="P829" s="1"/>
      <c r="U829" s="1"/>
      <c r="V829" s="4"/>
      <c r="W829" s="3"/>
    </row>
    <row r="830" spans="1:24" x14ac:dyDescent="0.25">
      <c r="A830" s="154">
        <v>649</v>
      </c>
      <c r="B830" s="1"/>
      <c r="C830" s="457" t="s">
        <v>3693</v>
      </c>
      <c r="D830" s="158">
        <v>799</v>
      </c>
      <c r="E830" s="709" t="s">
        <v>512</v>
      </c>
      <c r="F830" s="709" t="s">
        <v>513</v>
      </c>
      <c r="G830" s="710" t="s">
        <v>168</v>
      </c>
      <c r="H830" s="710" t="s">
        <v>47</v>
      </c>
      <c r="I830" s="156" t="str">
        <f t="shared" si="50"/>
        <v>2010</v>
      </c>
      <c r="J830" s="156">
        <v>2010</v>
      </c>
      <c r="K830" s="156"/>
      <c r="L830" s="2">
        <v>4700191</v>
      </c>
      <c r="M830" s="157" t="str">
        <f t="shared" si="51"/>
        <v>К4700191</v>
      </c>
      <c r="N830" s="482" t="s">
        <v>442</v>
      </c>
      <c r="O830" s="4" t="s">
        <v>149</v>
      </c>
      <c r="P830" s="1"/>
      <c r="U830" s="1"/>
      <c r="V830" s="4"/>
      <c r="W830" s="3"/>
    </row>
    <row r="831" spans="1:24" x14ac:dyDescent="0.25">
      <c r="A831" s="158">
        <v>746</v>
      </c>
      <c r="B831" s="1"/>
      <c r="C831" s="457" t="s">
        <v>3693</v>
      </c>
      <c r="D831" s="154">
        <v>824</v>
      </c>
      <c r="E831" s="711" t="s">
        <v>531</v>
      </c>
      <c r="F831" s="711" t="s">
        <v>532</v>
      </c>
      <c r="G831" s="712" t="s">
        <v>533</v>
      </c>
      <c r="H831" s="712" t="s">
        <v>47</v>
      </c>
      <c r="I831" s="156" t="str">
        <f t="shared" si="50"/>
        <v>2010</v>
      </c>
      <c r="J831" s="156">
        <v>2010</v>
      </c>
      <c r="K831" s="156"/>
      <c r="L831" s="2" t="s">
        <v>534</v>
      </c>
      <c r="M831" s="157" t="str">
        <f t="shared" si="51"/>
        <v>К08105191</v>
      </c>
      <c r="N831" s="482" t="s">
        <v>442</v>
      </c>
      <c r="O831" s="4" t="s">
        <v>515</v>
      </c>
      <c r="P831" s="1" t="s">
        <v>448</v>
      </c>
      <c r="U831" s="1"/>
      <c r="V831" s="4"/>
      <c r="W831" s="3"/>
    </row>
    <row r="832" spans="1:24" x14ac:dyDescent="0.25">
      <c r="B832" s="136" t="s">
        <v>3552</v>
      </c>
      <c r="C832" s="481" t="s">
        <v>3693</v>
      </c>
      <c r="D832" s="154">
        <v>868</v>
      </c>
      <c r="E832" s="3" t="s">
        <v>481</v>
      </c>
      <c r="F832" s="3" t="s">
        <v>485</v>
      </c>
      <c r="G832" s="2" t="s">
        <v>486</v>
      </c>
      <c r="H832" s="2" t="s">
        <v>487</v>
      </c>
      <c r="I832" s="156" t="str">
        <f t="shared" si="50"/>
        <v>2010</v>
      </c>
      <c r="J832" s="156">
        <v>2010</v>
      </c>
      <c r="K832" s="156"/>
      <c r="L832" s="2" t="s">
        <v>488</v>
      </c>
      <c r="M832" s="157" t="str">
        <f t="shared" si="51"/>
        <v>К08104234</v>
      </c>
      <c r="N832" s="482" t="s">
        <v>442</v>
      </c>
      <c r="O832" s="4" t="s">
        <v>466</v>
      </c>
      <c r="P832" s="1"/>
      <c r="S832" s="3"/>
      <c r="U832" s="1"/>
      <c r="V832" s="4"/>
      <c r="W832" s="3"/>
    </row>
    <row r="833" spans="1:23" x14ac:dyDescent="0.25">
      <c r="A833" s="154">
        <v>751</v>
      </c>
      <c r="B833" s="1"/>
      <c r="C833" s="1"/>
      <c r="D833" s="154">
        <v>908</v>
      </c>
      <c r="E833" s="709" t="s">
        <v>503</v>
      </c>
      <c r="F833" s="709" t="s">
        <v>590</v>
      </c>
      <c r="G833" s="710" t="s">
        <v>591</v>
      </c>
      <c r="H833" s="710" t="s">
        <v>47</v>
      </c>
      <c r="I833" s="156" t="str">
        <f t="shared" si="50"/>
        <v>2010</v>
      </c>
      <c r="J833" s="156">
        <v>2010</v>
      </c>
      <c r="K833" s="156"/>
      <c r="L833" s="2" t="s">
        <v>592</v>
      </c>
      <c r="M833" s="157" t="str">
        <f t="shared" si="51"/>
        <v>К08102850</v>
      </c>
      <c r="N833" s="482" t="s">
        <v>442</v>
      </c>
      <c r="O833" s="4" t="s">
        <v>567</v>
      </c>
      <c r="P833" s="1"/>
      <c r="U833" s="1"/>
      <c r="V833" s="4"/>
      <c r="W833" s="3"/>
    </row>
    <row r="834" spans="1:23" x14ac:dyDescent="0.25">
      <c r="A834" s="158">
        <v>764</v>
      </c>
      <c r="B834" s="1"/>
      <c r="C834" s="457" t="s">
        <v>3693</v>
      </c>
      <c r="D834" s="154">
        <v>796</v>
      </c>
      <c r="E834" s="709" t="s">
        <v>564</v>
      </c>
      <c r="F834" s="709" t="s">
        <v>596</v>
      </c>
      <c r="G834" s="710" t="s">
        <v>600</v>
      </c>
      <c r="H834" s="710" t="s">
        <v>283</v>
      </c>
      <c r="I834" s="156" t="str">
        <f t="shared" si="50"/>
        <v>2011</v>
      </c>
      <c r="J834" s="156">
        <v>2011</v>
      </c>
      <c r="K834" s="156"/>
      <c r="L834" s="2" t="s">
        <v>601</v>
      </c>
      <c r="M834" s="157" t="str">
        <f t="shared" si="51"/>
        <v>К08103087</v>
      </c>
      <c r="N834" s="482" t="s">
        <v>442</v>
      </c>
      <c r="O834" s="4" t="s">
        <v>599</v>
      </c>
      <c r="P834" s="1"/>
      <c r="U834" s="1"/>
      <c r="V834" s="4"/>
      <c r="W834" s="3"/>
    </row>
    <row r="835" spans="1:23" x14ac:dyDescent="0.25">
      <c r="A835" s="154">
        <v>765</v>
      </c>
      <c r="B835" s="456" t="s">
        <v>3552</v>
      </c>
      <c r="C835" s="457" t="s">
        <v>3693</v>
      </c>
      <c r="D835" s="154">
        <v>819</v>
      </c>
      <c r="E835" s="3" t="s">
        <v>370</v>
      </c>
      <c r="F835" s="3" t="s">
        <v>608</v>
      </c>
      <c r="G835" s="2" t="s">
        <v>529</v>
      </c>
      <c r="H835" s="2" t="s">
        <v>283</v>
      </c>
      <c r="I835" s="156" t="str">
        <f t="shared" si="50"/>
        <v>2011</v>
      </c>
      <c r="J835" s="156">
        <v>2011</v>
      </c>
      <c r="K835" s="156"/>
      <c r="L835" s="2" t="s">
        <v>530</v>
      </c>
      <c r="M835" s="157" t="str">
        <f t="shared" si="51"/>
        <v>К08104790</v>
      </c>
      <c r="N835" s="482" t="s">
        <v>442</v>
      </c>
      <c r="O835" s="4" t="s">
        <v>515</v>
      </c>
      <c r="P835" s="1"/>
      <c r="U835" s="1"/>
      <c r="V835" s="4" t="s">
        <v>729</v>
      </c>
      <c r="W835" s="3"/>
    </row>
    <row r="836" spans="1:23" x14ac:dyDescent="0.25">
      <c r="A836" s="158">
        <v>766</v>
      </c>
      <c r="B836" s="456" t="s">
        <v>3552</v>
      </c>
      <c r="C836" s="457" t="s">
        <v>3693</v>
      </c>
      <c r="D836" s="158">
        <v>820</v>
      </c>
      <c r="E836" s="3" t="s">
        <v>370</v>
      </c>
      <c r="F836" s="3" t="s">
        <v>608</v>
      </c>
      <c r="G836" s="2" t="s">
        <v>609</v>
      </c>
      <c r="H836" s="2" t="s">
        <v>283</v>
      </c>
      <c r="I836" s="156" t="str">
        <f t="shared" si="50"/>
        <v>2011</v>
      </c>
      <c r="J836" s="156">
        <v>2011</v>
      </c>
      <c r="K836" s="156"/>
      <c r="L836" s="2" t="s">
        <v>610</v>
      </c>
      <c r="M836" s="157" t="str">
        <f t="shared" si="51"/>
        <v>К08104789</v>
      </c>
      <c r="N836" s="482" t="s">
        <v>442</v>
      </c>
      <c r="O836" s="4" t="s">
        <v>599</v>
      </c>
      <c r="P836" s="1"/>
      <c r="U836" s="1"/>
      <c r="V836" s="4"/>
      <c r="W836" s="3"/>
    </row>
    <row r="837" spans="1:23" x14ac:dyDescent="0.25">
      <c r="A837" s="154">
        <v>767</v>
      </c>
      <c r="B837" s="1"/>
      <c r="C837" s="457" t="s">
        <v>3693</v>
      </c>
      <c r="D837" s="154">
        <v>826</v>
      </c>
      <c r="E837" s="711" t="s">
        <v>531</v>
      </c>
      <c r="F837" s="711" t="s">
        <v>532</v>
      </c>
      <c r="G837" s="712" t="s">
        <v>535</v>
      </c>
      <c r="H837" s="712" t="s">
        <v>283</v>
      </c>
      <c r="I837" s="156" t="str">
        <f t="shared" si="50"/>
        <v>2011</v>
      </c>
      <c r="J837" s="156">
        <v>2011</v>
      </c>
      <c r="K837" s="156"/>
      <c r="L837" s="2"/>
      <c r="M837" s="157" t="str">
        <f t="shared" si="51"/>
        <v>К</v>
      </c>
      <c r="N837" s="482" t="s">
        <v>442</v>
      </c>
      <c r="O837" s="4" t="s">
        <v>515</v>
      </c>
      <c r="P837" s="1" t="s">
        <v>523</v>
      </c>
      <c r="U837" s="1"/>
      <c r="V837" s="4"/>
      <c r="W837" s="3"/>
    </row>
    <row r="838" spans="1:23" x14ac:dyDescent="0.25">
      <c r="A838" s="158">
        <v>768</v>
      </c>
      <c r="B838" s="136" t="s">
        <v>3552</v>
      </c>
      <c r="C838" s="481" t="s">
        <v>3693</v>
      </c>
      <c r="D838" s="158">
        <v>867</v>
      </c>
      <c r="E838" s="3" t="s">
        <v>481</v>
      </c>
      <c r="F838" s="43" t="s">
        <v>648</v>
      </c>
      <c r="G838" s="2" t="s">
        <v>483</v>
      </c>
      <c r="H838" s="469" t="s">
        <v>283</v>
      </c>
      <c r="I838" s="156" t="str">
        <f t="shared" si="50"/>
        <v>2011</v>
      </c>
      <c r="J838" s="156">
        <v>2011</v>
      </c>
      <c r="K838" s="156"/>
      <c r="L838" s="2" t="s">
        <v>484</v>
      </c>
      <c r="M838" s="157" t="str">
        <f t="shared" si="51"/>
        <v>К08103945</v>
      </c>
      <c r="N838" s="482" t="s">
        <v>442</v>
      </c>
      <c r="O838" s="4" t="s">
        <v>466</v>
      </c>
      <c r="P838" s="1"/>
      <c r="R838" s="3" t="s">
        <v>3766</v>
      </c>
      <c r="S838" s="3" t="s">
        <v>3768</v>
      </c>
      <c r="U838" s="1"/>
      <c r="V838" s="4"/>
      <c r="W838" s="3"/>
    </row>
    <row r="839" spans="1:23" x14ac:dyDescent="0.25">
      <c r="A839" s="154">
        <v>789</v>
      </c>
      <c r="B839" s="136" t="s">
        <v>3552</v>
      </c>
      <c r="C839" s="481" t="s">
        <v>3693</v>
      </c>
      <c r="D839" s="158">
        <v>869</v>
      </c>
      <c r="E839" s="3" t="s">
        <v>481</v>
      </c>
      <c r="F839" s="43" t="s">
        <v>648</v>
      </c>
      <c r="G839" s="2" t="s">
        <v>552</v>
      </c>
      <c r="H839" s="469" t="s">
        <v>283</v>
      </c>
      <c r="I839" s="156" t="str">
        <f t="shared" si="50"/>
        <v>2011</v>
      </c>
      <c r="J839" s="156">
        <v>2011</v>
      </c>
      <c r="K839" s="156"/>
      <c r="L839" s="2" t="s">
        <v>553</v>
      </c>
      <c r="M839" s="157" t="str">
        <f t="shared" si="51"/>
        <v>К08103943</v>
      </c>
      <c r="N839" s="482" t="s">
        <v>442</v>
      </c>
      <c r="O839" s="4" t="s">
        <v>515</v>
      </c>
      <c r="P839" s="1"/>
      <c r="R839" s="170" t="s">
        <v>3766</v>
      </c>
      <c r="S839" s="455" t="s">
        <v>3768</v>
      </c>
      <c r="U839" s="1"/>
      <c r="V839" s="4"/>
      <c r="W839" s="3"/>
    </row>
    <row r="840" spans="1:23" x14ac:dyDescent="0.25">
      <c r="A840" s="158">
        <v>790</v>
      </c>
      <c r="B840" s="136" t="s">
        <v>3552</v>
      </c>
      <c r="C840" s="481" t="s">
        <v>3693</v>
      </c>
      <c r="D840" s="154">
        <v>870</v>
      </c>
      <c r="E840" s="3" t="s">
        <v>481</v>
      </c>
      <c r="F840" s="43" t="s">
        <v>648</v>
      </c>
      <c r="G840" s="2" t="s">
        <v>554</v>
      </c>
      <c r="H840" s="469" t="s">
        <v>283</v>
      </c>
      <c r="I840" s="156" t="str">
        <f t="shared" si="50"/>
        <v>2011</v>
      </c>
      <c r="J840" s="156">
        <v>2011</v>
      </c>
      <c r="K840" s="156"/>
      <c r="L840" s="2" t="s">
        <v>555</v>
      </c>
      <c r="M840" s="157" t="str">
        <f t="shared" si="51"/>
        <v>К08104599</v>
      </c>
      <c r="N840" s="482" t="s">
        <v>442</v>
      </c>
      <c r="O840" s="4" t="s">
        <v>515</v>
      </c>
      <c r="P840" s="1"/>
      <c r="R840" s="170" t="s">
        <v>3766</v>
      </c>
      <c r="S840" s="455" t="s">
        <v>3768</v>
      </c>
      <c r="U840" s="1"/>
      <c r="V840" s="4"/>
      <c r="W840" s="3"/>
    </row>
    <row r="841" spans="1:23" x14ac:dyDescent="0.25">
      <c r="A841" s="154">
        <v>771</v>
      </c>
      <c r="B841" s="136" t="s">
        <v>3552</v>
      </c>
      <c r="C841" s="481" t="s">
        <v>3693</v>
      </c>
      <c r="D841" s="158">
        <v>874</v>
      </c>
      <c r="E841" s="3" t="s">
        <v>481</v>
      </c>
      <c r="F841" s="170" t="s">
        <v>648</v>
      </c>
      <c r="G841" s="2" t="s">
        <v>649</v>
      </c>
      <c r="H841" s="469" t="s">
        <v>283</v>
      </c>
      <c r="I841" s="156" t="str">
        <f t="shared" si="50"/>
        <v>2011</v>
      </c>
      <c r="J841" s="156">
        <v>2011</v>
      </c>
      <c r="K841" s="156"/>
      <c r="L841" s="2" t="s">
        <v>650</v>
      </c>
      <c r="M841" s="157" t="str">
        <f t="shared" si="51"/>
        <v>К08104233</v>
      </c>
      <c r="N841" s="482" t="s">
        <v>442</v>
      </c>
      <c r="O841" s="4" t="s">
        <v>599</v>
      </c>
      <c r="P841" s="1"/>
      <c r="R841" s="170" t="s">
        <v>3766</v>
      </c>
      <c r="S841" s="455" t="s">
        <v>3768</v>
      </c>
      <c r="U841" s="1"/>
      <c r="V841" s="4"/>
      <c r="W841" s="3"/>
    </row>
    <row r="842" spans="1:23" x14ac:dyDescent="0.25">
      <c r="A842" s="158">
        <v>778</v>
      </c>
      <c r="B842" s="136" t="s">
        <v>3552</v>
      </c>
      <c r="C842" s="481" t="s">
        <v>3693</v>
      </c>
      <c r="D842" s="154">
        <v>875</v>
      </c>
      <c r="E842" s="3" t="s">
        <v>481</v>
      </c>
      <c r="F842" s="3" t="s">
        <v>648</v>
      </c>
      <c r="G842" s="2" t="s">
        <v>651</v>
      </c>
      <c r="H842" s="469" t="s">
        <v>283</v>
      </c>
      <c r="I842" s="156" t="str">
        <f t="shared" si="50"/>
        <v>2011</v>
      </c>
      <c r="J842" s="156">
        <v>2011</v>
      </c>
      <c r="K842" s="156"/>
      <c r="L842" s="2" t="s">
        <v>652</v>
      </c>
      <c r="M842" s="157" t="str">
        <f t="shared" si="51"/>
        <v>К08104600</v>
      </c>
      <c r="N842" s="482" t="s">
        <v>442</v>
      </c>
      <c r="O842" s="4" t="s">
        <v>599</v>
      </c>
      <c r="P842" s="1"/>
      <c r="R842" s="170" t="s">
        <v>3766</v>
      </c>
      <c r="S842" s="455" t="s">
        <v>3768</v>
      </c>
      <c r="U842" s="1"/>
      <c r="V842" s="4"/>
      <c r="W842" s="3"/>
    </row>
    <row r="843" spans="1:23" x14ac:dyDescent="0.25">
      <c r="A843" s="154">
        <v>779</v>
      </c>
      <c r="B843" s="136" t="s">
        <v>3552</v>
      </c>
      <c r="C843" s="481" t="s">
        <v>3693</v>
      </c>
      <c r="D843" s="158">
        <v>878</v>
      </c>
      <c r="E843" s="3" t="s">
        <v>481</v>
      </c>
      <c r="F843" s="3" t="s">
        <v>683</v>
      </c>
      <c r="G843" s="2" t="s">
        <v>684</v>
      </c>
      <c r="H843" s="469" t="s">
        <v>283</v>
      </c>
      <c r="I843" s="156" t="str">
        <f t="shared" si="50"/>
        <v>2011</v>
      </c>
      <c r="J843" s="156">
        <v>2011</v>
      </c>
      <c r="K843" s="156"/>
      <c r="L843" s="2" t="s">
        <v>685</v>
      </c>
      <c r="M843" s="157" t="str">
        <f t="shared" si="51"/>
        <v>К08104235</v>
      </c>
      <c r="N843" s="482" t="s">
        <v>442</v>
      </c>
      <c r="O843" s="4" t="s">
        <v>667</v>
      </c>
      <c r="P843" s="1"/>
      <c r="U843" s="1"/>
      <c r="V843" s="4"/>
      <c r="W843" s="3"/>
    </row>
    <row r="844" spans="1:23" x14ac:dyDescent="0.25">
      <c r="A844" s="158"/>
      <c r="B844" s="1"/>
      <c r="C844" s="457" t="s">
        <v>3693</v>
      </c>
      <c r="D844" s="158">
        <v>897</v>
      </c>
      <c r="E844" s="3" t="s">
        <v>561</v>
      </c>
      <c r="F844" s="3" t="s">
        <v>562</v>
      </c>
      <c r="G844" s="546" t="s">
        <v>3910</v>
      </c>
      <c r="H844" s="2" t="s">
        <v>283</v>
      </c>
      <c r="I844" s="156" t="str">
        <f t="shared" si="50"/>
        <v>2011</v>
      </c>
      <c r="J844" s="156">
        <v>2011</v>
      </c>
      <c r="K844" s="156"/>
      <c r="L844" s="2" t="s">
        <v>563</v>
      </c>
      <c r="M844" s="157" t="str">
        <f t="shared" si="51"/>
        <v>К08103942</v>
      </c>
      <c r="N844" s="482" t="s">
        <v>442</v>
      </c>
      <c r="O844" s="4" t="s">
        <v>515</v>
      </c>
      <c r="P844" s="1"/>
      <c r="U844" s="1"/>
      <c r="V844" s="4"/>
      <c r="W844" s="3"/>
    </row>
    <row r="845" spans="1:23" x14ac:dyDescent="0.25">
      <c r="A845" s="158"/>
      <c r="B845" s="1"/>
      <c r="C845" s="457" t="s">
        <v>3693</v>
      </c>
      <c r="D845" s="158">
        <v>794</v>
      </c>
      <c r="E845" s="709" t="s">
        <v>564</v>
      </c>
      <c r="F845" s="709" t="s">
        <v>596</v>
      </c>
      <c r="G845" s="710" t="s">
        <v>568</v>
      </c>
      <c r="H845" s="710" t="s">
        <v>159</v>
      </c>
      <c r="I845" s="156" t="str">
        <f t="shared" si="50"/>
        <v>2012</v>
      </c>
      <c r="J845" s="156">
        <v>2012</v>
      </c>
      <c r="K845" s="156"/>
      <c r="L845" s="2" t="s">
        <v>569</v>
      </c>
      <c r="M845" s="157" t="str">
        <f t="shared" si="51"/>
        <v>К08104792</v>
      </c>
      <c r="N845" s="482" t="s">
        <v>442</v>
      </c>
      <c r="O845" s="4" t="s">
        <v>567</v>
      </c>
      <c r="P845" s="1"/>
      <c r="U845" s="1"/>
      <c r="V845" s="4"/>
      <c r="W845" s="3"/>
    </row>
    <row r="846" spans="1:23" x14ac:dyDescent="0.25">
      <c r="A846" s="158">
        <v>770</v>
      </c>
      <c r="B846" s="1"/>
      <c r="C846" s="457" t="s">
        <v>3693</v>
      </c>
      <c r="D846" s="158">
        <v>795</v>
      </c>
      <c r="E846" s="709" t="s">
        <v>564</v>
      </c>
      <c r="F846" s="709" t="s">
        <v>5557</v>
      </c>
      <c r="G846" s="710" t="s">
        <v>597</v>
      </c>
      <c r="H846" s="710" t="s">
        <v>159</v>
      </c>
      <c r="I846" s="156" t="str">
        <f t="shared" si="50"/>
        <v>2012</v>
      </c>
      <c r="J846" s="156">
        <v>2012</v>
      </c>
      <c r="K846" s="156"/>
      <c r="L846" s="2" t="s">
        <v>598</v>
      </c>
      <c r="M846" s="157" t="str">
        <f t="shared" si="51"/>
        <v>К04700180</v>
      </c>
      <c r="N846" s="482" t="s">
        <v>442</v>
      </c>
      <c r="O846" s="4" t="s">
        <v>599</v>
      </c>
      <c r="P846" s="1"/>
      <c r="U846" s="1"/>
      <c r="V846" s="4" t="s">
        <v>741</v>
      </c>
      <c r="W846" s="3"/>
    </row>
    <row r="847" spans="1:23" x14ac:dyDescent="0.25">
      <c r="A847" s="154">
        <v>773</v>
      </c>
      <c r="B847" s="1"/>
      <c r="C847" s="457" t="s">
        <v>3693</v>
      </c>
      <c r="D847" s="158">
        <v>815</v>
      </c>
      <c r="E847" s="3" t="s">
        <v>526</v>
      </c>
      <c r="F847" s="170" t="s">
        <v>3725</v>
      </c>
      <c r="G847" s="2" t="s">
        <v>527</v>
      </c>
      <c r="H847" s="469" t="s">
        <v>159</v>
      </c>
      <c r="I847" s="156" t="str">
        <f t="shared" si="50"/>
        <v>2012</v>
      </c>
      <c r="J847" s="156">
        <v>2012</v>
      </c>
      <c r="K847" s="156"/>
      <c r="L847" s="2" t="s">
        <v>528</v>
      </c>
      <c r="M847" s="157" t="str">
        <f t="shared" si="51"/>
        <v>К08104896</v>
      </c>
      <c r="N847" s="482" t="s">
        <v>442</v>
      </c>
      <c r="O847" s="4" t="s">
        <v>515</v>
      </c>
      <c r="P847" s="1"/>
      <c r="U847" s="1"/>
      <c r="V847" s="4" t="s">
        <v>732</v>
      </c>
      <c r="W847" s="3"/>
    </row>
    <row r="848" spans="1:23" x14ac:dyDescent="0.25">
      <c r="A848" s="158">
        <v>1492</v>
      </c>
      <c r="B848" s="1"/>
      <c r="C848" s="457" t="s">
        <v>3693</v>
      </c>
      <c r="D848" s="158">
        <v>827</v>
      </c>
      <c r="E848" s="711" t="s">
        <v>531</v>
      </c>
      <c r="F848" s="711" t="s">
        <v>532</v>
      </c>
      <c r="G848" s="712" t="s">
        <v>739</v>
      </c>
      <c r="H848" s="712" t="s">
        <v>159</v>
      </c>
      <c r="I848" s="156" t="str">
        <f t="shared" si="50"/>
        <v>2012</v>
      </c>
      <c r="J848" s="156">
        <v>2012</v>
      </c>
      <c r="K848" s="156"/>
      <c r="L848" s="2" t="s">
        <v>740</v>
      </c>
      <c r="M848" s="157" t="str">
        <f t="shared" si="51"/>
        <v>К08103092_2</v>
      </c>
      <c r="N848" s="482" t="s">
        <v>442</v>
      </c>
      <c r="O848" s="4"/>
      <c r="P848" s="1"/>
      <c r="U848" s="1"/>
      <c r="V848" s="4"/>
      <c r="W848" s="3"/>
    </row>
    <row r="849" spans="1:24" x14ac:dyDescent="0.25">
      <c r="A849" s="158">
        <v>856</v>
      </c>
      <c r="B849" s="1"/>
      <c r="C849" s="457" t="s">
        <v>3693</v>
      </c>
      <c r="D849" s="154">
        <v>828</v>
      </c>
      <c r="E849" s="711" t="s">
        <v>531</v>
      </c>
      <c r="F849" s="711" t="s">
        <v>532</v>
      </c>
      <c r="G849" s="712" t="s">
        <v>742</v>
      </c>
      <c r="H849" s="712" t="s">
        <v>159</v>
      </c>
      <c r="I849" s="156" t="str">
        <f t="shared" si="50"/>
        <v>2012</v>
      </c>
      <c r="J849" s="156">
        <v>2012</v>
      </c>
      <c r="K849" s="156"/>
      <c r="L849" s="2" t="s">
        <v>743</v>
      </c>
      <c r="M849" s="157" t="str">
        <f t="shared" si="51"/>
        <v>К081051191</v>
      </c>
      <c r="N849" s="482" t="s">
        <v>442</v>
      </c>
      <c r="O849" s="4"/>
      <c r="P849" s="1"/>
      <c r="U849" s="1"/>
      <c r="V849" s="4"/>
      <c r="W849" s="3"/>
    </row>
    <row r="850" spans="1:24" x14ac:dyDescent="0.25">
      <c r="A850" s="154">
        <v>775</v>
      </c>
      <c r="B850" s="1"/>
      <c r="C850" s="457" t="s">
        <v>3693</v>
      </c>
      <c r="D850" s="154">
        <v>847</v>
      </c>
      <c r="E850" s="709" t="s">
        <v>516</v>
      </c>
      <c r="F850" s="709" t="s">
        <v>544</v>
      </c>
      <c r="G850" s="710" t="s">
        <v>545</v>
      </c>
      <c r="H850" s="710" t="s">
        <v>159</v>
      </c>
      <c r="I850" s="156" t="str">
        <f t="shared" si="50"/>
        <v>2012</v>
      </c>
      <c r="J850" s="156">
        <v>2012</v>
      </c>
      <c r="K850" s="156"/>
      <c r="L850" s="2">
        <v>8105190</v>
      </c>
      <c r="M850" s="157" t="str">
        <f t="shared" si="51"/>
        <v>К8105190</v>
      </c>
      <c r="N850" s="482" t="s">
        <v>442</v>
      </c>
      <c r="O850" s="4" t="s">
        <v>515</v>
      </c>
      <c r="P850" s="1"/>
      <c r="R850" s="170" t="s">
        <v>3746</v>
      </c>
      <c r="S850" s="455" t="s">
        <v>3747</v>
      </c>
      <c r="T850" s="162"/>
      <c r="U850" s="167"/>
      <c r="V850" s="168" t="s">
        <v>746</v>
      </c>
      <c r="W850" s="3"/>
    </row>
    <row r="851" spans="1:24" x14ac:dyDescent="0.25">
      <c r="A851" s="158">
        <v>776</v>
      </c>
      <c r="B851" s="1"/>
      <c r="C851" s="457" t="s">
        <v>3693</v>
      </c>
      <c r="D851" s="158">
        <v>848</v>
      </c>
      <c r="E851" s="709" t="s">
        <v>516</v>
      </c>
      <c r="F851" s="709" t="s">
        <v>544</v>
      </c>
      <c r="G851" s="710" t="s">
        <v>750</v>
      </c>
      <c r="H851" s="710" t="s">
        <v>159</v>
      </c>
      <c r="I851" s="156" t="str">
        <f t="shared" si="50"/>
        <v>2012</v>
      </c>
      <c r="J851" s="156">
        <v>2012</v>
      </c>
      <c r="K851" s="156"/>
      <c r="L851" s="589" t="s">
        <v>751</v>
      </c>
      <c r="M851" s="157" t="str">
        <f t="shared" si="51"/>
        <v>К08103082_2</v>
      </c>
      <c r="N851" s="482" t="s">
        <v>442</v>
      </c>
      <c r="O851" s="4" t="s">
        <v>515</v>
      </c>
      <c r="P851" s="1"/>
      <c r="R851" s="170" t="s">
        <v>3746</v>
      </c>
      <c r="S851" s="455" t="s">
        <v>3747</v>
      </c>
      <c r="U851" s="1"/>
      <c r="V851" s="4"/>
      <c r="W851" s="3"/>
    </row>
    <row r="852" spans="1:24" x14ac:dyDescent="0.25">
      <c r="A852" s="154">
        <v>777</v>
      </c>
      <c r="B852" s="456" t="s">
        <v>3552</v>
      </c>
      <c r="C852" s="452" t="s">
        <v>3034</v>
      </c>
      <c r="D852" s="154">
        <v>910</v>
      </c>
      <c r="E852" s="3" t="s">
        <v>325</v>
      </c>
      <c r="F852" s="3" t="s">
        <v>593</v>
      </c>
      <c r="G852" s="2" t="s">
        <v>594</v>
      </c>
      <c r="H852" s="2"/>
      <c r="I852" s="156">
        <v>2012</v>
      </c>
      <c r="J852" s="156">
        <v>2012</v>
      </c>
      <c r="K852" s="156"/>
      <c r="L852" s="2" t="s">
        <v>595</v>
      </c>
      <c r="M852" s="157" t="str">
        <f t="shared" si="51"/>
        <v>К08106042</v>
      </c>
      <c r="N852" s="482" t="s">
        <v>442</v>
      </c>
      <c r="O852" s="4" t="s">
        <v>567</v>
      </c>
      <c r="P852" s="1"/>
      <c r="U852" s="1"/>
      <c r="V852" s="4"/>
      <c r="W852" s="3"/>
    </row>
    <row r="853" spans="1:24" x14ac:dyDescent="0.25">
      <c r="A853" s="158">
        <v>810</v>
      </c>
      <c r="B853" s="456" t="s">
        <v>3552</v>
      </c>
      <c r="C853" s="452" t="s">
        <v>3034</v>
      </c>
      <c r="D853" s="158">
        <v>911</v>
      </c>
      <c r="E853" s="3" t="s">
        <v>325</v>
      </c>
      <c r="F853" s="3" t="s">
        <v>593</v>
      </c>
      <c r="G853" s="2" t="s">
        <v>761</v>
      </c>
      <c r="H853" s="589" t="s">
        <v>159</v>
      </c>
      <c r="I853" s="156">
        <v>2012</v>
      </c>
      <c r="J853" s="156">
        <v>2012</v>
      </c>
      <c r="K853" s="156"/>
      <c r="L853" s="2" t="s">
        <v>762</v>
      </c>
      <c r="M853" s="157" t="str">
        <f t="shared" si="51"/>
        <v>К04700340</v>
      </c>
      <c r="N853" s="482" t="s">
        <v>442</v>
      </c>
      <c r="O853" s="181" t="s">
        <v>599</v>
      </c>
      <c r="P853" s="1"/>
      <c r="U853" s="1"/>
      <c r="V853" s="4"/>
      <c r="W853" s="3"/>
    </row>
    <row r="854" spans="1:24" s="162" customFormat="1" x14ac:dyDescent="0.25">
      <c r="A854" s="158">
        <v>802</v>
      </c>
      <c r="B854" s="1"/>
      <c r="C854" s="457" t="s">
        <v>3034</v>
      </c>
      <c r="D854" s="158">
        <v>808</v>
      </c>
      <c r="E854" s="170" t="s">
        <v>3728</v>
      </c>
      <c r="F854" s="3" t="s">
        <v>585</v>
      </c>
      <c r="G854" s="2" t="s">
        <v>586</v>
      </c>
      <c r="H854" s="2" t="s">
        <v>59</v>
      </c>
      <c r="I854" s="156" t="str">
        <f t="shared" ref="I854:I874" si="52">RIGHT(H854,4)</f>
        <v>2013</v>
      </c>
      <c r="J854" s="156">
        <v>2013</v>
      </c>
      <c r="K854" s="156"/>
      <c r="L854" s="2" t="s">
        <v>587</v>
      </c>
      <c r="M854" s="157" t="str">
        <f t="shared" si="51"/>
        <v>К08106044</v>
      </c>
      <c r="N854" s="482" t="s">
        <v>442</v>
      </c>
      <c r="O854" s="4" t="s">
        <v>567</v>
      </c>
      <c r="P854" s="1"/>
      <c r="Q854" s="1"/>
      <c r="R854" s="170" t="s">
        <v>3731</v>
      </c>
      <c r="S854" s="455" t="s">
        <v>3732</v>
      </c>
      <c r="T854" s="3"/>
      <c r="U854" s="1"/>
      <c r="V854" s="4"/>
      <c r="W854" s="3"/>
      <c r="X854" s="3"/>
    </row>
    <row r="855" spans="1:24" s="162" customFormat="1" x14ac:dyDescent="0.25">
      <c r="A855" s="158">
        <v>794</v>
      </c>
      <c r="B855" s="1"/>
      <c r="C855" s="457" t="s">
        <v>3034</v>
      </c>
      <c r="D855" s="158">
        <v>809</v>
      </c>
      <c r="E855" s="170" t="s">
        <v>3728</v>
      </c>
      <c r="F855" s="3" t="s">
        <v>585</v>
      </c>
      <c r="G855" s="2" t="s">
        <v>588</v>
      </c>
      <c r="H855" s="2" t="s">
        <v>59</v>
      </c>
      <c r="I855" s="156" t="str">
        <f t="shared" si="52"/>
        <v>2013</v>
      </c>
      <c r="J855" s="156">
        <v>2013</v>
      </c>
      <c r="K855" s="156"/>
      <c r="L855" s="2" t="s">
        <v>589</v>
      </c>
      <c r="M855" s="157" t="str">
        <f t="shared" si="51"/>
        <v>К08106045</v>
      </c>
      <c r="N855" s="482" t="s">
        <v>442</v>
      </c>
      <c r="O855" s="4" t="s">
        <v>567</v>
      </c>
      <c r="P855" s="1"/>
      <c r="Q855" s="1"/>
      <c r="R855" s="170" t="s">
        <v>3731</v>
      </c>
      <c r="S855" s="455" t="s">
        <v>3732</v>
      </c>
      <c r="T855" s="3"/>
      <c r="U855" s="1"/>
      <c r="V855" s="4"/>
      <c r="W855" s="3"/>
      <c r="X855" s="3"/>
    </row>
    <row r="856" spans="1:24" x14ac:dyDescent="0.25">
      <c r="A856" s="154">
        <v>795</v>
      </c>
      <c r="B856" s="456" t="s">
        <v>3552</v>
      </c>
      <c r="C856" s="457"/>
      <c r="D856" s="158">
        <v>818</v>
      </c>
      <c r="E856" s="3" t="s">
        <v>370</v>
      </c>
      <c r="F856" s="3" t="s">
        <v>474</v>
      </c>
      <c r="G856" s="2">
        <v>8652</v>
      </c>
      <c r="H856" s="2" t="s">
        <v>59</v>
      </c>
      <c r="I856" s="156" t="str">
        <f t="shared" si="52"/>
        <v>2013</v>
      </c>
      <c r="J856" s="156">
        <v>2013</v>
      </c>
      <c r="K856" s="156"/>
      <c r="L856" s="2" t="s">
        <v>475</v>
      </c>
      <c r="M856" s="157" t="str">
        <f t="shared" si="51"/>
        <v>К08106106</v>
      </c>
      <c r="N856" s="482" t="s">
        <v>442</v>
      </c>
      <c r="O856" s="4" t="s">
        <v>466</v>
      </c>
      <c r="P856" s="1"/>
      <c r="U856" s="1"/>
      <c r="V856" s="4"/>
      <c r="W856" s="3"/>
    </row>
    <row r="857" spans="1:24" x14ac:dyDescent="0.25">
      <c r="A857" s="154">
        <v>783</v>
      </c>
      <c r="B857" s="456" t="s">
        <v>3552</v>
      </c>
      <c r="C857" s="457" t="s">
        <v>3693</v>
      </c>
      <c r="D857" s="154">
        <v>856</v>
      </c>
      <c r="E857" s="709" t="s">
        <v>444</v>
      </c>
      <c r="F857" s="709" t="s">
        <v>630</v>
      </c>
      <c r="G857" s="741" t="s">
        <v>3843</v>
      </c>
      <c r="H857" s="710" t="s">
        <v>59</v>
      </c>
      <c r="I857" s="156" t="str">
        <f t="shared" si="52"/>
        <v>2013</v>
      </c>
      <c r="J857" s="156">
        <v>2013</v>
      </c>
      <c r="K857" s="156"/>
      <c r="L857" s="2" t="s">
        <v>633</v>
      </c>
      <c r="M857" s="157" t="str">
        <f t="shared" si="51"/>
        <v>К2360000539</v>
      </c>
      <c r="N857" s="482" t="s">
        <v>442</v>
      </c>
      <c r="O857" s="4" t="s">
        <v>599</v>
      </c>
      <c r="P857" s="1"/>
      <c r="R857" s="170" t="s">
        <v>3742</v>
      </c>
      <c r="S857" s="455" t="s">
        <v>3743</v>
      </c>
      <c r="U857" s="1"/>
      <c r="V857" s="4"/>
      <c r="W857" s="3"/>
    </row>
    <row r="858" spans="1:24" x14ac:dyDescent="0.25">
      <c r="A858" s="158">
        <v>784</v>
      </c>
      <c r="B858" s="456" t="s">
        <v>3552</v>
      </c>
      <c r="C858" s="457" t="s">
        <v>3693</v>
      </c>
      <c r="D858" s="158">
        <v>857</v>
      </c>
      <c r="E858" s="709" t="s">
        <v>444</v>
      </c>
      <c r="F858" s="709" t="s">
        <v>630</v>
      </c>
      <c r="G858" s="741" t="s">
        <v>631</v>
      </c>
      <c r="H858" s="710" t="s">
        <v>59</v>
      </c>
      <c r="I858" s="156" t="str">
        <f t="shared" si="52"/>
        <v>2013</v>
      </c>
      <c r="J858" s="156">
        <v>2013</v>
      </c>
      <c r="K858" s="156"/>
      <c r="L858" s="2" t="s">
        <v>632</v>
      </c>
      <c r="M858" s="157" t="str">
        <f t="shared" si="51"/>
        <v>К2360000540</v>
      </c>
      <c r="N858" s="482" t="s">
        <v>442</v>
      </c>
      <c r="O858" s="4" t="s">
        <v>599</v>
      </c>
      <c r="P858" s="1"/>
      <c r="R858" s="170" t="s">
        <v>3742</v>
      </c>
      <c r="S858" s="455" t="s">
        <v>3743</v>
      </c>
      <c r="U858" s="1"/>
      <c r="V858" s="4"/>
      <c r="W858" s="3"/>
    </row>
    <row r="859" spans="1:24" x14ac:dyDescent="0.25">
      <c r="A859" s="158">
        <v>806</v>
      </c>
      <c r="B859" s="1"/>
      <c r="C859" s="1"/>
      <c r="D859" s="154">
        <v>880</v>
      </c>
      <c r="E859" s="3" t="s">
        <v>1251</v>
      </c>
      <c r="F859" s="3" t="s">
        <v>1252</v>
      </c>
      <c r="G859" s="2" t="s">
        <v>2304</v>
      </c>
      <c r="H859" s="2" t="s">
        <v>59</v>
      </c>
      <c r="I859" s="156" t="str">
        <f t="shared" si="52"/>
        <v>2013</v>
      </c>
      <c r="J859" s="156">
        <v>2013</v>
      </c>
      <c r="K859" s="156"/>
      <c r="L859" s="2" t="s">
        <v>476</v>
      </c>
      <c r="M859" s="157" t="str">
        <f t="shared" si="51"/>
        <v>К2360000204</v>
      </c>
      <c r="N859" s="482" t="s">
        <v>442</v>
      </c>
      <c r="O859" s="4" t="s">
        <v>466</v>
      </c>
      <c r="P859" s="1"/>
      <c r="S859" s="3"/>
      <c r="U859" s="1"/>
      <c r="V859" s="4"/>
      <c r="W859" s="3"/>
    </row>
    <row r="860" spans="1:24" x14ac:dyDescent="0.25">
      <c r="A860" s="154">
        <v>807</v>
      </c>
      <c r="B860" s="1"/>
      <c r="C860" s="1"/>
      <c r="D860" s="158">
        <v>881</v>
      </c>
      <c r="E860" s="3" t="s">
        <v>1251</v>
      </c>
      <c r="F860" s="3" t="s">
        <v>1252</v>
      </c>
      <c r="G860" s="2" t="s">
        <v>704</v>
      </c>
      <c r="H860" s="2" t="s">
        <v>59</v>
      </c>
      <c r="I860" s="156" t="str">
        <f t="shared" si="52"/>
        <v>2013</v>
      </c>
      <c r="J860" s="156">
        <v>2013</v>
      </c>
      <c r="K860" s="156"/>
      <c r="L860" s="2" t="s">
        <v>705</v>
      </c>
      <c r="M860" s="157" t="str">
        <f t="shared" ref="M860:M873" si="53">CONCATENATE("К",L860)</f>
        <v>К2360000203</v>
      </c>
      <c r="N860" s="482" t="s">
        <v>442</v>
      </c>
      <c r="O860" s="4" t="s">
        <v>706</v>
      </c>
      <c r="P860" s="1"/>
      <c r="U860" s="1"/>
      <c r="V860" s="4"/>
      <c r="W860" s="3"/>
    </row>
    <row r="861" spans="1:24" x14ac:dyDescent="0.25">
      <c r="A861" s="158">
        <v>808</v>
      </c>
      <c r="B861" s="1"/>
      <c r="C861" s="1"/>
      <c r="D861" s="154">
        <v>882</v>
      </c>
      <c r="E861" s="3" t="s">
        <v>1251</v>
      </c>
      <c r="F861" s="3" t="s">
        <v>1252</v>
      </c>
      <c r="G861" s="2" t="s">
        <v>707</v>
      </c>
      <c r="H861" s="2" t="s">
        <v>59</v>
      </c>
      <c r="I861" s="156" t="str">
        <f t="shared" si="52"/>
        <v>2013</v>
      </c>
      <c r="J861" s="156">
        <v>2013</v>
      </c>
      <c r="K861" s="156"/>
      <c r="L861" s="2"/>
      <c r="M861" s="157" t="str">
        <f t="shared" si="53"/>
        <v>К</v>
      </c>
      <c r="N861" s="482" t="s">
        <v>442</v>
      </c>
      <c r="O861" s="4" t="s">
        <v>706</v>
      </c>
      <c r="P861" s="1"/>
      <c r="U861" s="1"/>
      <c r="V861" s="4"/>
      <c r="W861" s="3"/>
    </row>
    <row r="862" spans="1:24" x14ac:dyDescent="0.25">
      <c r="A862" s="154">
        <v>809</v>
      </c>
      <c r="B862" s="1"/>
      <c r="C862" s="1"/>
      <c r="D862" s="158">
        <v>913</v>
      </c>
      <c r="E862" s="3" t="s">
        <v>507</v>
      </c>
      <c r="F862" s="3" t="s">
        <v>508</v>
      </c>
      <c r="G862" s="2" t="s">
        <v>509</v>
      </c>
      <c r="H862" s="2" t="s">
        <v>510</v>
      </c>
      <c r="I862" s="156" t="str">
        <f t="shared" si="52"/>
        <v>2013</v>
      </c>
      <c r="J862" s="156">
        <v>2013</v>
      </c>
      <c r="K862" s="156"/>
      <c r="L862" s="2" t="s">
        <v>511</v>
      </c>
      <c r="M862" s="157" t="str">
        <f t="shared" si="53"/>
        <v>К08106043</v>
      </c>
      <c r="N862" s="482" t="s">
        <v>442</v>
      </c>
      <c r="O862" s="4" t="s">
        <v>466</v>
      </c>
      <c r="P862" s="1"/>
      <c r="S862" s="3"/>
      <c r="U862" s="1"/>
      <c r="V862" s="4"/>
      <c r="W862" s="3"/>
    </row>
    <row r="863" spans="1:24" x14ac:dyDescent="0.25">
      <c r="A863" s="158">
        <v>830</v>
      </c>
      <c r="B863" s="1"/>
      <c r="C863" s="457"/>
      <c r="D863" s="154">
        <v>800</v>
      </c>
      <c r="E863" s="709" t="s">
        <v>512</v>
      </c>
      <c r="F863" s="709" t="s">
        <v>514</v>
      </c>
      <c r="G863" s="710" t="s">
        <v>517</v>
      </c>
      <c r="H863" s="710" t="s">
        <v>51</v>
      </c>
      <c r="I863" s="156" t="str">
        <f t="shared" si="52"/>
        <v>2014</v>
      </c>
      <c r="J863" s="156">
        <v>2014</v>
      </c>
      <c r="K863" s="156"/>
      <c r="L863" s="2" t="s">
        <v>518</v>
      </c>
      <c r="M863" s="157" t="str">
        <f t="shared" si="53"/>
        <v>К7240000157</v>
      </c>
      <c r="N863" s="482" t="s">
        <v>442</v>
      </c>
      <c r="O863" s="4" t="s">
        <v>515</v>
      </c>
      <c r="P863" s="1"/>
      <c r="R863" s="3" t="s">
        <v>3971</v>
      </c>
      <c r="S863" s="3">
        <v>40525</v>
      </c>
      <c r="U863" s="1"/>
      <c r="V863" s="4"/>
      <c r="W863" s="3"/>
    </row>
    <row r="864" spans="1:24" x14ac:dyDescent="0.25">
      <c r="A864" s="154">
        <v>827</v>
      </c>
      <c r="B864" s="1"/>
      <c r="C864" s="457" t="s">
        <v>3693</v>
      </c>
      <c r="D864" s="154">
        <v>803</v>
      </c>
      <c r="E864" s="709" t="s">
        <v>512</v>
      </c>
      <c r="F864" s="709" t="s">
        <v>514</v>
      </c>
      <c r="G864" s="710" t="s">
        <v>524</v>
      </c>
      <c r="H864" s="710" t="s">
        <v>51</v>
      </c>
      <c r="I864" s="156" t="str">
        <f t="shared" si="52"/>
        <v>2014</v>
      </c>
      <c r="J864" s="156">
        <v>2014</v>
      </c>
      <c r="K864" s="156"/>
      <c r="L864" s="2" t="s">
        <v>525</v>
      </c>
      <c r="M864" s="157" t="str">
        <f t="shared" si="53"/>
        <v>К7240000154</v>
      </c>
      <c r="N864" s="482" t="s">
        <v>442</v>
      </c>
      <c r="O864" s="4" t="s">
        <v>515</v>
      </c>
      <c r="P864" s="1"/>
      <c r="R864" s="295" t="s">
        <v>3971</v>
      </c>
      <c r="S864" s="310">
        <v>40525</v>
      </c>
      <c r="U864" s="1"/>
      <c r="V864" s="4"/>
      <c r="W864" s="162"/>
      <c r="X864" s="162" t="s">
        <v>3034</v>
      </c>
    </row>
    <row r="865" spans="1:24" x14ac:dyDescent="0.25">
      <c r="A865" s="154"/>
      <c r="B865" s="1"/>
      <c r="C865" s="457" t="s">
        <v>3034</v>
      </c>
      <c r="D865" s="158">
        <v>806</v>
      </c>
      <c r="E865" s="170" t="s">
        <v>3728</v>
      </c>
      <c r="F865" s="170" t="s">
        <v>556</v>
      </c>
      <c r="G865" s="2" t="s">
        <v>557</v>
      </c>
      <c r="H865" s="2" t="s">
        <v>51</v>
      </c>
      <c r="I865" s="156" t="str">
        <f t="shared" si="52"/>
        <v>2014</v>
      </c>
      <c r="J865" s="156">
        <v>2014</v>
      </c>
      <c r="K865" s="156"/>
      <c r="L865" s="2" t="s">
        <v>558</v>
      </c>
      <c r="M865" s="157" t="str">
        <f t="shared" si="53"/>
        <v>К2360000382</v>
      </c>
      <c r="N865" s="482" t="s">
        <v>442</v>
      </c>
      <c r="O865" s="4" t="s">
        <v>515</v>
      </c>
      <c r="P865" s="1"/>
      <c r="R865" s="170" t="s">
        <v>3731</v>
      </c>
      <c r="S865" s="455" t="s">
        <v>3732</v>
      </c>
      <c r="U865" s="1"/>
      <c r="V865" s="4"/>
      <c r="W865" s="162"/>
      <c r="X865" s="162" t="s">
        <v>3034</v>
      </c>
    </row>
    <row r="866" spans="1:24" x14ac:dyDescent="0.25">
      <c r="A866" s="154"/>
      <c r="B866" s="1"/>
      <c r="C866" s="457" t="s">
        <v>3034</v>
      </c>
      <c r="D866" s="154">
        <v>807</v>
      </c>
      <c r="E866" s="170" t="s">
        <v>3728</v>
      </c>
      <c r="F866" s="3" t="s">
        <v>556</v>
      </c>
      <c r="G866" s="2" t="s">
        <v>559</v>
      </c>
      <c r="H866" s="2" t="s">
        <v>51</v>
      </c>
      <c r="I866" s="156" t="str">
        <f t="shared" si="52"/>
        <v>2014</v>
      </c>
      <c r="J866" s="156">
        <v>2014</v>
      </c>
      <c r="K866" s="156"/>
      <c r="L866" s="2" t="s">
        <v>560</v>
      </c>
      <c r="M866" s="157" t="str">
        <f t="shared" si="53"/>
        <v>К2360000383</v>
      </c>
      <c r="N866" s="482" t="s">
        <v>442</v>
      </c>
      <c r="O866" s="4" t="s">
        <v>515</v>
      </c>
      <c r="P866" s="1"/>
      <c r="R866" s="170" t="s">
        <v>3731</v>
      </c>
      <c r="S866" s="455" t="s">
        <v>3732</v>
      </c>
      <c r="U866" s="1"/>
      <c r="V866" s="4"/>
      <c r="W866" s="3"/>
    </row>
    <row r="867" spans="1:24" x14ac:dyDescent="0.25">
      <c r="A867" s="154"/>
      <c r="B867" s="1"/>
      <c r="C867" s="457" t="s">
        <v>3693</v>
      </c>
      <c r="D867" s="158">
        <v>825</v>
      </c>
      <c r="E867" s="711" t="s">
        <v>531</v>
      </c>
      <c r="F867" s="711" t="s">
        <v>532</v>
      </c>
      <c r="G867" s="712" t="s">
        <v>536</v>
      </c>
      <c r="H867" s="712" t="s">
        <v>41</v>
      </c>
      <c r="I867" s="156" t="str">
        <f t="shared" si="52"/>
        <v>2015</v>
      </c>
      <c r="J867" s="156">
        <v>2015</v>
      </c>
      <c r="K867" s="156"/>
      <c r="L867" s="2" t="s">
        <v>537</v>
      </c>
      <c r="M867" s="157" t="str">
        <f t="shared" si="53"/>
        <v>К7240000155</v>
      </c>
      <c r="N867" s="482" t="s">
        <v>442</v>
      </c>
      <c r="O867" s="4" t="s">
        <v>515</v>
      </c>
      <c r="P867" s="1"/>
    </row>
    <row r="868" spans="1:24" x14ac:dyDescent="0.25">
      <c r="A868" s="158">
        <v>788</v>
      </c>
      <c r="B868" s="1"/>
      <c r="C868" s="1"/>
      <c r="D868" s="158">
        <v>909</v>
      </c>
      <c r="E868" s="711" t="s">
        <v>660</v>
      </c>
      <c r="F868" s="711" t="s">
        <v>1210</v>
      </c>
      <c r="G868" s="712" t="s">
        <v>661</v>
      </c>
      <c r="H868" s="712" t="s">
        <v>662</v>
      </c>
      <c r="I868" s="156" t="str">
        <f t="shared" si="52"/>
        <v>2018</v>
      </c>
      <c r="J868" s="156">
        <v>2018</v>
      </c>
      <c r="K868" s="156"/>
      <c r="L868" s="2" t="s">
        <v>658</v>
      </c>
      <c r="M868" s="157" t="str">
        <f t="shared" si="53"/>
        <v>К21012400188</v>
      </c>
      <c r="N868" s="482" t="s">
        <v>442</v>
      </c>
      <c r="O868" s="4" t="s">
        <v>599</v>
      </c>
      <c r="P868" s="1" t="s">
        <v>659</v>
      </c>
      <c r="U868" s="1"/>
      <c r="V868" s="4" t="s">
        <v>741</v>
      </c>
      <c r="W868" s="3"/>
    </row>
    <row r="869" spans="1:24" x14ac:dyDescent="0.25">
      <c r="A869" s="158">
        <v>798</v>
      </c>
      <c r="B869" s="1"/>
      <c r="C869" s="457" t="s">
        <v>3693</v>
      </c>
      <c r="D869" s="158">
        <v>792</v>
      </c>
      <c r="E869" s="3" t="s">
        <v>564</v>
      </c>
      <c r="F869" s="170" t="s">
        <v>3760</v>
      </c>
      <c r="G869" s="463" t="s">
        <v>3782</v>
      </c>
      <c r="H869" s="178" t="s">
        <v>3761</v>
      </c>
      <c r="I869" s="156" t="str">
        <f t="shared" si="52"/>
        <v>2020</v>
      </c>
      <c r="J869" s="156">
        <v>2020</v>
      </c>
      <c r="K869" s="156"/>
      <c r="L869" s="2">
        <v>21012411823</v>
      </c>
      <c r="M869" s="157" t="str">
        <f t="shared" si="53"/>
        <v>К21012411823</v>
      </c>
      <c r="N869" s="482" t="s">
        <v>442</v>
      </c>
      <c r="O869" s="4" t="s">
        <v>567</v>
      </c>
      <c r="P869" s="1"/>
      <c r="U869" s="1"/>
      <c r="V869" s="4"/>
      <c r="W869" s="3"/>
    </row>
    <row r="870" spans="1:24" x14ac:dyDescent="0.25">
      <c r="A870" s="154">
        <v>799</v>
      </c>
      <c r="B870" s="1"/>
      <c r="C870" s="457" t="s">
        <v>3693</v>
      </c>
      <c r="D870" s="154">
        <v>793</v>
      </c>
      <c r="E870" s="3" t="s">
        <v>564</v>
      </c>
      <c r="F870" s="170" t="s">
        <v>3760</v>
      </c>
      <c r="G870" s="547" t="s">
        <v>3762</v>
      </c>
      <c r="H870" s="178" t="s">
        <v>3761</v>
      </c>
      <c r="I870" s="156" t="str">
        <f t="shared" si="52"/>
        <v>2020</v>
      </c>
      <c r="J870" s="156">
        <v>2020</v>
      </c>
      <c r="K870" s="156"/>
      <c r="L870" s="2">
        <v>41012411891</v>
      </c>
      <c r="M870" s="157" t="str">
        <f t="shared" si="53"/>
        <v>К41012411891</v>
      </c>
      <c r="N870" s="482" t="s">
        <v>442</v>
      </c>
      <c r="O870" s="4" t="s">
        <v>567</v>
      </c>
      <c r="P870" s="1"/>
      <c r="U870" s="1"/>
      <c r="V870" s="4"/>
      <c r="W870" s="3"/>
    </row>
    <row r="871" spans="1:24" x14ac:dyDescent="0.25">
      <c r="A871" s="158">
        <v>800</v>
      </c>
      <c r="B871" s="456"/>
      <c r="C871" s="457" t="s">
        <v>3693</v>
      </c>
      <c r="D871" s="154">
        <v>861</v>
      </c>
      <c r="E871" s="3" t="s">
        <v>444</v>
      </c>
      <c r="F871" s="563" t="s">
        <v>5595</v>
      </c>
      <c r="G871" s="540" t="s">
        <v>3846</v>
      </c>
      <c r="H871" s="564" t="s">
        <v>1868</v>
      </c>
      <c r="I871" s="156" t="str">
        <f t="shared" si="52"/>
        <v>2020</v>
      </c>
      <c r="J871" s="156">
        <v>2020</v>
      </c>
      <c r="K871" s="156"/>
      <c r="L871" s="2"/>
      <c r="M871" s="157" t="str">
        <f t="shared" si="53"/>
        <v>К</v>
      </c>
      <c r="N871" s="482" t="s">
        <v>442</v>
      </c>
      <c r="O871" s="181" t="s">
        <v>3745</v>
      </c>
      <c r="P871" s="1"/>
      <c r="R871" s="295" t="s">
        <v>3744</v>
      </c>
      <c r="S871" s="310">
        <v>41240</v>
      </c>
      <c r="U871" s="1"/>
      <c r="V871" s="4"/>
      <c r="W871" s="3"/>
    </row>
    <row r="872" spans="1:24" x14ac:dyDescent="0.25">
      <c r="A872" s="154">
        <v>801</v>
      </c>
      <c r="B872" s="456"/>
      <c r="C872" s="457" t="s">
        <v>3693</v>
      </c>
      <c r="D872" s="158">
        <v>862</v>
      </c>
      <c r="E872" s="3" t="s">
        <v>444</v>
      </c>
      <c r="F872" s="563" t="s">
        <v>5595</v>
      </c>
      <c r="G872" s="540" t="s">
        <v>3848</v>
      </c>
      <c r="H872" s="564" t="s">
        <v>1868</v>
      </c>
      <c r="I872" s="156" t="str">
        <f t="shared" si="52"/>
        <v>2020</v>
      </c>
      <c r="J872" s="156">
        <v>2020</v>
      </c>
      <c r="K872" s="156"/>
      <c r="L872" s="2"/>
      <c r="M872" s="157" t="str">
        <f t="shared" si="53"/>
        <v>К</v>
      </c>
      <c r="N872" s="482" t="s">
        <v>442</v>
      </c>
      <c r="O872" s="181" t="s">
        <v>3745</v>
      </c>
      <c r="P872" s="1"/>
      <c r="R872" s="295" t="s">
        <v>3744</v>
      </c>
      <c r="S872" s="310">
        <v>41240</v>
      </c>
      <c r="U872" s="1"/>
      <c r="V872" s="4"/>
      <c r="W872" s="3"/>
    </row>
    <row r="873" spans="1:24" x14ac:dyDescent="0.25">
      <c r="A873" s="154">
        <v>803</v>
      </c>
      <c r="B873" s="456"/>
      <c r="C873" s="481" t="s">
        <v>3693</v>
      </c>
      <c r="D873" s="154">
        <v>863</v>
      </c>
      <c r="E873" s="3" t="s">
        <v>444</v>
      </c>
      <c r="F873" s="563" t="s">
        <v>5595</v>
      </c>
      <c r="G873" s="540" t="s">
        <v>3850</v>
      </c>
      <c r="H873" s="564" t="s">
        <v>1868</v>
      </c>
      <c r="I873" s="156" t="str">
        <f t="shared" si="52"/>
        <v>2020</v>
      </c>
      <c r="J873" s="156">
        <v>2020</v>
      </c>
      <c r="K873" s="156"/>
      <c r="L873" s="2"/>
      <c r="M873" s="157" t="str">
        <f t="shared" si="53"/>
        <v>К</v>
      </c>
      <c r="N873" s="482" t="s">
        <v>442</v>
      </c>
      <c r="O873" s="544" t="s">
        <v>4144</v>
      </c>
      <c r="P873" s="1"/>
      <c r="R873" s="295" t="s">
        <v>3744</v>
      </c>
      <c r="S873" s="310">
        <v>41240</v>
      </c>
      <c r="U873" s="1"/>
      <c r="V873" s="4"/>
      <c r="W873" s="3"/>
    </row>
    <row r="874" spans="1:24" x14ac:dyDescent="0.25">
      <c r="A874" s="154">
        <v>811</v>
      </c>
      <c r="B874" s="1"/>
      <c r="C874" s="555" t="s">
        <v>3693</v>
      </c>
      <c r="D874" s="537"/>
      <c r="E874" s="3" t="s">
        <v>516</v>
      </c>
      <c r="F874" s="3" t="s">
        <v>544</v>
      </c>
      <c r="G874" s="556" t="s">
        <v>5586</v>
      </c>
      <c r="H874" s="557" t="s">
        <v>5584</v>
      </c>
      <c r="I874" s="156" t="str">
        <f t="shared" si="52"/>
        <v>2022</v>
      </c>
      <c r="J874" s="156">
        <v>2022</v>
      </c>
      <c r="K874" s="173"/>
      <c r="L874" s="2"/>
      <c r="M874" s="157"/>
      <c r="N874" s="482" t="s">
        <v>442</v>
      </c>
      <c r="O874" s="4" t="s">
        <v>2831</v>
      </c>
      <c r="P874" s="1"/>
      <c r="R874" s="170" t="s">
        <v>3746</v>
      </c>
      <c r="U874" s="1"/>
      <c r="V874" s="4"/>
      <c r="W874" s="3"/>
    </row>
    <row r="875" spans="1:24" x14ac:dyDescent="0.25">
      <c r="A875" s="158">
        <v>812</v>
      </c>
      <c r="B875" s="1"/>
      <c r="C875" s="455" t="s">
        <v>3693</v>
      </c>
      <c r="D875" s="154">
        <v>912</v>
      </c>
      <c r="E875" s="166" t="s">
        <v>2381</v>
      </c>
      <c r="F875" s="166" t="s">
        <v>698</v>
      </c>
      <c r="G875" s="505" t="s">
        <v>699</v>
      </c>
      <c r="H875" s="2"/>
      <c r="I875" s="156">
        <v>2008</v>
      </c>
      <c r="J875" s="156"/>
      <c r="K875" s="156"/>
      <c r="L875" s="2" t="s">
        <v>700</v>
      </c>
      <c r="M875" s="157" t="str">
        <f t="shared" ref="M875:M892" si="54">CONCATENATE("К",L875)</f>
        <v>К04700273</v>
      </c>
      <c r="N875" s="482" t="s">
        <v>442</v>
      </c>
      <c r="O875" s="4" t="s">
        <v>667</v>
      </c>
      <c r="P875" s="1"/>
      <c r="U875" s="1"/>
      <c r="V875" s="4"/>
      <c r="W875" s="3"/>
    </row>
    <row r="876" spans="1:24" s="162" customFormat="1" x14ac:dyDescent="0.25">
      <c r="A876" s="154">
        <v>813</v>
      </c>
      <c r="B876" s="1"/>
      <c r="C876" s="1"/>
      <c r="D876" s="154">
        <v>835</v>
      </c>
      <c r="E876" s="3" t="s">
        <v>572</v>
      </c>
      <c r="F876" s="3" t="s">
        <v>573</v>
      </c>
      <c r="G876" s="2" t="s">
        <v>574</v>
      </c>
      <c r="H876" s="2" t="s">
        <v>575</v>
      </c>
      <c r="I876" s="156" t="str">
        <f t="shared" ref="I876:I907" si="55">RIGHT(H876,4)</f>
        <v>2011</v>
      </c>
      <c r="J876" s="156"/>
      <c r="K876" s="156"/>
      <c r="L876" s="2" t="s">
        <v>576</v>
      </c>
      <c r="M876" s="157" t="str">
        <f t="shared" si="54"/>
        <v>К08103097</v>
      </c>
      <c r="N876" s="482" t="s">
        <v>442</v>
      </c>
      <c r="O876" s="4" t="s">
        <v>567</v>
      </c>
      <c r="P876" s="1"/>
      <c r="Q876" s="1"/>
      <c r="R876" s="3"/>
      <c r="S876" s="1"/>
      <c r="T876" s="3"/>
      <c r="U876" s="1"/>
      <c r="V876" s="4"/>
      <c r="W876" s="3"/>
      <c r="X876" s="3"/>
    </row>
    <row r="877" spans="1:24" x14ac:dyDescent="0.25">
      <c r="A877" s="158">
        <v>814</v>
      </c>
      <c r="B877" s="1"/>
      <c r="C877" s="1"/>
      <c r="D877" s="158">
        <v>836</v>
      </c>
      <c r="E877" s="166" t="s">
        <v>2375</v>
      </c>
      <c r="F877" s="3" t="s">
        <v>616</v>
      </c>
      <c r="G877" s="2" t="s">
        <v>577</v>
      </c>
      <c r="H877" s="2" t="s">
        <v>578</v>
      </c>
      <c r="I877" s="156" t="str">
        <f t="shared" si="55"/>
        <v>2012</v>
      </c>
      <c r="J877" s="156"/>
      <c r="K877" s="156"/>
      <c r="L877" s="2" t="s">
        <v>579</v>
      </c>
      <c r="M877" s="157" t="str">
        <f t="shared" si="54"/>
        <v>К08104227</v>
      </c>
      <c r="N877" s="482" t="s">
        <v>442</v>
      </c>
      <c r="O877" s="4" t="s">
        <v>567</v>
      </c>
      <c r="P877" s="1"/>
      <c r="U877" s="1"/>
      <c r="V877" s="4"/>
      <c r="W877" s="3"/>
    </row>
    <row r="878" spans="1:24" x14ac:dyDescent="0.25">
      <c r="A878" s="154">
        <v>831</v>
      </c>
      <c r="B878" s="1"/>
      <c r="C878" s="1"/>
      <c r="D878" s="158">
        <v>837</v>
      </c>
      <c r="E878" s="166" t="s">
        <v>2375</v>
      </c>
      <c r="F878" s="3" t="s">
        <v>616</v>
      </c>
      <c r="G878" s="2" t="s">
        <v>617</v>
      </c>
      <c r="H878" s="2" t="s">
        <v>578</v>
      </c>
      <c r="I878" s="156" t="str">
        <f t="shared" si="55"/>
        <v>2012</v>
      </c>
      <c r="J878" s="156"/>
      <c r="K878" s="156"/>
      <c r="L878" s="2" t="s">
        <v>618</v>
      </c>
      <c r="M878" s="157" t="str">
        <f t="shared" si="54"/>
        <v>К08104219</v>
      </c>
      <c r="N878" s="482" t="s">
        <v>442</v>
      </c>
      <c r="O878" s="4" t="s">
        <v>599</v>
      </c>
      <c r="P878" s="1"/>
      <c r="U878" s="1"/>
      <c r="V878" s="4"/>
      <c r="W878" s="3"/>
    </row>
    <row r="879" spans="1:24" x14ac:dyDescent="0.25">
      <c r="A879" s="158">
        <v>850</v>
      </c>
      <c r="B879" s="1"/>
      <c r="C879" s="1"/>
      <c r="D879" s="154">
        <v>838</v>
      </c>
      <c r="E879" s="166" t="s">
        <v>2375</v>
      </c>
      <c r="F879" s="3" t="s">
        <v>616</v>
      </c>
      <c r="G879" s="2" t="s">
        <v>619</v>
      </c>
      <c r="H879" s="2" t="s">
        <v>578</v>
      </c>
      <c r="I879" s="156" t="str">
        <f t="shared" si="55"/>
        <v>2012</v>
      </c>
      <c r="J879" s="156"/>
      <c r="K879" s="156"/>
      <c r="L879" s="2" t="s">
        <v>620</v>
      </c>
      <c r="M879" s="157" t="str">
        <f t="shared" si="54"/>
        <v>К08104221</v>
      </c>
      <c r="N879" s="482" t="s">
        <v>442</v>
      </c>
      <c r="O879" s="4" t="s">
        <v>599</v>
      </c>
      <c r="P879" s="1"/>
      <c r="U879" s="1"/>
      <c r="V879" s="4"/>
      <c r="W879" s="3"/>
    </row>
    <row r="880" spans="1:24" x14ac:dyDescent="0.25">
      <c r="A880" s="154">
        <v>853</v>
      </c>
      <c r="B880" s="1"/>
      <c r="C880" s="1"/>
      <c r="D880" s="158">
        <v>839</v>
      </c>
      <c r="E880" s="166" t="s">
        <v>2375</v>
      </c>
      <c r="F880" s="3" t="s">
        <v>616</v>
      </c>
      <c r="G880" s="2" t="s">
        <v>621</v>
      </c>
      <c r="H880" s="2" t="s">
        <v>578</v>
      </c>
      <c r="I880" s="156" t="str">
        <f t="shared" si="55"/>
        <v>2012</v>
      </c>
      <c r="J880" s="156"/>
      <c r="K880" s="156"/>
      <c r="L880" s="2" t="s">
        <v>622</v>
      </c>
      <c r="M880" s="157" t="str">
        <f t="shared" si="54"/>
        <v>К08104224</v>
      </c>
      <c r="N880" s="482" t="s">
        <v>442</v>
      </c>
      <c r="O880" s="4" t="s">
        <v>599</v>
      </c>
      <c r="P880" s="1"/>
      <c r="U880" s="1"/>
      <c r="V880" s="4" t="s">
        <v>729</v>
      </c>
      <c r="W880" s="3"/>
    </row>
    <row r="881" spans="1:24" x14ac:dyDescent="0.25">
      <c r="A881" s="158">
        <v>858</v>
      </c>
      <c r="B881" s="1"/>
      <c r="C881" s="1"/>
      <c r="D881" s="154">
        <v>840</v>
      </c>
      <c r="E881" s="166" t="s">
        <v>2375</v>
      </c>
      <c r="F881" s="3" t="s">
        <v>616</v>
      </c>
      <c r="G881" s="2" t="s">
        <v>623</v>
      </c>
      <c r="H881" s="502" t="s">
        <v>578</v>
      </c>
      <c r="I881" s="156" t="str">
        <f t="shared" si="55"/>
        <v>2012</v>
      </c>
      <c r="J881" s="156"/>
      <c r="K881" s="156"/>
      <c r="L881" s="2" t="s">
        <v>624</v>
      </c>
      <c r="M881" s="157" t="str">
        <f t="shared" si="54"/>
        <v>К08104228</v>
      </c>
      <c r="N881" s="482" t="s">
        <v>442</v>
      </c>
      <c r="O881" s="4" t="s">
        <v>599</v>
      </c>
      <c r="P881" s="1"/>
      <c r="U881" s="1"/>
      <c r="V881" s="4"/>
      <c r="W881" s="3"/>
    </row>
    <row r="882" spans="1:24" ht="30" x14ac:dyDescent="0.25">
      <c r="A882" s="154">
        <v>861</v>
      </c>
      <c r="B882" s="1"/>
      <c r="C882" s="457" t="s">
        <v>3034</v>
      </c>
      <c r="D882" s="154">
        <v>901</v>
      </c>
      <c r="E882" s="3" t="s">
        <v>499</v>
      </c>
      <c r="F882" s="3" t="s">
        <v>500</v>
      </c>
      <c r="G882" s="2" t="s">
        <v>501</v>
      </c>
      <c r="H882" s="503" t="s">
        <v>159</v>
      </c>
      <c r="I882" s="504" t="str">
        <f t="shared" si="55"/>
        <v>2012</v>
      </c>
      <c r="J882" s="504"/>
      <c r="K882" s="156"/>
      <c r="L882" s="2" t="s">
        <v>502</v>
      </c>
      <c r="M882" s="157" t="str">
        <f t="shared" si="54"/>
        <v>К08103944,
7360000331</v>
      </c>
      <c r="N882" s="482" t="s">
        <v>442</v>
      </c>
      <c r="O882" s="4" t="s">
        <v>466</v>
      </c>
      <c r="P882" s="1"/>
      <c r="U882" s="1"/>
      <c r="V882" s="4"/>
      <c r="W882" s="3"/>
    </row>
    <row r="883" spans="1:24" x14ac:dyDescent="0.25">
      <c r="A883" s="154">
        <v>1191</v>
      </c>
      <c r="B883" s="1"/>
      <c r="C883" s="1"/>
      <c r="D883" s="158">
        <v>900</v>
      </c>
      <c r="E883" s="3" t="s">
        <v>712</v>
      </c>
      <c r="F883" s="3" t="s">
        <v>713</v>
      </c>
      <c r="G883" s="2" t="s">
        <v>714</v>
      </c>
      <c r="H883" s="2" t="s">
        <v>715</v>
      </c>
      <c r="I883" s="156" t="str">
        <f t="shared" si="55"/>
        <v>2013</v>
      </c>
      <c r="J883" s="156"/>
      <c r="K883" s="156"/>
      <c r="L883" s="2" t="s">
        <v>716</v>
      </c>
      <c r="M883" s="157" t="str">
        <f t="shared" si="54"/>
        <v>К2360000229</v>
      </c>
      <c r="N883" s="482" t="s">
        <v>442</v>
      </c>
      <c r="O883" s="4" t="s">
        <v>706</v>
      </c>
      <c r="P883" s="1"/>
      <c r="U883" s="1"/>
      <c r="V883" s="4"/>
      <c r="W883" s="3"/>
    </row>
    <row r="884" spans="1:24" x14ac:dyDescent="0.25">
      <c r="A884" s="154">
        <v>755</v>
      </c>
      <c r="B884" s="1"/>
      <c r="C884" s="1"/>
      <c r="D884" s="154">
        <v>833</v>
      </c>
      <c r="E884" s="3" t="s">
        <v>538</v>
      </c>
      <c r="F884" s="3" t="s">
        <v>539</v>
      </c>
      <c r="G884" s="2" t="s">
        <v>540</v>
      </c>
      <c r="H884" s="2" t="s">
        <v>66</v>
      </c>
      <c r="I884" s="156" t="str">
        <f t="shared" si="55"/>
        <v>2019</v>
      </c>
      <c r="J884" s="156"/>
      <c r="K884" s="156"/>
      <c r="L884" s="2"/>
      <c r="M884" s="157" t="str">
        <f t="shared" si="54"/>
        <v>К</v>
      </c>
      <c r="N884" s="482" t="s">
        <v>442</v>
      </c>
      <c r="O884" s="4" t="s">
        <v>515</v>
      </c>
      <c r="P884" s="1"/>
      <c r="S884" s="3"/>
      <c r="T884" s="162"/>
      <c r="U884" s="167"/>
      <c r="V884" s="168" t="s">
        <v>103</v>
      </c>
      <c r="W884" s="3"/>
    </row>
    <row r="885" spans="1:24" x14ac:dyDescent="0.25">
      <c r="A885" s="154">
        <v>843</v>
      </c>
      <c r="B885" s="136" t="s">
        <v>3552</v>
      </c>
      <c r="C885" s="136"/>
      <c r="D885" s="154">
        <v>814</v>
      </c>
      <c r="E885" s="138" t="s">
        <v>3555</v>
      </c>
      <c r="F885" s="3" t="s">
        <v>733</v>
      </c>
      <c r="G885" s="2" t="s">
        <v>734</v>
      </c>
      <c r="H885" s="2" t="s">
        <v>735</v>
      </c>
      <c r="I885" s="156" t="str">
        <f t="shared" si="55"/>
        <v>2000</v>
      </c>
      <c r="J885" s="156"/>
      <c r="K885" s="156"/>
      <c r="L885" s="2" t="s">
        <v>736</v>
      </c>
      <c r="M885" s="157" t="str">
        <f t="shared" si="54"/>
        <v>К08102755</v>
      </c>
      <c r="N885" s="482" t="s">
        <v>442</v>
      </c>
      <c r="O885" s="4"/>
      <c r="P885" s="1"/>
      <c r="T885" s="162"/>
      <c r="U885" s="167"/>
      <c r="V885" s="168" t="s">
        <v>103</v>
      </c>
      <c r="W885" s="3"/>
    </row>
    <row r="886" spans="1:24" s="162" customFormat="1" x14ac:dyDescent="0.25">
      <c r="A886" s="158">
        <v>844</v>
      </c>
      <c r="B886" s="167"/>
      <c r="C886" s="167"/>
      <c r="D886" s="154">
        <v>789</v>
      </c>
      <c r="E886" s="162" t="s">
        <v>461</v>
      </c>
      <c r="F886" s="162" t="s">
        <v>462</v>
      </c>
      <c r="G886" s="449" t="s">
        <v>463</v>
      </c>
      <c r="H886" s="449" t="s">
        <v>464</v>
      </c>
      <c r="I886" s="156" t="str">
        <f t="shared" si="55"/>
        <v>2006</v>
      </c>
      <c r="J886" s="156"/>
      <c r="K886" s="156"/>
      <c r="L886" s="2" t="s">
        <v>465</v>
      </c>
      <c r="M886" s="157" t="str">
        <f t="shared" si="54"/>
        <v>К04700014</v>
      </c>
      <c r="N886" s="482" t="s">
        <v>442</v>
      </c>
      <c r="O886" s="4" t="s">
        <v>466</v>
      </c>
      <c r="P886" s="167"/>
      <c r="Q886" s="1"/>
      <c r="R886" s="3"/>
      <c r="S886" s="3"/>
      <c r="U886" s="167"/>
      <c r="V886" s="168"/>
    </row>
    <row r="887" spans="1:24" x14ac:dyDescent="0.25">
      <c r="A887" s="154">
        <v>1193</v>
      </c>
      <c r="B887" s="167"/>
      <c r="C887" s="167"/>
      <c r="D887" s="158">
        <v>864</v>
      </c>
      <c r="E887" s="162" t="s">
        <v>634</v>
      </c>
      <c r="F887" s="162" t="s">
        <v>635</v>
      </c>
      <c r="G887" s="449" t="s">
        <v>636</v>
      </c>
      <c r="H887" s="449" t="s">
        <v>637</v>
      </c>
      <c r="I887" s="156" t="str">
        <f t="shared" si="55"/>
        <v>2008</v>
      </c>
      <c r="J887" s="156"/>
      <c r="K887" s="156"/>
      <c r="L887" s="2" t="s">
        <v>638</v>
      </c>
      <c r="M887" s="157" t="str">
        <f t="shared" si="54"/>
        <v>К08103083</v>
      </c>
      <c r="N887" s="482" t="s">
        <v>442</v>
      </c>
      <c r="O887" s="4" t="s">
        <v>599</v>
      </c>
      <c r="P887" s="167"/>
      <c r="U887" s="1"/>
      <c r="V887" s="4"/>
      <c r="W887" s="3"/>
    </row>
    <row r="888" spans="1:24" x14ac:dyDescent="0.25">
      <c r="A888" s="154"/>
      <c r="B888" s="167"/>
      <c r="C888" s="167"/>
      <c r="D888" s="495">
        <v>790</v>
      </c>
      <c r="E888" s="162" t="s">
        <v>663</v>
      </c>
      <c r="F888" s="162" t="s">
        <v>664</v>
      </c>
      <c r="G888" s="449" t="s">
        <v>665</v>
      </c>
      <c r="H888" s="449" t="s">
        <v>5628</v>
      </c>
      <c r="I888" s="495" t="str">
        <f t="shared" si="55"/>
        <v>2011</v>
      </c>
      <c r="J888" s="495"/>
      <c r="K888" s="495"/>
      <c r="L888" s="449" t="s">
        <v>666</v>
      </c>
      <c r="M888" s="496" t="str">
        <f t="shared" si="54"/>
        <v>К08102900_3</v>
      </c>
      <c r="N888" s="162" t="s">
        <v>442</v>
      </c>
      <c r="O888" s="168" t="s">
        <v>667</v>
      </c>
      <c r="P888" s="167"/>
      <c r="Q888" s="167"/>
      <c r="R888" s="162"/>
      <c r="S888" s="162"/>
      <c r="U888" s="1"/>
      <c r="V888" s="4"/>
      <c r="W888" s="3"/>
    </row>
    <row r="889" spans="1:24" x14ac:dyDescent="0.25">
      <c r="A889" s="154"/>
      <c r="B889" s="1"/>
      <c r="C889" s="457" t="s">
        <v>3034</v>
      </c>
      <c r="D889" s="158">
        <v>883</v>
      </c>
      <c r="E889" s="162" t="s">
        <v>24</v>
      </c>
      <c r="F889" s="162" t="s">
        <v>104</v>
      </c>
      <c r="G889" s="449"/>
      <c r="H889" s="2">
        <v>2011</v>
      </c>
      <c r="I889" s="495" t="str">
        <f t="shared" si="55"/>
        <v>2011</v>
      </c>
      <c r="J889" s="495"/>
      <c r="K889" s="495"/>
      <c r="L889" s="449" t="s">
        <v>449</v>
      </c>
      <c r="M889" s="496" t="str">
        <f t="shared" si="54"/>
        <v>К08103003</v>
      </c>
      <c r="N889" s="162" t="s">
        <v>442</v>
      </c>
      <c r="O889" s="168" t="s">
        <v>450</v>
      </c>
      <c r="P889" s="1"/>
      <c r="U889" s="1"/>
      <c r="V889" s="4"/>
      <c r="W889" s="3"/>
    </row>
    <row r="890" spans="1:24" x14ac:dyDescent="0.25">
      <c r="A890" s="154"/>
      <c r="B890" s="1"/>
      <c r="C890" s="457" t="s">
        <v>3034</v>
      </c>
      <c r="D890" s="154">
        <v>884</v>
      </c>
      <c r="E890" s="3" t="s">
        <v>24</v>
      </c>
      <c r="F890" s="3" t="s">
        <v>104</v>
      </c>
      <c r="G890" s="2"/>
      <c r="H890" s="2">
        <v>2011</v>
      </c>
      <c r="I890" s="156" t="str">
        <f t="shared" si="55"/>
        <v>2011</v>
      </c>
      <c r="J890" s="156"/>
      <c r="K890" s="156"/>
      <c r="L890" s="2" t="s">
        <v>489</v>
      </c>
      <c r="M890" s="157" t="str">
        <f t="shared" si="54"/>
        <v>К08102998</v>
      </c>
      <c r="N890" s="482" t="s">
        <v>442</v>
      </c>
      <c r="O890" s="4" t="s">
        <v>466</v>
      </c>
      <c r="P890" s="1"/>
      <c r="U890" s="1"/>
      <c r="V890" s="4"/>
      <c r="W890" s="162"/>
      <c r="X890" s="162" t="s">
        <v>3034</v>
      </c>
    </row>
    <row r="891" spans="1:24" x14ac:dyDescent="0.25">
      <c r="A891" s="154">
        <v>847</v>
      </c>
      <c r="B891" s="1"/>
      <c r="C891" s="457" t="s">
        <v>3034</v>
      </c>
      <c r="D891" s="158">
        <v>885</v>
      </c>
      <c r="E891" s="3" t="s">
        <v>24</v>
      </c>
      <c r="F891" s="3" t="s">
        <v>37</v>
      </c>
      <c r="G891" s="2" t="s">
        <v>583</v>
      </c>
      <c r="H891" s="2" t="s">
        <v>159</v>
      </c>
      <c r="I891" s="156" t="str">
        <f t="shared" si="55"/>
        <v>2012</v>
      </c>
      <c r="J891" s="156"/>
      <c r="K891" s="156"/>
      <c r="L891" s="2" t="s">
        <v>584</v>
      </c>
      <c r="M891" s="157" t="str">
        <f t="shared" si="54"/>
        <v>К71012400063</v>
      </c>
      <c r="N891" s="482" t="s">
        <v>442</v>
      </c>
      <c r="O891" s="4" t="s">
        <v>567</v>
      </c>
      <c r="P891" s="1"/>
      <c r="U891" s="1"/>
      <c r="V891" s="4"/>
      <c r="W891" s="3"/>
    </row>
    <row r="892" spans="1:24" x14ac:dyDescent="0.25">
      <c r="A892" s="154">
        <v>845</v>
      </c>
      <c r="B892" s="136" t="s">
        <v>3552</v>
      </c>
      <c r="C892" s="136"/>
      <c r="D892" s="154">
        <v>810</v>
      </c>
      <c r="E892" s="138" t="s">
        <v>3555</v>
      </c>
      <c r="F892" s="3" t="s">
        <v>455</v>
      </c>
      <c r="G892" s="2" t="s">
        <v>456</v>
      </c>
      <c r="H892" s="2" t="s">
        <v>59</v>
      </c>
      <c r="I892" s="156" t="str">
        <f t="shared" si="55"/>
        <v>2013</v>
      </c>
      <c r="J892" s="156"/>
      <c r="K892" s="156"/>
      <c r="L892" s="2" t="s">
        <v>457</v>
      </c>
      <c r="M892" s="157" t="str">
        <f t="shared" si="54"/>
        <v>К08105905</v>
      </c>
      <c r="N892" s="482" t="s">
        <v>442</v>
      </c>
      <c r="O892" s="4" t="s">
        <v>458</v>
      </c>
      <c r="P892" s="1"/>
      <c r="S892" s="3"/>
      <c r="U892" s="1"/>
      <c r="V892" s="4"/>
      <c r="W892" s="3"/>
    </row>
    <row r="893" spans="1:24" x14ac:dyDescent="0.25">
      <c r="A893" s="158">
        <v>846</v>
      </c>
      <c r="B893" s="456"/>
      <c r="C893" s="481" t="s">
        <v>3640</v>
      </c>
      <c r="D893" s="158">
        <v>904</v>
      </c>
      <c r="E893" s="482" t="s">
        <v>2320</v>
      </c>
      <c r="F893" s="533" t="s">
        <v>5541</v>
      </c>
      <c r="G893" s="540" t="s">
        <v>5542</v>
      </c>
      <c r="H893" s="497" t="s">
        <v>51</v>
      </c>
      <c r="I893" s="156" t="str">
        <f t="shared" si="55"/>
        <v>2014</v>
      </c>
      <c r="J893" s="156"/>
      <c r="K893" s="156"/>
      <c r="L893" s="2"/>
      <c r="M893" s="157"/>
      <c r="N893" s="482" t="s">
        <v>442</v>
      </c>
      <c r="O893" s="4" t="s">
        <v>567</v>
      </c>
      <c r="P893" s="1"/>
      <c r="R893" s="295"/>
      <c r="S893" s="310"/>
      <c r="U893" s="1"/>
      <c r="V893" s="4"/>
      <c r="W893" s="3"/>
    </row>
    <row r="894" spans="1:24" x14ac:dyDescent="0.25">
      <c r="A894" s="154">
        <v>1199</v>
      </c>
      <c r="B894" s="456"/>
      <c r="C894" s="481" t="s">
        <v>3640</v>
      </c>
      <c r="D894" s="158">
        <v>906</v>
      </c>
      <c r="E894" s="482" t="s">
        <v>2320</v>
      </c>
      <c r="F894" s="533" t="s">
        <v>5541</v>
      </c>
      <c r="G894" s="540" t="s">
        <v>5544</v>
      </c>
      <c r="H894" s="497" t="s">
        <v>51</v>
      </c>
      <c r="I894" s="156" t="str">
        <f t="shared" si="55"/>
        <v>2014</v>
      </c>
      <c r="J894" s="156"/>
      <c r="K894" s="156"/>
      <c r="L894" s="2"/>
      <c r="M894" s="157"/>
      <c r="N894" s="482" t="s">
        <v>442</v>
      </c>
      <c r="O894" s="483" t="s">
        <v>4144</v>
      </c>
      <c r="P894" s="1"/>
      <c r="R894" s="295"/>
      <c r="S894" s="310"/>
      <c r="U894" s="1"/>
      <c r="V894" s="4"/>
      <c r="W894" s="3"/>
    </row>
    <row r="895" spans="1:24" x14ac:dyDescent="0.25">
      <c r="A895" s="158">
        <v>1200</v>
      </c>
      <c r="B895" s="136" t="s">
        <v>3552</v>
      </c>
      <c r="C895" s="136"/>
      <c r="D895" s="154">
        <v>812</v>
      </c>
      <c r="E895" s="138" t="s">
        <v>3555</v>
      </c>
      <c r="F895" s="3" t="s">
        <v>467</v>
      </c>
      <c r="G895" s="2" t="s">
        <v>468</v>
      </c>
      <c r="H895" s="2" t="s">
        <v>41</v>
      </c>
      <c r="I895" s="156" t="str">
        <f t="shared" si="55"/>
        <v>2015</v>
      </c>
      <c r="J895" s="156"/>
      <c r="K895" s="156"/>
      <c r="L895" s="2" t="s">
        <v>469</v>
      </c>
      <c r="M895" s="157" t="str">
        <f>CONCATENATE("К",L895)</f>
        <v>К7340000239</v>
      </c>
      <c r="N895" s="482" t="s">
        <v>442</v>
      </c>
      <c r="O895" s="4" t="s">
        <v>466</v>
      </c>
      <c r="P895" s="1"/>
      <c r="S895" s="3"/>
      <c r="U895" s="1"/>
      <c r="V895" s="4"/>
      <c r="W895" s="162"/>
      <c r="X895" s="162" t="s">
        <v>3034</v>
      </c>
    </row>
    <row r="896" spans="1:24" x14ac:dyDescent="0.25">
      <c r="A896" s="158">
        <v>840</v>
      </c>
      <c r="B896" s="136" t="s">
        <v>3552</v>
      </c>
      <c r="C896" s="136"/>
      <c r="D896" s="158">
        <v>813</v>
      </c>
      <c r="E896" s="138" t="s">
        <v>3555</v>
      </c>
      <c r="F896" s="3" t="s">
        <v>467</v>
      </c>
      <c r="G896" s="2" t="s">
        <v>470</v>
      </c>
      <c r="H896" s="2" t="s">
        <v>41</v>
      </c>
      <c r="I896" s="156" t="str">
        <f t="shared" si="55"/>
        <v>2015</v>
      </c>
      <c r="J896" s="156"/>
      <c r="K896" s="156"/>
      <c r="L896" s="2" t="s">
        <v>471</v>
      </c>
      <c r="M896" s="157" t="str">
        <f>CONCATENATE("К",L896)</f>
        <v>К7340000240</v>
      </c>
      <c r="N896" s="482" t="s">
        <v>442</v>
      </c>
      <c r="O896" s="4" t="s">
        <v>466</v>
      </c>
      <c r="P896" s="1"/>
      <c r="S896" s="3"/>
      <c r="U896" s="1"/>
      <c r="V896" s="4"/>
      <c r="W896" s="3"/>
    </row>
    <row r="897" spans="1:24" x14ac:dyDescent="0.25">
      <c r="A897" s="154">
        <v>863</v>
      </c>
      <c r="B897" s="456"/>
      <c r="C897" s="481" t="s">
        <v>3640</v>
      </c>
      <c r="D897" s="154">
        <v>905</v>
      </c>
      <c r="E897" s="482" t="s">
        <v>2320</v>
      </c>
      <c r="F897" s="533" t="s">
        <v>5528</v>
      </c>
      <c r="G897" s="540" t="s">
        <v>5543</v>
      </c>
      <c r="H897" s="497" t="s">
        <v>41</v>
      </c>
      <c r="I897" s="156" t="str">
        <f t="shared" si="55"/>
        <v>2015</v>
      </c>
      <c r="J897" s="156"/>
      <c r="K897" s="156"/>
      <c r="L897" s="2"/>
      <c r="M897" s="157"/>
      <c r="N897" s="482" t="s">
        <v>442</v>
      </c>
      <c r="O897" s="4" t="s">
        <v>567</v>
      </c>
      <c r="P897" s="1"/>
      <c r="R897" s="295"/>
      <c r="S897" s="310"/>
      <c r="U897" s="1"/>
      <c r="V897" s="4"/>
      <c r="W897" s="3"/>
    </row>
    <row r="898" spans="1:24" x14ac:dyDescent="0.25">
      <c r="A898" s="154">
        <v>817</v>
      </c>
      <c r="B898" s="1"/>
      <c r="C898" s="457" t="s">
        <v>3034</v>
      </c>
      <c r="D898" s="158">
        <v>830</v>
      </c>
      <c r="E898" s="3" t="s">
        <v>91</v>
      </c>
      <c r="F898" s="3" t="s">
        <v>613</v>
      </c>
      <c r="G898" s="2" t="s">
        <v>614</v>
      </c>
      <c r="H898" s="2" t="s">
        <v>615</v>
      </c>
      <c r="I898" s="156" t="str">
        <f t="shared" si="55"/>
        <v>2016</v>
      </c>
      <c r="J898" s="156"/>
      <c r="K898" s="156"/>
      <c r="L898" s="2">
        <v>7240000470</v>
      </c>
      <c r="M898" s="157" t="str">
        <f t="shared" ref="M898:M928" si="56">CONCATENATE("К",L898)</f>
        <v>К7240000470</v>
      </c>
      <c r="N898" s="482" t="s">
        <v>442</v>
      </c>
      <c r="O898" s="4" t="s">
        <v>599</v>
      </c>
      <c r="P898" s="1"/>
      <c r="U898" s="1"/>
      <c r="V898" s="4"/>
      <c r="W898" s="3"/>
    </row>
    <row r="899" spans="1:24" x14ac:dyDescent="0.25">
      <c r="A899" s="154">
        <v>819</v>
      </c>
      <c r="B899" s="1"/>
      <c r="C899" s="457" t="s">
        <v>3034</v>
      </c>
      <c r="D899" s="158">
        <v>829</v>
      </c>
      <c r="E899" s="3" t="s">
        <v>91</v>
      </c>
      <c r="F899" s="3" t="s">
        <v>92</v>
      </c>
      <c r="G899" s="2" t="s">
        <v>611</v>
      </c>
      <c r="H899" s="2" t="s">
        <v>66</v>
      </c>
      <c r="I899" s="156" t="str">
        <f t="shared" si="55"/>
        <v>2019</v>
      </c>
      <c r="J899" s="156"/>
      <c r="K899" s="156"/>
      <c r="L899" s="2">
        <v>21012400269</v>
      </c>
      <c r="M899" s="157" t="str">
        <f t="shared" si="56"/>
        <v>К21012400269</v>
      </c>
      <c r="N899" s="482" t="s">
        <v>442</v>
      </c>
      <c r="O899" s="4" t="s">
        <v>599</v>
      </c>
      <c r="P899" s="1"/>
      <c r="U899" s="1"/>
      <c r="V899" s="4"/>
      <c r="W899" s="3"/>
    </row>
    <row r="900" spans="1:24" x14ac:dyDescent="0.25">
      <c r="A900" s="154">
        <v>835</v>
      </c>
      <c r="B900" s="136" t="s">
        <v>3552</v>
      </c>
      <c r="C900" s="136"/>
      <c r="D900" s="158">
        <v>811</v>
      </c>
      <c r="E900" s="138" t="s">
        <v>3555</v>
      </c>
      <c r="F900" s="3" t="s">
        <v>472</v>
      </c>
      <c r="G900" s="2"/>
      <c r="H900" s="2"/>
      <c r="I900" s="156" t="str">
        <f t="shared" si="55"/>
        <v/>
      </c>
      <c r="J900" s="156"/>
      <c r="K900" s="156"/>
      <c r="L900" s="2" t="s">
        <v>473</v>
      </c>
      <c r="M900" s="157" t="str">
        <f t="shared" si="56"/>
        <v>К01370063</v>
      </c>
      <c r="N900" s="482" t="s">
        <v>442</v>
      </c>
      <c r="O900" s="4" t="s">
        <v>466</v>
      </c>
      <c r="P900" s="1"/>
      <c r="S900" s="3"/>
      <c r="U900" s="1"/>
      <c r="V900" s="4"/>
      <c r="W900" s="3"/>
    </row>
    <row r="901" spans="1:24" s="162" customFormat="1" x14ac:dyDescent="0.25">
      <c r="A901" s="158">
        <v>796</v>
      </c>
      <c r="B901" s="1"/>
      <c r="C901" s="1"/>
      <c r="D901" s="158">
        <v>816</v>
      </c>
      <c r="E901" s="3" t="s">
        <v>526</v>
      </c>
      <c r="F901" s="3"/>
      <c r="G901" s="2" t="s">
        <v>737</v>
      </c>
      <c r="H901" s="2"/>
      <c r="I901" s="156" t="str">
        <f t="shared" si="55"/>
        <v/>
      </c>
      <c r="J901" s="156"/>
      <c r="K901" s="156"/>
      <c r="L901" s="2" t="s">
        <v>738</v>
      </c>
      <c r="M901" s="157" t="str">
        <f t="shared" si="56"/>
        <v>К08104897</v>
      </c>
      <c r="N901" s="482" t="s">
        <v>442</v>
      </c>
      <c r="O901" s="4"/>
      <c r="P901" s="1"/>
      <c r="Q901" s="1"/>
      <c r="R901" s="3"/>
      <c r="S901" s="1"/>
      <c r="T901" s="3"/>
      <c r="U901" s="1"/>
      <c r="V901" s="4"/>
      <c r="W901" s="3"/>
      <c r="X901" s="3"/>
    </row>
    <row r="902" spans="1:24" x14ac:dyDescent="0.25">
      <c r="A902" s="158">
        <v>744</v>
      </c>
      <c r="B902" s="456" t="s">
        <v>3552</v>
      </c>
      <c r="C902" s="456"/>
      <c r="D902" s="154">
        <v>821</v>
      </c>
      <c r="E902" s="3" t="s">
        <v>2319</v>
      </c>
      <c r="F902" s="3" t="s">
        <v>686</v>
      </c>
      <c r="G902" s="2"/>
      <c r="H902" s="2"/>
      <c r="I902" s="156" t="str">
        <f t="shared" si="55"/>
        <v/>
      </c>
      <c r="J902" s="156"/>
      <c r="K902" s="156"/>
      <c r="L902" s="2" t="s">
        <v>687</v>
      </c>
      <c r="M902" s="157" t="str">
        <f t="shared" si="56"/>
        <v>К08102674_2</v>
      </c>
      <c r="N902" s="482" t="s">
        <v>442</v>
      </c>
      <c r="O902" s="4" t="s">
        <v>667</v>
      </c>
      <c r="P902" s="1"/>
      <c r="U902" s="1"/>
      <c r="V902" s="4"/>
      <c r="W902" s="3"/>
    </row>
    <row r="903" spans="1:24" x14ac:dyDescent="0.25">
      <c r="A903" s="154">
        <v>761</v>
      </c>
      <c r="B903" s="456" t="s">
        <v>3552</v>
      </c>
      <c r="C903" s="456"/>
      <c r="D903" s="158">
        <v>822</v>
      </c>
      <c r="E903" s="3" t="s">
        <v>2319</v>
      </c>
      <c r="F903" s="3"/>
      <c r="G903" s="2"/>
      <c r="H903" s="2"/>
      <c r="I903" s="156" t="str">
        <f t="shared" si="55"/>
        <v/>
      </c>
      <c r="J903" s="156"/>
      <c r="K903" s="156"/>
      <c r="L903" s="2" t="s">
        <v>688</v>
      </c>
      <c r="M903" s="157" t="str">
        <f t="shared" si="56"/>
        <v>К08107649</v>
      </c>
      <c r="N903" s="482" t="s">
        <v>442</v>
      </c>
      <c r="O903" s="4" t="s">
        <v>667</v>
      </c>
      <c r="P903" s="1"/>
      <c r="U903" s="153" t="s">
        <v>3646</v>
      </c>
      <c r="V903" s="4"/>
      <c r="W903" s="3"/>
    </row>
    <row r="904" spans="1:24" x14ac:dyDescent="0.25">
      <c r="A904" s="158">
        <v>818</v>
      </c>
      <c r="B904" s="456" t="s">
        <v>3552</v>
      </c>
      <c r="C904" s="456"/>
      <c r="D904" s="158">
        <v>823</v>
      </c>
      <c r="E904" s="3" t="s">
        <v>2319</v>
      </c>
      <c r="F904" s="3"/>
      <c r="G904" s="2"/>
      <c r="H904" s="2"/>
      <c r="I904" s="156" t="str">
        <f t="shared" si="55"/>
        <v/>
      </c>
      <c r="J904" s="156"/>
      <c r="K904" s="156"/>
      <c r="L904" s="2" t="s">
        <v>689</v>
      </c>
      <c r="M904" s="157" t="str">
        <f t="shared" si="56"/>
        <v>К08108764</v>
      </c>
      <c r="N904" s="482" t="s">
        <v>442</v>
      </c>
      <c r="O904" s="4" t="s">
        <v>667</v>
      </c>
      <c r="P904" s="1"/>
      <c r="U904" s="153" t="s">
        <v>3646</v>
      </c>
      <c r="V904" s="4" t="s">
        <v>490</v>
      </c>
      <c r="W904" s="162"/>
      <c r="X904" s="162" t="s">
        <v>3034</v>
      </c>
    </row>
    <row r="905" spans="1:24" x14ac:dyDescent="0.25">
      <c r="A905" s="154">
        <v>753</v>
      </c>
      <c r="B905" s="167"/>
      <c r="C905" s="167"/>
      <c r="D905" s="154">
        <v>831</v>
      </c>
      <c r="E905" s="162" t="s">
        <v>91</v>
      </c>
      <c r="F905" s="162" t="s">
        <v>92</v>
      </c>
      <c r="G905" s="449" t="s">
        <v>744</v>
      </c>
      <c r="H905" s="449"/>
      <c r="I905" s="156" t="str">
        <f t="shared" si="55"/>
        <v/>
      </c>
      <c r="J905" s="156"/>
      <c r="K905" s="156"/>
      <c r="L905" s="2" t="s">
        <v>745</v>
      </c>
      <c r="M905" s="157" t="str">
        <f t="shared" si="56"/>
        <v>К08105227</v>
      </c>
      <c r="N905" s="482" t="s">
        <v>442</v>
      </c>
      <c r="O905" s="4"/>
      <c r="P905" s="167"/>
      <c r="U905" s="153" t="s">
        <v>3646</v>
      </c>
      <c r="V905" s="4"/>
      <c r="W905" s="3"/>
    </row>
    <row r="906" spans="1:24" x14ac:dyDescent="0.25">
      <c r="A906" s="154">
        <v>781</v>
      </c>
      <c r="B906" s="1"/>
      <c r="C906" s="1"/>
      <c r="D906" s="158">
        <v>832</v>
      </c>
      <c r="E906" s="3" t="s">
        <v>668</v>
      </c>
      <c r="F906" s="3" t="s">
        <v>669</v>
      </c>
      <c r="G906" s="2" t="s">
        <v>670</v>
      </c>
      <c r="H906" s="2"/>
      <c r="I906" s="156" t="str">
        <f t="shared" si="55"/>
        <v/>
      </c>
      <c r="J906" s="156"/>
      <c r="K906" s="156"/>
      <c r="L906" s="2" t="s">
        <v>671</v>
      </c>
      <c r="M906" s="157" t="str">
        <f t="shared" si="56"/>
        <v>К08104158</v>
      </c>
      <c r="N906" s="482" t="s">
        <v>442</v>
      </c>
      <c r="O906" s="4" t="s">
        <v>667</v>
      </c>
      <c r="P906" s="1"/>
      <c r="U906" s="153" t="s">
        <v>3646</v>
      </c>
      <c r="V906" s="4"/>
      <c r="W906" s="3"/>
    </row>
    <row r="907" spans="1:24" x14ac:dyDescent="0.25">
      <c r="A907" s="158">
        <v>782</v>
      </c>
      <c r="B907" s="1"/>
      <c r="C907" s="455" t="s">
        <v>3034</v>
      </c>
      <c r="D907" s="158">
        <v>834</v>
      </c>
      <c r="E907" s="3" t="s">
        <v>154</v>
      </c>
      <c r="F907" s="3" t="s">
        <v>1139</v>
      </c>
      <c r="G907" s="2" t="s">
        <v>570</v>
      </c>
      <c r="H907" s="2"/>
      <c r="I907" s="156" t="str">
        <f t="shared" si="55"/>
        <v/>
      </c>
      <c r="J907" s="156"/>
      <c r="K907" s="156"/>
      <c r="L907" s="2" t="s">
        <v>571</v>
      </c>
      <c r="M907" s="157" t="str">
        <f t="shared" si="56"/>
        <v>К224000077</v>
      </c>
      <c r="N907" s="482" t="s">
        <v>442</v>
      </c>
      <c r="O907" s="4" t="s">
        <v>567</v>
      </c>
      <c r="P907" s="1"/>
      <c r="U907" s="153" t="s">
        <v>3646</v>
      </c>
      <c r="V907" s="4"/>
      <c r="W907" s="3"/>
    </row>
    <row r="908" spans="1:24" x14ac:dyDescent="0.25">
      <c r="A908" s="158">
        <v>820</v>
      </c>
      <c r="B908" s="1"/>
      <c r="C908" s="1"/>
      <c r="D908" s="154">
        <v>845</v>
      </c>
      <c r="E908" s="3" t="s">
        <v>747</v>
      </c>
      <c r="F908" s="3" t="s">
        <v>748</v>
      </c>
      <c r="G908" s="2"/>
      <c r="H908" s="2"/>
      <c r="I908" s="156" t="str">
        <f t="shared" ref="I908:I939" si="57">RIGHT(H908,4)</f>
        <v/>
      </c>
      <c r="J908" s="156"/>
      <c r="K908" s="156"/>
      <c r="L908" s="2" t="s">
        <v>749</v>
      </c>
      <c r="M908" s="157" t="str">
        <f t="shared" si="56"/>
        <v>К03100646</v>
      </c>
      <c r="N908" s="482" t="s">
        <v>442</v>
      </c>
      <c r="O908" s="4"/>
      <c r="P908" s="1"/>
      <c r="T908" s="162"/>
      <c r="U908" s="153" t="s">
        <v>3646</v>
      </c>
      <c r="V908" s="168" t="s">
        <v>746</v>
      </c>
      <c r="W908" s="3"/>
    </row>
    <row r="909" spans="1:24" x14ac:dyDescent="0.25">
      <c r="A909" s="154">
        <v>821</v>
      </c>
      <c r="B909" s="1"/>
      <c r="C909" s="1"/>
      <c r="D909" s="158">
        <v>846</v>
      </c>
      <c r="E909" s="3" t="s">
        <v>477</v>
      </c>
      <c r="F909" s="3" t="s">
        <v>478</v>
      </c>
      <c r="G909" s="2" t="s">
        <v>479</v>
      </c>
      <c r="H909" s="2"/>
      <c r="I909" s="156" t="str">
        <f t="shared" si="57"/>
        <v/>
      </c>
      <c r="J909" s="156"/>
      <c r="K909" s="156"/>
      <c r="L909" s="2" t="s">
        <v>480</v>
      </c>
      <c r="M909" s="157" t="str">
        <f t="shared" si="56"/>
        <v>К7240000725</v>
      </c>
      <c r="N909" s="482" t="s">
        <v>442</v>
      </c>
      <c r="O909" s="4" t="s">
        <v>466</v>
      </c>
      <c r="P909" s="1"/>
      <c r="S909" s="3"/>
      <c r="U909" s="1"/>
      <c r="V909" s="4"/>
      <c r="W909" s="3"/>
    </row>
    <row r="910" spans="1:24" x14ac:dyDescent="0.25">
      <c r="A910" s="158">
        <v>834</v>
      </c>
      <c r="B910" s="167"/>
      <c r="C910" s="167"/>
      <c r="D910" s="158">
        <v>865</v>
      </c>
      <c r="E910" s="162" t="s">
        <v>634</v>
      </c>
      <c r="F910" s="162" t="s">
        <v>635</v>
      </c>
      <c r="G910" s="449" t="s">
        <v>639</v>
      </c>
      <c r="H910" s="449"/>
      <c r="I910" s="156" t="str">
        <f t="shared" si="57"/>
        <v/>
      </c>
      <c r="J910" s="156"/>
      <c r="K910" s="156"/>
      <c r="L910" s="2" t="s">
        <v>640</v>
      </c>
      <c r="M910" s="157" t="str">
        <f t="shared" si="56"/>
        <v>К08103084_2</v>
      </c>
      <c r="N910" s="482" t="s">
        <v>442</v>
      </c>
      <c r="O910" s="4" t="s">
        <v>599</v>
      </c>
      <c r="P910" s="167"/>
      <c r="U910" s="1"/>
      <c r="V910" s="4"/>
      <c r="W910" s="3"/>
    </row>
    <row r="911" spans="1:24" x14ac:dyDescent="0.25">
      <c r="A911" s="158">
        <v>842</v>
      </c>
      <c r="B911" s="167"/>
      <c r="C911" s="167"/>
      <c r="D911" s="154">
        <v>866</v>
      </c>
      <c r="E911" s="162" t="s">
        <v>634</v>
      </c>
      <c r="F911" s="162" t="s">
        <v>635</v>
      </c>
      <c r="G911" s="449" t="s">
        <v>676</v>
      </c>
      <c r="H911" s="449"/>
      <c r="I911" s="495" t="str">
        <f t="shared" si="57"/>
        <v/>
      </c>
      <c r="J911" s="495"/>
      <c r="K911" s="495"/>
      <c r="L911" s="449" t="s">
        <v>677</v>
      </c>
      <c r="M911" s="496" t="str">
        <f t="shared" si="56"/>
        <v>К08103083_2</v>
      </c>
      <c r="N911" s="162" t="s">
        <v>442</v>
      </c>
      <c r="O911" s="168" t="s">
        <v>667</v>
      </c>
      <c r="P911" s="167"/>
      <c r="Q911" s="167"/>
      <c r="R911" s="162"/>
      <c r="S911" s="167"/>
      <c r="U911" s="1"/>
      <c r="V911" s="4"/>
      <c r="W911" s="3"/>
    </row>
    <row r="912" spans="1:24" x14ac:dyDescent="0.25">
      <c r="A912" s="158">
        <v>836</v>
      </c>
      <c r="B912" s="1"/>
      <c r="C912" s="457" t="s">
        <v>3034</v>
      </c>
      <c r="D912" s="154">
        <v>887</v>
      </c>
      <c r="E912" s="162" t="s">
        <v>24</v>
      </c>
      <c r="F912" s="162" t="s">
        <v>25</v>
      </c>
      <c r="G912" s="449" t="s">
        <v>3883</v>
      </c>
      <c r="H912" s="449"/>
      <c r="I912" s="495" t="str">
        <f t="shared" si="57"/>
        <v/>
      </c>
      <c r="J912" s="495"/>
      <c r="K912" s="495"/>
      <c r="L912" s="449" t="s">
        <v>654</v>
      </c>
      <c r="M912" s="157" t="str">
        <f t="shared" si="56"/>
        <v>К08104844</v>
      </c>
      <c r="N912" s="482" t="s">
        <v>442</v>
      </c>
      <c r="O912" s="4" t="s">
        <v>599</v>
      </c>
      <c r="P912" s="1"/>
      <c r="U912" s="1"/>
      <c r="V912" s="4"/>
      <c r="W912" s="3"/>
    </row>
    <row r="913" spans="1:23" x14ac:dyDescent="0.25">
      <c r="A913" s="158">
        <v>758</v>
      </c>
      <c r="B913" s="1"/>
      <c r="C913" s="457" t="s">
        <v>3034</v>
      </c>
      <c r="D913" s="158">
        <v>888</v>
      </c>
      <c r="E913" s="162" t="s">
        <v>24</v>
      </c>
      <c r="F913" s="162" t="s">
        <v>25</v>
      </c>
      <c r="G913" s="449" t="s">
        <v>701</v>
      </c>
      <c r="H913" s="449"/>
      <c r="I913" s="495" t="str">
        <f t="shared" si="57"/>
        <v/>
      </c>
      <c r="J913" s="495"/>
      <c r="K913" s="495"/>
      <c r="L913" s="449" t="s">
        <v>702</v>
      </c>
      <c r="M913" s="157" t="str">
        <f t="shared" si="56"/>
        <v>К08104843</v>
      </c>
      <c r="N913" s="482" t="s">
        <v>442</v>
      </c>
      <c r="O913" s="4" t="s">
        <v>703</v>
      </c>
      <c r="P913" s="1"/>
      <c r="U913" s="1"/>
      <c r="V913" s="4"/>
      <c r="W913" s="3"/>
    </row>
    <row r="914" spans="1:23" x14ac:dyDescent="0.25">
      <c r="A914" s="154">
        <v>757</v>
      </c>
      <c r="B914" s="167"/>
      <c r="C914" s="167"/>
      <c r="D914" s="154">
        <v>889</v>
      </c>
      <c r="E914" s="162" t="s">
        <v>24</v>
      </c>
      <c r="F914" s="162" t="s">
        <v>37</v>
      </c>
      <c r="G914" s="449" t="s">
        <v>754</v>
      </c>
      <c r="H914" s="449"/>
      <c r="I914" s="156" t="str">
        <f t="shared" si="57"/>
        <v/>
      </c>
      <c r="J914" s="156"/>
      <c r="K914" s="156"/>
      <c r="L914" s="2" t="s">
        <v>755</v>
      </c>
      <c r="M914" s="157" t="str">
        <f t="shared" si="56"/>
        <v>К04700158</v>
      </c>
      <c r="N914" s="482" t="s">
        <v>442</v>
      </c>
      <c r="O914" s="4"/>
      <c r="P914" s="167"/>
      <c r="U914" s="1"/>
      <c r="V914" s="4"/>
      <c r="W914" s="3"/>
    </row>
    <row r="915" spans="1:23" x14ac:dyDescent="0.25">
      <c r="A915" s="154">
        <v>793</v>
      </c>
      <c r="B915" s="1"/>
      <c r="C915" s="1"/>
      <c r="D915" s="158">
        <v>890</v>
      </c>
      <c r="E915" s="3" t="s">
        <v>491</v>
      </c>
      <c r="F915" s="3" t="s">
        <v>492</v>
      </c>
      <c r="G915" s="2" t="s">
        <v>493</v>
      </c>
      <c r="H915" s="2"/>
      <c r="I915" s="156" t="str">
        <f t="shared" si="57"/>
        <v/>
      </c>
      <c r="J915" s="156"/>
      <c r="K915" s="156"/>
      <c r="L915" s="2" t="s">
        <v>494</v>
      </c>
      <c r="M915" s="157" t="str">
        <f t="shared" si="56"/>
        <v>К71012400261</v>
      </c>
      <c r="N915" s="482" t="s">
        <v>442</v>
      </c>
      <c r="O915" s="4" t="s">
        <v>466</v>
      </c>
      <c r="P915" s="1"/>
      <c r="S915" s="3"/>
      <c r="U915" s="1"/>
      <c r="V915" s="4"/>
      <c r="W915" s="3"/>
    </row>
    <row r="916" spans="1:23" x14ac:dyDescent="0.25">
      <c r="A916" s="154">
        <v>859</v>
      </c>
      <c r="B916" s="1"/>
      <c r="C916" s="1"/>
      <c r="D916" s="154">
        <v>891</v>
      </c>
      <c r="E916" s="3" t="s">
        <v>495</v>
      </c>
      <c r="F916" s="3" t="s">
        <v>496</v>
      </c>
      <c r="G916" s="2" t="s">
        <v>497</v>
      </c>
      <c r="H916" s="2"/>
      <c r="I916" s="156" t="str">
        <f t="shared" si="57"/>
        <v/>
      </c>
      <c r="J916" s="156"/>
      <c r="K916" s="156"/>
      <c r="L916" s="2" t="s">
        <v>498</v>
      </c>
      <c r="M916" s="157" t="str">
        <f t="shared" si="56"/>
        <v>К71012400262</v>
      </c>
      <c r="N916" s="482" t="s">
        <v>442</v>
      </c>
      <c r="O916" s="4" t="s">
        <v>466</v>
      </c>
      <c r="P916" s="1"/>
      <c r="S916" s="3"/>
      <c r="U916" s="1"/>
      <c r="V916" s="4"/>
      <c r="W916" s="3"/>
    </row>
    <row r="917" spans="1:23" x14ac:dyDescent="0.25">
      <c r="A917" s="154">
        <v>823</v>
      </c>
      <c r="B917" s="1"/>
      <c r="C917" s="1"/>
      <c r="D917" s="158">
        <v>892</v>
      </c>
      <c r="E917" s="3" t="s">
        <v>655</v>
      </c>
      <c r="F917" s="3" t="s">
        <v>656</v>
      </c>
      <c r="G917" s="2" t="s">
        <v>657</v>
      </c>
      <c r="H917" s="2"/>
      <c r="I917" s="156" t="str">
        <f t="shared" si="57"/>
        <v/>
      </c>
      <c r="J917" s="156"/>
      <c r="K917" s="156"/>
      <c r="L917" s="2" t="s">
        <v>658</v>
      </c>
      <c r="M917" s="157" t="str">
        <f t="shared" si="56"/>
        <v>К21012400188</v>
      </c>
      <c r="N917" s="482" t="s">
        <v>442</v>
      </c>
      <c r="O917" s="4" t="s">
        <v>599</v>
      </c>
      <c r="P917" s="1" t="s">
        <v>659</v>
      </c>
      <c r="U917" s="1"/>
      <c r="V917" s="4"/>
      <c r="W917" s="3"/>
    </row>
    <row r="918" spans="1:23" x14ac:dyDescent="0.25">
      <c r="A918" s="154">
        <v>841</v>
      </c>
      <c r="B918" s="136" t="s">
        <v>3552</v>
      </c>
      <c r="C918" s="136"/>
      <c r="D918" s="158">
        <v>893</v>
      </c>
      <c r="E918" s="3" t="s">
        <v>690</v>
      </c>
      <c r="F918" s="3" t="s">
        <v>691</v>
      </c>
      <c r="G918" s="2" t="s">
        <v>692</v>
      </c>
      <c r="H918" s="2"/>
      <c r="I918" s="156" t="str">
        <f t="shared" si="57"/>
        <v/>
      </c>
      <c r="J918" s="156"/>
      <c r="K918" s="156"/>
      <c r="L918" s="2" t="s">
        <v>693</v>
      </c>
      <c r="M918" s="157" t="str">
        <f t="shared" si="56"/>
        <v>К08102678_2</v>
      </c>
      <c r="N918" s="482" t="s">
        <v>442</v>
      </c>
      <c r="O918" s="4" t="s">
        <v>667</v>
      </c>
      <c r="P918" s="1"/>
      <c r="U918" s="1"/>
      <c r="V918" s="4"/>
      <c r="W918" s="3"/>
    </row>
    <row r="919" spans="1:23" x14ac:dyDescent="0.25">
      <c r="A919" s="154">
        <v>745</v>
      </c>
      <c r="B919" s="136" t="s">
        <v>3552</v>
      </c>
      <c r="C919" s="136"/>
      <c r="D919" s="154">
        <v>894</v>
      </c>
      <c r="E919" s="3" t="s">
        <v>690</v>
      </c>
      <c r="F919" s="3" t="s">
        <v>691</v>
      </c>
      <c r="G919" s="2" t="s">
        <v>694</v>
      </c>
      <c r="H919" s="2"/>
      <c r="I919" s="156" t="str">
        <f t="shared" si="57"/>
        <v/>
      </c>
      <c r="J919" s="156"/>
      <c r="K919" s="156"/>
      <c r="L919" s="2" t="s">
        <v>695</v>
      </c>
      <c r="M919" s="157" t="str">
        <f t="shared" si="56"/>
        <v>К08102679_2</v>
      </c>
      <c r="N919" s="482" t="s">
        <v>442</v>
      </c>
      <c r="O919" s="4" t="s">
        <v>667</v>
      </c>
      <c r="P919" s="1"/>
      <c r="U919" s="1"/>
      <c r="V919" s="4"/>
      <c r="W919" s="3"/>
    </row>
    <row r="920" spans="1:23" x14ac:dyDescent="0.25">
      <c r="A920" s="154">
        <v>759</v>
      </c>
      <c r="B920" s="1"/>
      <c r="C920" s="1"/>
      <c r="D920" s="158">
        <v>895</v>
      </c>
      <c r="E920" s="3" t="s">
        <v>451</v>
      </c>
      <c r="F920" s="3" t="s">
        <v>452</v>
      </c>
      <c r="G920" s="2" t="s">
        <v>453</v>
      </c>
      <c r="H920" s="2"/>
      <c r="I920" s="156" t="str">
        <f t="shared" si="57"/>
        <v/>
      </c>
      <c r="J920" s="156"/>
      <c r="K920" s="156"/>
      <c r="L920" s="2" t="s">
        <v>454</v>
      </c>
      <c r="M920" s="157" t="str">
        <f t="shared" si="56"/>
        <v>К08105983</v>
      </c>
      <c r="N920" s="482" t="s">
        <v>442</v>
      </c>
      <c r="O920" s="4" t="s">
        <v>450</v>
      </c>
      <c r="P920" s="1"/>
      <c r="S920" s="3"/>
      <c r="U920" s="1"/>
      <c r="V920" s="4"/>
      <c r="W920" s="3"/>
    </row>
    <row r="921" spans="1:23" x14ac:dyDescent="0.25">
      <c r="A921" s="154">
        <v>743</v>
      </c>
      <c r="B921" s="1"/>
      <c r="C921" s="1"/>
      <c r="D921" s="154">
        <v>896</v>
      </c>
      <c r="E921" s="3" t="s">
        <v>696</v>
      </c>
      <c r="F921" s="3"/>
      <c r="G921" s="2"/>
      <c r="H921" s="2"/>
      <c r="I921" s="156" t="str">
        <f t="shared" si="57"/>
        <v/>
      </c>
      <c r="J921" s="156"/>
      <c r="K921" s="156"/>
      <c r="L921" s="2" t="s">
        <v>697</v>
      </c>
      <c r="M921" s="157" t="str">
        <f t="shared" si="56"/>
        <v>К08102914_2</v>
      </c>
      <c r="N921" s="482" t="s">
        <v>442</v>
      </c>
      <c r="O921" s="4" t="s">
        <v>667</v>
      </c>
      <c r="P921" s="1"/>
      <c r="U921" s="1"/>
      <c r="V921" s="4" t="s">
        <v>729</v>
      </c>
      <c r="W921" s="3"/>
    </row>
    <row r="922" spans="1:23" x14ac:dyDescent="0.25">
      <c r="A922" s="158">
        <v>756</v>
      </c>
      <c r="B922" s="1"/>
      <c r="C922" s="1"/>
      <c r="D922" s="154">
        <v>898</v>
      </c>
      <c r="E922" s="3" t="s">
        <v>712</v>
      </c>
      <c r="F922" s="3" t="s">
        <v>717</v>
      </c>
      <c r="G922" s="2" t="s">
        <v>718</v>
      </c>
      <c r="H922" s="2"/>
      <c r="I922" s="156" t="str">
        <f t="shared" si="57"/>
        <v/>
      </c>
      <c r="J922" s="156"/>
      <c r="K922" s="156"/>
      <c r="L922" s="2" t="s">
        <v>719</v>
      </c>
      <c r="M922" s="157" t="str">
        <f t="shared" si="56"/>
        <v>К2360000138</v>
      </c>
      <c r="N922" s="482" t="s">
        <v>442</v>
      </c>
      <c r="O922" s="4" t="s">
        <v>706</v>
      </c>
      <c r="P922" s="1"/>
      <c r="T922" s="162"/>
      <c r="U922" s="167"/>
      <c r="V922" s="168" t="s">
        <v>746</v>
      </c>
      <c r="W922" s="3"/>
    </row>
    <row r="923" spans="1:23" x14ac:dyDescent="0.25">
      <c r="A923" s="158">
        <v>862</v>
      </c>
      <c r="B923" s="1"/>
      <c r="C923" s="1"/>
      <c r="D923" s="158">
        <v>899</v>
      </c>
      <c r="E923" s="3" t="s">
        <v>712</v>
      </c>
      <c r="F923" s="3" t="s">
        <v>717</v>
      </c>
      <c r="G923" s="2" t="s">
        <v>720</v>
      </c>
      <c r="H923" s="2"/>
      <c r="I923" s="156" t="str">
        <f t="shared" si="57"/>
        <v/>
      </c>
      <c r="J923" s="156"/>
      <c r="K923" s="156"/>
      <c r="L923" s="2" t="s">
        <v>721</v>
      </c>
      <c r="M923" s="157" t="str">
        <f t="shared" si="56"/>
        <v>К2360000139</v>
      </c>
      <c r="N923" s="482" t="s">
        <v>442</v>
      </c>
      <c r="O923" s="4" t="s">
        <v>706</v>
      </c>
      <c r="P923" s="1"/>
      <c r="U923" s="1"/>
      <c r="V923" s="4"/>
      <c r="W923" s="3"/>
    </row>
    <row r="924" spans="1:23" x14ac:dyDescent="0.25">
      <c r="A924" s="154">
        <v>747</v>
      </c>
      <c r="B924" s="456" t="s">
        <v>3552</v>
      </c>
      <c r="C924" s="456"/>
      <c r="D924" s="158">
        <v>902</v>
      </c>
      <c r="E924" s="3" t="s">
        <v>61</v>
      </c>
      <c r="F924" s="3" t="s">
        <v>759</v>
      </c>
      <c r="G924" s="2"/>
      <c r="H924" s="2"/>
      <c r="I924" s="156" t="str">
        <f t="shared" si="57"/>
        <v/>
      </c>
      <c r="J924" s="156"/>
      <c r="K924" s="156"/>
      <c r="L924" s="2" t="s">
        <v>760</v>
      </c>
      <c r="M924" s="157" t="str">
        <f t="shared" si="56"/>
        <v>К08102714_2</v>
      </c>
      <c r="N924" s="482" t="s">
        <v>442</v>
      </c>
      <c r="O924" s="4"/>
      <c r="P924" s="1"/>
      <c r="U924" s="1"/>
      <c r="V924" s="4"/>
      <c r="W924" s="3"/>
    </row>
    <row r="925" spans="1:23" x14ac:dyDescent="0.25">
      <c r="A925" s="158">
        <v>826</v>
      </c>
      <c r="B925" s="167"/>
      <c r="C925" s="167"/>
      <c r="D925" s="154">
        <v>903</v>
      </c>
      <c r="E925" s="162" t="s">
        <v>61</v>
      </c>
      <c r="F925" s="162" t="s">
        <v>62</v>
      </c>
      <c r="G925" s="449"/>
      <c r="H925" s="449"/>
      <c r="I925" s="156" t="str">
        <f t="shared" si="57"/>
        <v/>
      </c>
      <c r="J925" s="156"/>
      <c r="K925" s="156"/>
      <c r="L925" s="2"/>
      <c r="M925" s="157" t="str">
        <f t="shared" si="56"/>
        <v>К</v>
      </c>
      <c r="N925" s="482" t="s">
        <v>442</v>
      </c>
      <c r="O925" s="4"/>
      <c r="P925" s="167"/>
      <c r="U925" s="1"/>
      <c r="V925" s="4"/>
      <c r="W925" s="3"/>
    </row>
    <row r="926" spans="1:23" x14ac:dyDescent="0.25">
      <c r="A926" s="158">
        <v>804</v>
      </c>
      <c r="B926" s="1"/>
      <c r="C926" s="1"/>
      <c r="D926" s="158">
        <v>907</v>
      </c>
      <c r="E926" s="3" t="s">
        <v>503</v>
      </c>
      <c r="F926" s="3" t="s">
        <v>504</v>
      </c>
      <c r="G926" s="2" t="s">
        <v>505</v>
      </c>
      <c r="H926" s="2"/>
      <c r="I926" s="156" t="str">
        <f t="shared" si="57"/>
        <v/>
      </c>
      <c r="J926" s="156"/>
      <c r="K926" s="156"/>
      <c r="L926" s="2" t="s">
        <v>506</v>
      </c>
      <c r="M926" s="157" t="str">
        <f t="shared" si="56"/>
        <v>К7240000169</v>
      </c>
      <c r="N926" s="482" t="s">
        <v>442</v>
      </c>
      <c r="O926" s="4" t="s">
        <v>466</v>
      </c>
      <c r="P926" s="1"/>
      <c r="S926" s="3"/>
      <c r="U926" s="1"/>
      <c r="V926" s="4"/>
      <c r="W926" s="3"/>
    </row>
    <row r="927" spans="1:23" x14ac:dyDescent="0.25">
      <c r="A927" s="154">
        <v>855</v>
      </c>
      <c r="B927" s="1"/>
      <c r="C927" s="484" t="s">
        <v>3034</v>
      </c>
      <c r="D927" s="154">
        <v>915</v>
      </c>
      <c r="E927" s="485" t="s">
        <v>3702</v>
      </c>
      <c r="F927" s="3" t="s">
        <v>195</v>
      </c>
      <c r="G927" s="2" t="s">
        <v>196</v>
      </c>
      <c r="H927" s="2" t="s">
        <v>90</v>
      </c>
      <c r="I927" s="156" t="str">
        <f t="shared" si="57"/>
        <v>2008</v>
      </c>
      <c r="J927" s="156">
        <v>2008</v>
      </c>
      <c r="K927" s="156"/>
      <c r="L927" s="506" t="s">
        <v>5512</v>
      </c>
      <c r="M927" s="157" t="str">
        <f t="shared" si="56"/>
        <v>К08102810_2</v>
      </c>
      <c r="N927" s="3" t="s">
        <v>132</v>
      </c>
      <c r="O927" s="4" t="s">
        <v>190</v>
      </c>
      <c r="P927" s="1"/>
      <c r="U927" s="1"/>
      <c r="V927" s="4"/>
      <c r="W927" s="3"/>
    </row>
    <row r="928" spans="1:23" x14ac:dyDescent="0.25">
      <c r="A928" s="154">
        <v>805</v>
      </c>
      <c r="B928" s="1"/>
      <c r="C928" s="484" t="s">
        <v>5507</v>
      </c>
      <c r="D928" s="158">
        <v>916</v>
      </c>
      <c r="E928" s="485" t="s">
        <v>3702</v>
      </c>
      <c r="F928" s="3" t="s">
        <v>216</v>
      </c>
      <c r="G928" s="2" t="s">
        <v>217</v>
      </c>
      <c r="H928" s="2" t="s">
        <v>218</v>
      </c>
      <c r="I928" s="156" t="str">
        <f t="shared" si="57"/>
        <v>2017</v>
      </c>
      <c r="J928" s="156">
        <v>2017</v>
      </c>
      <c r="K928" s="156"/>
      <c r="L928" s="2"/>
      <c r="M928" s="157" t="str">
        <f t="shared" si="56"/>
        <v>К</v>
      </c>
      <c r="N928" s="3" t="s">
        <v>132</v>
      </c>
      <c r="O928" s="4" t="s">
        <v>132</v>
      </c>
      <c r="P928" s="1"/>
      <c r="U928" s="1"/>
      <c r="V928" s="4"/>
      <c r="W928" s="3"/>
    </row>
    <row r="929" spans="1:23" x14ac:dyDescent="0.25">
      <c r="A929" s="158">
        <v>774</v>
      </c>
      <c r="B929" s="1"/>
      <c r="C929" s="484" t="s">
        <v>5507</v>
      </c>
      <c r="D929" s="154">
        <v>917</v>
      </c>
      <c r="E929" s="485" t="s">
        <v>3702</v>
      </c>
      <c r="F929" s="486" t="s">
        <v>3657</v>
      </c>
      <c r="G929" s="506" t="s">
        <v>5511</v>
      </c>
      <c r="H929" s="506" t="s">
        <v>159</v>
      </c>
      <c r="I929" s="156" t="str">
        <f t="shared" si="57"/>
        <v>2012</v>
      </c>
      <c r="J929" s="156">
        <v>2012</v>
      </c>
      <c r="K929" s="156"/>
      <c r="L929" s="2"/>
      <c r="M929" s="157"/>
      <c r="N929" s="3" t="s">
        <v>132</v>
      </c>
      <c r="O929" s="4" t="s">
        <v>231</v>
      </c>
      <c r="P929" s="1"/>
      <c r="U929" s="1"/>
      <c r="V929" s="4"/>
      <c r="W929" s="3"/>
    </row>
    <row r="930" spans="1:23" x14ac:dyDescent="0.25">
      <c r="A930" s="158">
        <v>852</v>
      </c>
      <c r="B930" s="1"/>
      <c r="C930" s="1"/>
      <c r="D930" s="158">
        <v>918</v>
      </c>
      <c r="E930" s="3" t="s">
        <v>178</v>
      </c>
      <c r="F930" s="3"/>
      <c r="G930" s="2" t="s">
        <v>146</v>
      </c>
      <c r="H930" s="2" t="s">
        <v>147</v>
      </c>
      <c r="I930" s="156" t="str">
        <f t="shared" si="57"/>
        <v>2011</v>
      </c>
      <c r="J930" s="156">
        <v>2011</v>
      </c>
      <c r="K930" s="156"/>
      <c r="L930" s="2" t="s">
        <v>148</v>
      </c>
      <c r="M930" s="157" t="str">
        <f t="shared" ref="M930:M964" si="58">CONCATENATE("К",L930)</f>
        <v>К08104476</v>
      </c>
      <c r="N930" s="3" t="s">
        <v>132</v>
      </c>
      <c r="O930" s="4" t="s">
        <v>179</v>
      </c>
      <c r="P930" s="1"/>
      <c r="U930" s="1"/>
      <c r="V930" s="4"/>
      <c r="W930" s="3"/>
    </row>
    <row r="931" spans="1:23" x14ac:dyDescent="0.25">
      <c r="A931" s="158">
        <v>828</v>
      </c>
      <c r="B931" s="1"/>
      <c r="C931" s="1"/>
      <c r="D931" s="154">
        <v>919</v>
      </c>
      <c r="E931" s="3" t="s">
        <v>186</v>
      </c>
      <c r="F931" s="3" t="s">
        <v>187</v>
      </c>
      <c r="G931" s="2" t="s">
        <v>188</v>
      </c>
      <c r="H931" s="2"/>
      <c r="I931" s="156" t="str">
        <f t="shared" si="57"/>
        <v/>
      </c>
      <c r="J931" s="156"/>
      <c r="K931" s="156"/>
      <c r="L931" s="2" t="s">
        <v>189</v>
      </c>
      <c r="M931" s="157" t="str">
        <f t="shared" si="58"/>
        <v>К4240000021</v>
      </c>
      <c r="N931" s="3" t="s">
        <v>132</v>
      </c>
      <c r="O931" s="4" t="s">
        <v>190</v>
      </c>
      <c r="P931" s="1"/>
      <c r="U931" s="1"/>
      <c r="V931" s="4"/>
      <c r="W931" s="3"/>
    </row>
    <row r="932" spans="1:23" x14ac:dyDescent="0.25">
      <c r="A932" s="154">
        <v>829</v>
      </c>
      <c r="B932" s="1"/>
      <c r="C932" s="1"/>
      <c r="D932" s="158">
        <v>920</v>
      </c>
      <c r="E932" s="3" t="s">
        <v>180</v>
      </c>
      <c r="F932" s="3"/>
      <c r="G932" s="2" t="s">
        <v>181</v>
      </c>
      <c r="H932" s="2"/>
      <c r="I932" s="156" t="str">
        <f t="shared" si="57"/>
        <v/>
      </c>
      <c r="J932" s="156"/>
      <c r="K932" s="156"/>
      <c r="L932" s="2" t="s">
        <v>148</v>
      </c>
      <c r="M932" s="157" t="str">
        <f t="shared" si="58"/>
        <v>К08104476</v>
      </c>
      <c r="N932" s="3" t="s">
        <v>132</v>
      </c>
      <c r="O932" s="4" t="s">
        <v>179</v>
      </c>
      <c r="P932" s="1"/>
      <c r="U932" s="1"/>
      <c r="V932" s="4"/>
      <c r="W932" s="3"/>
    </row>
    <row r="933" spans="1:23" x14ac:dyDescent="0.25">
      <c r="A933" s="154">
        <v>839</v>
      </c>
      <c r="B933" s="1"/>
      <c r="C933" s="484" t="s">
        <v>5507</v>
      </c>
      <c r="D933" s="158">
        <v>921</v>
      </c>
      <c r="E933" s="3" t="s">
        <v>144</v>
      </c>
      <c r="F933" s="3" t="s">
        <v>145</v>
      </c>
      <c r="G933" s="2" t="s">
        <v>146</v>
      </c>
      <c r="H933" s="2" t="s">
        <v>147</v>
      </c>
      <c r="I933" s="156" t="str">
        <f t="shared" si="57"/>
        <v>2011</v>
      </c>
      <c r="J933" s="156">
        <v>2011</v>
      </c>
      <c r="K933" s="156"/>
      <c r="L933" s="2" t="s">
        <v>148</v>
      </c>
      <c r="M933" s="157" t="str">
        <f t="shared" si="58"/>
        <v>К08104476</v>
      </c>
      <c r="N933" s="3" t="s">
        <v>132</v>
      </c>
      <c r="O933" s="4" t="s">
        <v>149</v>
      </c>
      <c r="P933" s="1"/>
      <c r="U933" s="1"/>
      <c r="V933" s="4"/>
      <c r="W933" s="3"/>
    </row>
    <row r="934" spans="1:23" x14ac:dyDescent="0.25">
      <c r="A934" s="154">
        <v>887</v>
      </c>
      <c r="B934" s="1"/>
      <c r="C934" s="1"/>
      <c r="D934" s="154">
        <v>922</v>
      </c>
      <c r="E934" s="3" t="s">
        <v>197</v>
      </c>
      <c r="F934" s="3" t="s">
        <v>198</v>
      </c>
      <c r="G934" s="2" t="s">
        <v>199</v>
      </c>
      <c r="H934" s="2" t="s">
        <v>200</v>
      </c>
      <c r="I934" s="156" t="str">
        <f t="shared" si="57"/>
        <v>2017</v>
      </c>
      <c r="J934" s="156">
        <v>2017</v>
      </c>
      <c r="K934" s="156"/>
      <c r="L934" s="2" t="s">
        <v>189</v>
      </c>
      <c r="M934" s="157" t="str">
        <f t="shared" si="58"/>
        <v>К4240000021</v>
      </c>
      <c r="N934" s="3" t="s">
        <v>132</v>
      </c>
      <c r="O934" s="4" t="s">
        <v>132</v>
      </c>
      <c r="P934" s="1"/>
      <c r="U934" s="1"/>
      <c r="V934" s="4"/>
      <c r="W934" s="3"/>
    </row>
    <row r="935" spans="1:23" x14ac:dyDescent="0.25">
      <c r="A935" s="154">
        <v>895</v>
      </c>
      <c r="B935" s="1"/>
      <c r="C935" s="1"/>
      <c r="D935" s="158">
        <v>923</v>
      </c>
      <c r="E935" s="3" t="s">
        <v>130</v>
      </c>
      <c r="F935" s="3"/>
      <c r="G935" s="2"/>
      <c r="H935" s="2"/>
      <c r="I935" s="156" t="str">
        <f t="shared" si="57"/>
        <v/>
      </c>
      <c r="J935" s="156"/>
      <c r="K935" s="156"/>
      <c r="L935" s="2" t="s">
        <v>131</v>
      </c>
      <c r="M935" s="157" t="str">
        <f t="shared" si="58"/>
        <v>К01370112</v>
      </c>
      <c r="N935" s="3" t="s">
        <v>132</v>
      </c>
      <c r="O935" s="4" t="s">
        <v>133</v>
      </c>
      <c r="P935" s="1"/>
      <c r="U935" s="1"/>
      <c r="V935" s="4"/>
      <c r="W935" s="3"/>
    </row>
    <row r="936" spans="1:23" x14ac:dyDescent="0.25">
      <c r="A936" s="158">
        <v>900</v>
      </c>
      <c r="B936" s="1"/>
      <c r="C936" s="1"/>
      <c r="D936" s="154">
        <v>924</v>
      </c>
      <c r="E936" s="3" t="s">
        <v>134</v>
      </c>
      <c r="F936" s="3"/>
      <c r="G936" s="2" t="s">
        <v>135</v>
      </c>
      <c r="H936" s="2"/>
      <c r="I936" s="156" t="str">
        <f t="shared" si="57"/>
        <v/>
      </c>
      <c r="J936" s="156"/>
      <c r="K936" s="156"/>
      <c r="L936" s="2" t="s">
        <v>131</v>
      </c>
      <c r="M936" s="157" t="str">
        <f t="shared" si="58"/>
        <v>К01370112</v>
      </c>
      <c r="N936" s="3" t="s">
        <v>132</v>
      </c>
      <c r="O936" s="4" t="s">
        <v>133</v>
      </c>
      <c r="P936" s="1"/>
      <c r="U936" s="1"/>
      <c r="V936" s="4"/>
      <c r="W936" s="3"/>
    </row>
    <row r="937" spans="1:23" x14ac:dyDescent="0.25">
      <c r="A937" s="158">
        <v>880</v>
      </c>
      <c r="B937" s="1"/>
      <c r="C937" s="1"/>
      <c r="D937" s="158">
        <v>925</v>
      </c>
      <c r="E937" s="3" t="s">
        <v>136</v>
      </c>
      <c r="F937" s="3"/>
      <c r="G937" s="2" t="s">
        <v>137</v>
      </c>
      <c r="H937" s="2"/>
      <c r="I937" s="156" t="str">
        <f t="shared" si="57"/>
        <v/>
      </c>
      <c r="J937" s="156"/>
      <c r="K937" s="156"/>
      <c r="L937" s="2" t="s">
        <v>131</v>
      </c>
      <c r="M937" s="157" t="str">
        <f t="shared" si="58"/>
        <v>К01370112</v>
      </c>
      <c r="N937" s="3" t="s">
        <v>132</v>
      </c>
      <c r="O937" s="4" t="s">
        <v>133</v>
      </c>
      <c r="P937" s="1"/>
      <c r="U937" s="1"/>
      <c r="V937" s="4"/>
      <c r="W937" s="3"/>
    </row>
    <row r="938" spans="1:23" x14ac:dyDescent="0.25">
      <c r="A938" s="158">
        <v>884</v>
      </c>
      <c r="B938" s="1"/>
      <c r="C938" s="484" t="s">
        <v>3034</v>
      </c>
      <c r="D938" s="154">
        <v>926</v>
      </c>
      <c r="E938" s="3" t="s">
        <v>233</v>
      </c>
      <c r="F938" s="507" t="s">
        <v>234</v>
      </c>
      <c r="G938" s="2" t="s">
        <v>235</v>
      </c>
      <c r="H938" s="2" t="s">
        <v>236</v>
      </c>
      <c r="I938" s="156" t="str">
        <f t="shared" si="57"/>
        <v>2009</v>
      </c>
      <c r="J938" s="156">
        <v>2009</v>
      </c>
      <c r="K938" s="156"/>
      <c r="L938" s="2" t="s">
        <v>237</v>
      </c>
      <c r="M938" s="157" t="str">
        <f t="shared" si="58"/>
        <v>К08102610_2</v>
      </c>
      <c r="N938" s="3" t="s">
        <v>132</v>
      </c>
      <c r="O938" s="4" t="s">
        <v>238</v>
      </c>
      <c r="P938" s="1"/>
      <c r="U938" s="1"/>
      <c r="V938" s="4"/>
      <c r="W938" s="3"/>
    </row>
    <row r="939" spans="1:23" x14ac:dyDescent="0.25">
      <c r="A939" s="154">
        <v>881</v>
      </c>
      <c r="B939" s="136" t="s">
        <v>3552</v>
      </c>
      <c r="C939" s="136"/>
      <c r="D939" s="158">
        <v>927</v>
      </c>
      <c r="E939" s="138" t="s">
        <v>3554</v>
      </c>
      <c r="F939" s="138" t="s">
        <v>175</v>
      </c>
      <c r="G939" s="508" t="s">
        <v>176</v>
      </c>
      <c r="H939" s="508" t="s">
        <v>159</v>
      </c>
      <c r="I939" s="156" t="str">
        <f t="shared" si="57"/>
        <v>2012</v>
      </c>
      <c r="J939" s="156"/>
      <c r="K939" s="156"/>
      <c r="L939" s="2"/>
      <c r="M939" s="157" t="str">
        <f t="shared" si="58"/>
        <v>К</v>
      </c>
      <c r="N939" s="138" t="s">
        <v>132</v>
      </c>
      <c r="O939" s="4"/>
      <c r="P939" s="1"/>
      <c r="U939" s="1"/>
      <c r="V939" s="4"/>
      <c r="W939" s="3"/>
    </row>
    <row r="940" spans="1:23" x14ac:dyDescent="0.25">
      <c r="A940" s="154">
        <v>871</v>
      </c>
      <c r="B940" s="1"/>
      <c r="C940" s="1"/>
      <c r="D940" s="158">
        <v>928</v>
      </c>
      <c r="E940" s="3" t="s">
        <v>150</v>
      </c>
      <c r="F940" s="3" t="s">
        <v>151</v>
      </c>
      <c r="G940" s="2" t="s">
        <v>152</v>
      </c>
      <c r="H940" s="2" t="s">
        <v>153</v>
      </c>
      <c r="I940" s="156" t="str">
        <f t="shared" ref="I940:I964" si="59">RIGHT(H940,4)</f>
        <v>2012</v>
      </c>
      <c r="J940" s="156">
        <v>2012</v>
      </c>
      <c r="K940" s="156"/>
      <c r="L940" s="2" t="s">
        <v>148</v>
      </c>
      <c r="M940" s="157" t="str">
        <f t="shared" si="58"/>
        <v>К08104476</v>
      </c>
      <c r="N940" s="3" t="s">
        <v>132</v>
      </c>
      <c r="O940" s="4" t="s">
        <v>149</v>
      </c>
      <c r="P940" s="1"/>
      <c r="U940" s="1"/>
      <c r="V940" s="4"/>
      <c r="W940" s="3"/>
    </row>
    <row r="941" spans="1:23" x14ac:dyDescent="0.25">
      <c r="A941" s="158">
        <v>888</v>
      </c>
      <c r="B941" s="136" t="s">
        <v>3552</v>
      </c>
      <c r="C941" s="136"/>
      <c r="D941" s="154">
        <v>929</v>
      </c>
      <c r="E941" s="3" t="s">
        <v>191</v>
      </c>
      <c r="F941" s="3" t="s">
        <v>192</v>
      </c>
      <c r="G941" s="2" t="s">
        <v>193</v>
      </c>
      <c r="H941" s="2" t="s">
        <v>194</v>
      </c>
      <c r="I941" s="156" t="str">
        <f t="shared" si="59"/>
        <v>2016</v>
      </c>
      <c r="J941" s="156">
        <v>2016</v>
      </c>
      <c r="K941" s="156"/>
      <c r="L941" s="2"/>
      <c r="M941" s="157" t="str">
        <f t="shared" si="58"/>
        <v>К</v>
      </c>
      <c r="N941" s="3" t="s">
        <v>132</v>
      </c>
      <c r="O941" s="4" t="s">
        <v>190</v>
      </c>
      <c r="P941" s="1"/>
      <c r="U941" s="1"/>
      <c r="V941" s="4"/>
      <c r="W941" s="3"/>
    </row>
    <row r="942" spans="1:23" x14ac:dyDescent="0.25">
      <c r="A942" s="154">
        <v>865</v>
      </c>
      <c r="B942" s="136" t="s">
        <v>3552</v>
      </c>
      <c r="C942" s="136"/>
      <c r="D942" s="158">
        <v>930</v>
      </c>
      <c r="E942" s="137" t="s">
        <v>191</v>
      </c>
      <c r="F942" s="507" t="s">
        <v>5509</v>
      </c>
      <c r="G942" s="573" t="s">
        <v>5510</v>
      </c>
      <c r="H942" s="506" t="s">
        <v>59</v>
      </c>
      <c r="I942" s="156" t="str">
        <f t="shared" si="59"/>
        <v>2013</v>
      </c>
      <c r="J942" s="156">
        <v>2013</v>
      </c>
      <c r="K942" s="156"/>
      <c r="L942" s="2">
        <v>2360000190</v>
      </c>
      <c r="M942" s="157" t="str">
        <f t="shared" si="58"/>
        <v>К2360000190</v>
      </c>
      <c r="N942" s="3" t="s">
        <v>132</v>
      </c>
      <c r="O942" s="4" t="s">
        <v>190</v>
      </c>
      <c r="P942" s="1"/>
      <c r="U942" s="1"/>
      <c r="V942" s="4"/>
      <c r="W942" s="3"/>
    </row>
    <row r="943" spans="1:23" x14ac:dyDescent="0.25">
      <c r="A943" s="158">
        <v>866</v>
      </c>
      <c r="B943" s="456" t="s">
        <v>3552</v>
      </c>
      <c r="C943" s="456"/>
      <c r="D943" s="154">
        <v>931</v>
      </c>
      <c r="E943" s="166" t="s">
        <v>2319</v>
      </c>
      <c r="F943" s="3"/>
      <c r="G943" s="2"/>
      <c r="H943" s="2"/>
      <c r="I943" s="156" t="str">
        <f t="shared" si="59"/>
        <v/>
      </c>
      <c r="J943" s="156"/>
      <c r="K943" s="156"/>
      <c r="L943" s="2" t="s">
        <v>222</v>
      </c>
      <c r="M943" s="157" t="str">
        <f t="shared" si="58"/>
        <v>К08106411</v>
      </c>
      <c r="N943" s="3" t="s">
        <v>132</v>
      </c>
      <c r="O943" s="4" t="s">
        <v>132</v>
      </c>
      <c r="P943" s="1"/>
      <c r="U943" s="1"/>
      <c r="V943" s="4"/>
      <c r="W943" s="3"/>
    </row>
    <row r="944" spans="1:23" x14ac:dyDescent="0.25">
      <c r="A944" s="154">
        <v>867</v>
      </c>
      <c r="B944" s="1"/>
      <c r="C944" s="1"/>
      <c r="D944" s="158">
        <v>932</v>
      </c>
      <c r="E944" s="3" t="s">
        <v>182</v>
      </c>
      <c r="F944" s="3" t="s">
        <v>162</v>
      </c>
      <c r="G944" s="2" t="s">
        <v>183</v>
      </c>
      <c r="H944" s="2" t="s">
        <v>164</v>
      </c>
      <c r="I944" s="156" t="str">
        <f t="shared" si="59"/>
        <v>2012</v>
      </c>
      <c r="J944" s="156">
        <v>2012</v>
      </c>
      <c r="K944" s="156"/>
      <c r="L944" s="2" t="s">
        <v>148</v>
      </c>
      <c r="M944" s="157" t="str">
        <f t="shared" si="58"/>
        <v>К08104476</v>
      </c>
      <c r="N944" s="3" t="s">
        <v>132</v>
      </c>
      <c r="O944" s="4" t="s">
        <v>179</v>
      </c>
      <c r="P944" s="1"/>
      <c r="U944" s="1"/>
      <c r="V944" s="4"/>
      <c r="W944" s="3"/>
    </row>
    <row r="945" spans="1:23" x14ac:dyDescent="0.25">
      <c r="A945" s="154">
        <v>901</v>
      </c>
      <c r="B945" s="1"/>
      <c r="C945" s="455" t="s">
        <v>3034</v>
      </c>
      <c r="D945" s="154">
        <v>933</v>
      </c>
      <c r="E945" s="3" t="s">
        <v>154</v>
      </c>
      <c r="F945" s="3" t="s">
        <v>1139</v>
      </c>
      <c r="G945" s="2" t="s">
        <v>155</v>
      </c>
      <c r="H945" s="2"/>
      <c r="I945" s="156" t="str">
        <f t="shared" si="59"/>
        <v/>
      </c>
      <c r="J945" s="156"/>
      <c r="K945" s="156"/>
      <c r="L945" s="2" t="s">
        <v>156</v>
      </c>
      <c r="M945" s="157" t="str">
        <f t="shared" si="58"/>
        <v>К71012400010</v>
      </c>
      <c r="N945" s="3" t="s">
        <v>132</v>
      </c>
      <c r="O945" s="4" t="s">
        <v>149</v>
      </c>
      <c r="P945" s="1"/>
      <c r="U945" s="1"/>
      <c r="V945" s="4"/>
      <c r="W945" s="3"/>
    </row>
    <row r="946" spans="1:23" x14ac:dyDescent="0.25">
      <c r="A946" s="154">
        <v>903</v>
      </c>
      <c r="B946" s="1"/>
      <c r="C946" s="457" t="s">
        <v>3034</v>
      </c>
      <c r="D946" s="158">
        <v>934</v>
      </c>
      <c r="E946" s="3" t="s">
        <v>138</v>
      </c>
      <c r="F946" s="3" t="s">
        <v>139</v>
      </c>
      <c r="G946" s="2" t="s">
        <v>140</v>
      </c>
      <c r="H946" s="506" t="s">
        <v>3262</v>
      </c>
      <c r="I946" s="156" t="str">
        <f t="shared" si="59"/>
        <v>1993</v>
      </c>
      <c r="J946" s="156">
        <v>1993</v>
      </c>
      <c r="K946" s="156"/>
      <c r="L946" s="2" t="s">
        <v>131</v>
      </c>
      <c r="M946" s="157" t="str">
        <f t="shared" si="58"/>
        <v>К01370112</v>
      </c>
      <c r="N946" s="3" t="s">
        <v>132</v>
      </c>
      <c r="O946" s="4" t="s">
        <v>133</v>
      </c>
      <c r="P946" s="1"/>
      <c r="W946" s="3"/>
    </row>
    <row r="947" spans="1:23" x14ac:dyDescent="0.25">
      <c r="A947" s="158">
        <v>872</v>
      </c>
      <c r="B947" s="1"/>
      <c r="C947" s="484"/>
      <c r="D947" s="158">
        <v>935</v>
      </c>
      <c r="E947" s="3" t="s">
        <v>201</v>
      </c>
      <c r="F947" s="3" t="s">
        <v>202</v>
      </c>
      <c r="G947" s="506" t="s">
        <v>5508</v>
      </c>
      <c r="H947" s="589" t="s">
        <v>90</v>
      </c>
      <c r="I947" s="156" t="str">
        <f t="shared" si="59"/>
        <v>2008</v>
      </c>
      <c r="J947" s="156">
        <v>2008</v>
      </c>
      <c r="K947" s="156"/>
      <c r="L947" s="2" t="s">
        <v>203</v>
      </c>
      <c r="M947" s="157" t="str">
        <f t="shared" si="58"/>
        <v>К04700122</v>
      </c>
      <c r="N947" s="3" t="s">
        <v>132</v>
      </c>
      <c r="O947" s="4" t="s">
        <v>132</v>
      </c>
      <c r="P947" s="1"/>
      <c r="U947" s="1"/>
      <c r="V947" s="4"/>
      <c r="W947" s="3"/>
    </row>
    <row r="948" spans="1:23" x14ac:dyDescent="0.25">
      <c r="A948" s="154">
        <v>885</v>
      </c>
      <c r="B948" s="1"/>
      <c r="C948" s="1"/>
      <c r="D948" s="154">
        <v>936</v>
      </c>
      <c r="E948" s="3" t="s">
        <v>141</v>
      </c>
      <c r="F948" s="3"/>
      <c r="G948" s="2"/>
      <c r="H948" s="589" t="s">
        <v>90</v>
      </c>
      <c r="I948" s="156" t="str">
        <f t="shared" si="59"/>
        <v>2008</v>
      </c>
      <c r="J948" s="156">
        <v>2008</v>
      </c>
      <c r="K948" s="156"/>
      <c r="L948" s="2" t="s">
        <v>142</v>
      </c>
      <c r="M948" s="157" t="str">
        <f t="shared" si="58"/>
        <v>К04700208</v>
      </c>
      <c r="N948" s="3" t="s">
        <v>132</v>
      </c>
      <c r="O948" s="4" t="s">
        <v>133</v>
      </c>
      <c r="P948" s="1"/>
      <c r="U948" s="1"/>
      <c r="V948" s="177" t="s">
        <v>3577</v>
      </c>
      <c r="W948" s="3"/>
    </row>
    <row r="949" spans="1:23" x14ac:dyDescent="0.25">
      <c r="A949" s="158">
        <v>886</v>
      </c>
      <c r="B949" s="1"/>
      <c r="C949" s="1"/>
      <c r="D949" s="158">
        <v>937</v>
      </c>
      <c r="E949" s="3" t="s">
        <v>141</v>
      </c>
      <c r="F949" s="3" t="s">
        <v>206</v>
      </c>
      <c r="G949" s="2"/>
      <c r="H949" s="2"/>
      <c r="I949" s="156" t="str">
        <f t="shared" si="59"/>
        <v/>
      </c>
      <c r="J949" s="156"/>
      <c r="K949" s="156"/>
      <c r="L949" s="2" t="s">
        <v>207</v>
      </c>
      <c r="M949" s="157" t="str">
        <f t="shared" si="58"/>
        <v>К08104777</v>
      </c>
      <c r="N949" s="3" t="s">
        <v>132</v>
      </c>
      <c r="O949" s="4" t="s">
        <v>132</v>
      </c>
      <c r="P949" s="1"/>
      <c r="U949" s="1"/>
      <c r="V949" s="177" t="s">
        <v>3578</v>
      </c>
      <c r="W949" s="3"/>
    </row>
    <row r="950" spans="1:23" x14ac:dyDescent="0.25">
      <c r="A950" s="154">
        <v>889</v>
      </c>
      <c r="B950" s="1"/>
      <c r="C950" s="1"/>
      <c r="D950" s="154">
        <v>938</v>
      </c>
      <c r="E950" s="3" t="s">
        <v>141</v>
      </c>
      <c r="F950" s="3" t="s">
        <v>204</v>
      </c>
      <c r="G950" s="2"/>
      <c r="H950" s="2"/>
      <c r="I950" s="156" t="str">
        <f t="shared" si="59"/>
        <v/>
      </c>
      <c r="J950" s="156"/>
      <c r="K950" s="156"/>
      <c r="L950" s="2" t="s">
        <v>205</v>
      </c>
      <c r="M950" s="157" t="str">
        <f t="shared" si="58"/>
        <v>К08104899</v>
      </c>
      <c r="N950" s="3" t="s">
        <v>132</v>
      </c>
      <c r="O950" s="4" t="s">
        <v>132</v>
      </c>
      <c r="P950" s="1"/>
      <c r="U950" s="1"/>
      <c r="V950" s="4"/>
      <c r="W950" s="3"/>
    </row>
    <row r="951" spans="1:23" x14ac:dyDescent="0.25">
      <c r="A951" s="158">
        <v>882</v>
      </c>
      <c r="B951" s="1"/>
      <c r="C951" s="457" t="s">
        <v>3034</v>
      </c>
      <c r="D951" s="158">
        <v>939</v>
      </c>
      <c r="E951" s="3" t="s">
        <v>24</v>
      </c>
      <c r="F951" s="3" t="s">
        <v>37</v>
      </c>
      <c r="G951" s="2"/>
      <c r="H951" s="2"/>
      <c r="I951" s="156" t="str">
        <f t="shared" si="59"/>
        <v/>
      </c>
      <c r="J951" s="156"/>
      <c r="K951" s="156"/>
      <c r="L951" s="2" t="s">
        <v>143</v>
      </c>
      <c r="M951" s="157" t="str">
        <f t="shared" si="58"/>
        <v>К08105174</v>
      </c>
      <c r="N951" s="3" t="s">
        <v>132</v>
      </c>
      <c r="O951" s="4" t="s">
        <v>133</v>
      </c>
      <c r="P951" s="1"/>
      <c r="U951" s="1"/>
      <c r="V951" s="4"/>
      <c r="W951" s="3"/>
    </row>
    <row r="952" spans="1:23" x14ac:dyDescent="0.25">
      <c r="A952" s="154">
        <v>873</v>
      </c>
      <c r="B952" s="1"/>
      <c r="C952" s="457" t="s">
        <v>3034</v>
      </c>
      <c r="D952" s="154">
        <v>940</v>
      </c>
      <c r="E952" s="3" t="s">
        <v>24</v>
      </c>
      <c r="F952" s="3" t="s">
        <v>157</v>
      </c>
      <c r="G952" s="2" t="s">
        <v>158</v>
      </c>
      <c r="H952" s="2" t="s">
        <v>159</v>
      </c>
      <c r="I952" s="156" t="str">
        <f t="shared" si="59"/>
        <v>2012</v>
      </c>
      <c r="J952" s="156"/>
      <c r="K952" s="156"/>
      <c r="L952" s="2" t="s">
        <v>160</v>
      </c>
      <c r="M952" s="157" t="str">
        <f t="shared" si="58"/>
        <v>К08105202</v>
      </c>
      <c r="N952" s="3" t="s">
        <v>132</v>
      </c>
      <c r="O952" s="4" t="s">
        <v>149</v>
      </c>
      <c r="P952" s="1"/>
      <c r="U952" s="1"/>
      <c r="V952" s="4"/>
      <c r="W952" s="3"/>
    </row>
    <row r="953" spans="1:23" x14ac:dyDescent="0.25">
      <c r="A953" s="158">
        <v>868</v>
      </c>
      <c r="B953" s="1"/>
      <c r="C953" s="1"/>
      <c r="D953" s="158">
        <v>941</v>
      </c>
      <c r="E953" s="3" t="s">
        <v>24</v>
      </c>
      <c r="F953" s="3" t="s">
        <v>104</v>
      </c>
      <c r="G953" s="2" t="s">
        <v>184</v>
      </c>
      <c r="H953" s="2" t="s">
        <v>59</v>
      </c>
      <c r="I953" s="156" t="str">
        <f t="shared" si="59"/>
        <v>2013</v>
      </c>
      <c r="J953" s="156"/>
      <c r="K953" s="156"/>
      <c r="L953" s="2" t="s">
        <v>185</v>
      </c>
      <c r="M953" s="157" t="str">
        <f t="shared" si="58"/>
        <v>К173.03740</v>
      </c>
      <c r="N953" s="3" t="s">
        <v>132</v>
      </c>
      <c r="O953" s="4" t="s">
        <v>179</v>
      </c>
      <c r="P953" s="1"/>
      <c r="U953" s="1"/>
      <c r="V953" s="4"/>
      <c r="W953" s="3"/>
    </row>
    <row r="954" spans="1:23" x14ac:dyDescent="0.25">
      <c r="A954" s="158">
        <v>890</v>
      </c>
      <c r="B954" s="1"/>
      <c r="C954" s="457" t="s">
        <v>3034</v>
      </c>
      <c r="D954" s="158">
        <v>942</v>
      </c>
      <c r="E954" s="3" t="s">
        <v>24</v>
      </c>
      <c r="F954" s="3" t="s">
        <v>208</v>
      </c>
      <c r="G954" s="2" t="s">
        <v>209</v>
      </c>
      <c r="H954" s="2" t="s">
        <v>79</v>
      </c>
      <c r="I954" s="156" t="str">
        <f t="shared" si="59"/>
        <v>2009</v>
      </c>
      <c r="J954" s="156"/>
      <c r="K954" s="156"/>
      <c r="L954" s="2" t="s">
        <v>210</v>
      </c>
      <c r="M954" s="157" t="str">
        <f t="shared" si="58"/>
        <v>К08105179</v>
      </c>
      <c r="N954" s="3" t="s">
        <v>132</v>
      </c>
      <c r="O954" s="4" t="s">
        <v>132</v>
      </c>
      <c r="P954" s="1"/>
      <c r="U954" s="1"/>
      <c r="V954" s="4"/>
      <c r="W954" s="3"/>
    </row>
    <row r="955" spans="1:23" x14ac:dyDescent="0.25">
      <c r="A955" s="154">
        <v>869</v>
      </c>
      <c r="B955" s="1"/>
      <c r="C955" s="484" t="s">
        <v>3034</v>
      </c>
      <c r="D955" s="154">
        <v>943</v>
      </c>
      <c r="E955" s="3" t="s">
        <v>24</v>
      </c>
      <c r="F955" s="3" t="s">
        <v>208</v>
      </c>
      <c r="G955" s="2" t="s">
        <v>229</v>
      </c>
      <c r="H955" s="2" t="s">
        <v>90</v>
      </c>
      <c r="I955" s="156" t="str">
        <f t="shared" si="59"/>
        <v>2008</v>
      </c>
      <c r="J955" s="156"/>
      <c r="K955" s="156"/>
      <c r="L955" s="2" t="s">
        <v>230</v>
      </c>
      <c r="M955" s="157" t="str">
        <f t="shared" si="58"/>
        <v>К08105186</v>
      </c>
      <c r="N955" s="3" t="s">
        <v>132</v>
      </c>
      <c r="O955" s="4" t="s">
        <v>231</v>
      </c>
      <c r="P955" s="1"/>
      <c r="U955" s="1"/>
      <c r="V955" s="4"/>
      <c r="W955" s="3"/>
    </row>
    <row r="956" spans="1:23" x14ac:dyDescent="0.25">
      <c r="A956" s="154">
        <v>891</v>
      </c>
      <c r="B956" s="1"/>
      <c r="C956" s="1"/>
      <c r="D956" s="158">
        <v>944</v>
      </c>
      <c r="E956" s="3" t="s">
        <v>170</v>
      </c>
      <c r="F956" s="3" t="s">
        <v>171</v>
      </c>
      <c r="G956" s="2" t="s">
        <v>172</v>
      </c>
      <c r="H956" s="2" t="s">
        <v>159</v>
      </c>
      <c r="I956" s="156" t="str">
        <f t="shared" si="59"/>
        <v>2012</v>
      </c>
      <c r="J956" s="156">
        <v>2012</v>
      </c>
      <c r="K956" s="156"/>
      <c r="L956" s="2" t="s">
        <v>173</v>
      </c>
      <c r="M956" s="157" t="str">
        <f t="shared" si="58"/>
        <v>К08104485</v>
      </c>
      <c r="N956" s="3" t="s">
        <v>132</v>
      </c>
      <c r="O956" s="4" t="s">
        <v>174</v>
      </c>
      <c r="P956" s="1"/>
      <c r="U956" s="1"/>
      <c r="V956" s="4"/>
      <c r="W956" s="3"/>
    </row>
    <row r="957" spans="1:23" x14ac:dyDescent="0.25">
      <c r="A957" s="158">
        <v>892</v>
      </c>
      <c r="B957" s="1"/>
      <c r="C957" s="457" t="s">
        <v>3034</v>
      </c>
      <c r="D957" s="154">
        <v>945</v>
      </c>
      <c r="E957" s="3" t="s">
        <v>239</v>
      </c>
      <c r="F957" s="3" t="s">
        <v>240</v>
      </c>
      <c r="G957" s="2" t="s">
        <v>241</v>
      </c>
      <c r="H957" s="2" t="s">
        <v>242</v>
      </c>
      <c r="I957" s="156" t="str">
        <f t="shared" si="59"/>
        <v>2007</v>
      </c>
      <c r="J957" s="156">
        <v>2007</v>
      </c>
      <c r="K957" s="156"/>
      <c r="L957" s="2" t="s">
        <v>243</v>
      </c>
      <c r="M957" s="157" t="str">
        <f t="shared" si="58"/>
        <v>К04700203</v>
      </c>
      <c r="N957" s="3" t="s">
        <v>132</v>
      </c>
      <c r="O957" s="4" t="s">
        <v>238</v>
      </c>
      <c r="P957" s="1"/>
      <c r="U957" s="1"/>
      <c r="V957" s="4"/>
      <c r="W957" s="3"/>
    </row>
    <row r="958" spans="1:23" x14ac:dyDescent="0.25">
      <c r="A958" s="158">
        <v>870</v>
      </c>
      <c r="B958" s="1"/>
      <c r="C958" s="457" t="s">
        <v>3034</v>
      </c>
      <c r="D958" s="158">
        <v>946</v>
      </c>
      <c r="E958" s="3" t="s">
        <v>211</v>
      </c>
      <c r="F958" s="3" t="s">
        <v>212</v>
      </c>
      <c r="G958" s="2" t="s">
        <v>213</v>
      </c>
      <c r="H958" s="2" t="s">
        <v>214</v>
      </c>
      <c r="I958" s="156" t="str">
        <f t="shared" si="59"/>
        <v>2012</v>
      </c>
      <c r="J958" s="156">
        <v>2012</v>
      </c>
      <c r="K958" s="156"/>
      <c r="L958" s="2" t="s">
        <v>215</v>
      </c>
      <c r="M958" s="157" t="str">
        <f t="shared" si="58"/>
        <v>К04700255</v>
      </c>
      <c r="N958" s="3" t="s">
        <v>132</v>
      </c>
      <c r="O958" s="4" t="s">
        <v>132</v>
      </c>
      <c r="P958" s="1"/>
      <c r="U958" s="153" t="s">
        <v>3646</v>
      </c>
      <c r="V958" s="4"/>
      <c r="W958" s="3"/>
    </row>
    <row r="959" spans="1:23" x14ac:dyDescent="0.25">
      <c r="A959" s="158">
        <v>874</v>
      </c>
      <c r="B959" s="136" t="s">
        <v>3552</v>
      </c>
      <c r="C959" s="136"/>
      <c r="D959" s="154">
        <v>947</v>
      </c>
      <c r="E959" s="138" t="s">
        <v>28</v>
      </c>
      <c r="F959" s="3" t="s">
        <v>175</v>
      </c>
      <c r="G959" s="2" t="s">
        <v>176</v>
      </c>
      <c r="H959" s="2" t="s">
        <v>159</v>
      </c>
      <c r="I959" s="156" t="str">
        <f t="shared" si="59"/>
        <v>2012</v>
      </c>
      <c r="J959" s="156">
        <v>2012</v>
      </c>
      <c r="K959" s="156"/>
      <c r="L959" s="2" t="s">
        <v>177</v>
      </c>
      <c r="M959" s="157" t="str">
        <f t="shared" si="58"/>
        <v>К08105056</v>
      </c>
      <c r="N959" s="3" t="s">
        <v>132</v>
      </c>
      <c r="O959" s="4" t="s">
        <v>174</v>
      </c>
      <c r="P959" s="1"/>
      <c r="U959" s="153" t="s">
        <v>3646</v>
      </c>
      <c r="V959" s="4"/>
      <c r="W959" s="3"/>
    </row>
    <row r="960" spans="1:23" x14ac:dyDescent="0.25">
      <c r="A960" s="154">
        <v>883</v>
      </c>
      <c r="B960" s="1"/>
      <c r="C960" s="484" t="s">
        <v>5507</v>
      </c>
      <c r="D960" s="158">
        <v>948</v>
      </c>
      <c r="E960" s="3" t="s">
        <v>219</v>
      </c>
      <c r="F960" s="3" t="s">
        <v>220</v>
      </c>
      <c r="G960" s="2" t="s">
        <v>221</v>
      </c>
      <c r="H960" s="2"/>
      <c r="I960" s="156" t="str">
        <f t="shared" si="59"/>
        <v/>
      </c>
      <c r="J960" s="156"/>
      <c r="K960" s="156"/>
      <c r="L960" s="2" t="s">
        <v>189</v>
      </c>
      <c r="M960" s="157" t="str">
        <f t="shared" si="58"/>
        <v>К4240000021</v>
      </c>
      <c r="N960" s="3" t="s">
        <v>132</v>
      </c>
      <c r="O960" s="4" t="s">
        <v>132</v>
      </c>
      <c r="P960" s="1"/>
      <c r="U960" s="153" t="s">
        <v>3646</v>
      </c>
      <c r="V960" s="4"/>
      <c r="W960" s="3"/>
    </row>
    <row r="961" spans="1:23" x14ac:dyDescent="0.25">
      <c r="A961" s="154">
        <v>893</v>
      </c>
      <c r="B961" s="1"/>
      <c r="C961" s="1"/>
      <c r="D961" s="158">
        <v>949</v>
      </c>
      <c r="E961" s="3" t="s">
        <v>161</v>
      </c>
      <c r="F961" s="3" t="s">
        <v>162</v>
      </c>
      <c r="G961" s="2" t="s">
        <v>163</v>
      </c>
      <c r="H961" s="2" t="s">
        <v>164</v>
      </c>
      <c r="I961" s="156" t="str">
        <f t="shared" si="59"/>
        <v>2012</v>
      </c>
      <c r="J961" s="156">
        <v>2012</v>
      </c>
      <c r="K961" s="156"/>
      <c r="L961" s="2" t="s">
        <v>148</v>
      </c>
      <c r="M961" s="157" t="str">
        <f t="shared" si="58"/>
        <v>К08104476</v>
      </c>
      <c r="N961" s="3" t="s">
        <v>132</v>
      </c>
      <c r="O961" s="4" t="s">
        <v>149</v>
      </c>
      <c r="P961" s="1"/>
      <c r="U961" s="153" t="s">
        <v>3646</v>
      </c>
      <c r="V961" s="4"/>
      <c r="W961" s="3"/>
    </row>
    <row r="962" spans="1:23" x14ac:dyDescent="0.25">
      <c r="A962" s="154">
        <v>899</v>
      </c>
      <c r="B962" s="1"/>
      <c r="C962" s="484" t="s">
        <v>5507</v>
      </c>
      <c r="D962" s="154">
        <v>950</v>
      </c>
      <c r="E962" s="3" t="s">
        <v>165</v>
      </c>
      <c r="F962" s="3" t="s">
        <v>162</v>
      </c>
      <c r="G962" s="2" t="s">
        <v>166</v>
      </c>
      <c r="H962" s="2" t="s">
        <v>164</v>
      </c>
      <c r="I962" s="156" t="str">
        <f t="shared" si="59"/>
        <v>2012</v>
      </c>
      <c r="J962" s="156">
        <v>2012</v>
      </c>
      <c r="K962" s="156"/>
      <c r="L962" s="2" t="s">
        <v>148</v>
      </c>
      <c r="M962" s="157" t="str">
        <f t="shared" si="58"/>
        <v>К08104476</v>
      </c>
      <c r="N962" s="3" t="s">
        <v>132</v>
      </c>
      <c r="O962" s="4" t="s">
        <v>149</v>
      </c>
      <c r="P962" s="1"/>
      <c r="U962" s="153" t="s">
        <v>3646</v>
      </c>
      <c r="V962" s="4"/>
      <c r="W962" s="3"/>
    </row>
    <row r="963" spans="1:23" x14ac:dyDescent="0.25">
      <c r="A963" s="158">
        <v>878</v>
      </c>
      <c r="B963" s="1"/>
      <c r="C963" s="1"/>
      <c r="D963" s="158">
        <v>951</v>
      </c>
      <c r="E963" s="3" t="s">
        <v>223</v>
      </c>
      <c r="F963" s="3" t="s">
        <v>224</v>
      </c>
      <c r="G963" s="2"/>
      <c r="H963" s="2" t="s">
        <v>225</v>
      </c>
      <c r="I963" s="156" t="str">
        <f t="shared" si="59"/>
        <v>2021</v>
      </c>
      <c r="J963" s="156">
        <v>2021</v>
      </c>
      <c r="K963" s="156"/>
      <c r="L963" s="2"/>
      <c r="M963" s="157" t="str">
        <f t="shared" si="58"/>
        <v>К</v>
      </c>
      <c r="N963" s="3" t="s">
        <v>132</v>
      </c>
      <c r="O963" s="4" t="s">
        <v>132</v>
      </c>
      <c r="P963" s="1"/>
      <c r="U963" s="1"/>
      <c r="V963" s="4"/>
      <c r="W963" s="3"/>
    </row>
    <row r="964" spans="1:23" x14ac:dyDescent="0.25">
      <c r="A964" s="158">
        <v>902</v>
      </c>
      <c r="B964" s="1"/>
      <c r="C964" s="1"/>
      <c r="D964" s="154">
        <v>952</v>
      </c>
      <c r="E964" s="3" t="s">
        <v>226</v>
      </c>
      <c r="F964" s="3" t="s">
        <v>227</v>
      </c>
      <c r="G964" s="2" t="s">
        <v>228</v>
      </c>
      <c r="H964" s="2"/>
      <c r="I964" s="156" t="str">
        <f t="shared" si="59"/>
        <v/>
      </c>
      <c r="J964" s="156"/>
      <c r="K964" s="156"/>
      <c r="L964" s="2"/>
      <c r="M964" s="157" t="str">
        <f t="shared" si="58"/>
        <v>К</v>
      </c>
      <c r="N964" s="3" t="s">
        <v>132</v>
      </c>
      <c r="O964" s="4" t="s">
        <v>132</v>
      </c>
      <c r="P964" s="1"/>
      <c r="U964" s="1"/>
      <c r="V964" s="4"/>
      <c r="W964" s="3"/>
    </row>
    <row r="965" spans="1:23" x14ac:dyDescent="0.25">
      <c r="A965" s="158">
        <v>894</v>
      </c>
      <c r="B965" s="1"/>
      <c r="C965" s="481" t="s">
        <v>3640</v>
      </c>
      <c r="D965" s="158">
        <v>953</v>
      </c>
      <c r="E965" s="482" t="s">
        <v>2320</v>
      </c>
      <c r="F965" s="3" t="s">
        <v>5550</v>
      </c>
      <c r="G965" s="2" t="s">
        <v>5551</v>
      </c>
      <c r="H965" s="2" t="s">
        <v>66</v>
      </c>
      <c r="I965" s="156"/>
      <c r="J965" s="156"/>
      <c r="K965" s="156"/>
      <c r="L965" s="2"/>
      <c r="M965" s="157"/>
      <c r="N965" s="3" t="s">
        <v>132</v>
      </c>
      <c r="O965" s="4" t="s">
        <v>179</v>
      </c>
      <c r="P965" s="1"/>
      <c r="U965" s="1"/>
      <c r="V965" s="4"/>
      <c r="W965" s="3"/>
    </row>
    <row r="966" spans="1:23" x14ac:dyDescent="0.25">
      <c r="A966" s="154">
        <v>879</v>
      </c>
      <c r="B966" s="1"/>
      <c r="C966" s="1"/>
      <c r="D966" s="154">
        <v>954</v>
      </c>
      <c r="E966" s="3"/>
      <c r="F966" s="468" t="s">
        <v>167</v>
      </c>
      <c r="G966" s="2" t="s">
        <v>168</v>
      </c>
      <c r="H966" s="589" t="s">
        <v>47</v>
      </c>
      <c r="I966" s="156" t="str">
        <f t="shared" ref="I966:I1029" si="60">RIGHT(H966,4)</f>
        <v>2010</v>
      </c>
      <c r="J966" s="156">
        <v>2010</v>
      </c>
      <c r="K966" s="156"/>
      <c r="L966" s="2" t="s">
        <v>169</v>
      </c>
      <c r="M966" s="157" t="str">
        <f t="shared" ref="M966:M1029" si="61">CONCATENATE("К",L966)</f>
        <v>К04700191</v>
      </c>
      <c r="N966" s="3" t="s">
        <v>132</v>
      </c>
      <c r="O966" s="4" t="s">
        <v>149</v>
      </c>
      <c r="P966" s="1"/>
      <c r="U966" s="1"/>
      <c r="V966" s="4"/>
      <c r="W966" s="3"/>
    </row>
    <row r="967" spans="1:23" ht="30" x14ac:dyDescent="0.25">
      <c r="A967" s="158">
        <v>896</v>
      </c>
      <c r="B967" s="1"/>
      <c r="C967" s="457"/>
      <c r="D967" s="158">
        <v>955</v>
      </c>
      <c r="E967" s="3" t="s">
        <v>24</v>
      </c>
      <c r="F967" s="3" t="s">
        <v>37</v>
      </c>
      <c r="G967" s="2" t="s">
        <v>2684</v>
      </c>
      <c r="H967" s="2" t="s">
        <v>41</v>
      </c>
      <c r="I967" s="156" t="str">
        <f t="shared" si="60"/>
        <v>2015</v>
      </c>
      <c r="J967" s="156"/>
      <c r="K967" s="156"/>
      <c r="L967" s="2" t="s">
        <v>2685</v>
      </c>
      <c r="M967" s="157" t="str">
        <f t="shared" si="61"/>
        <v>К08102974_2,
7240000371</v>
      </c>
      <c r="N967" s="3" t="s">
        <v>2686</v>
      </c>
      <c r="O967" s="4" t="s">
        <v>2687</v>
      </c>
      <c r="P967" s="1"/>
      <c r="U967" s="1"/>
      <c r="V967" s="4"/>
      <c r="W967" s="3"/>
    </row>
    <row r="968" spans="1:23" x14ac:dyDescent="0.25">
      <c r="A968" s="154">
        <v>875</v>
      </c>
      <c r="B968" s="1"/>
      <c r="C968" s="1"/>
      <c r="D968" s="158">
        <v>956</v>
      </c>
      <c r="E968" s="513" t="s">
        <v>461</v>
      </c>
      <c r="F968" s="513" t="s">
        <v>2496</v>
      </c>
      <c r="G968" s="514" t="s">
        <v>2497</v>
      </c>
      <c r="H968" s="514" t="s">
        <v>969</v>
      </c>
      <c r="I968" s="156" t="str">
        <f t="shared" si="60"/>
        <v>2017</v>
      </c>
      <c r="J968" s="156">
        <v>2017</v>
      </c>
      <c r="K968" s="156"/>
      <c r="L968" s="2"/>
      <c r="M968" s="157" t="str">
        <f t="shared" si="61"/>
        <v>К</v>
      </c>
      <c r="N968" s="511" t="s">
        <v>2048</v>
      </c>
      <c r="O968" s="512" t="s">
        <v>443</v>
      </c>
      <c r="P968" s="1"/>
      <c r="U968" s="1"/>
      <c r="V968" s="4"/>
      <c r="W968" s="3"/>
    </row>
    <row r="969" spans="1:23" x14ac:dyDescent="0.25">
      <c r="A969" s="158">
        <v>876</v>
      </c>
      <c r="B969" s="1"/>
      <c r="C969" s="1"/>
      <c r="D969" s="154">
        <v>957</v>
      </c>
      <c r="E969" s="510" t="s">
        <v>2587</v>
      </c>
      <c r="F969" s="510" t="s">
        <v>2589</v>
      </c>
      <c r="G969" s="517" t="s">
        <v>2590</v>
      </c>
      <c r="H969" s="2"/>
      <c r="I969" s="156" t="str">
        <f t="shared" si="60"/>
        <v/>
      </c>
      <c r="J969" s="156"/>
      <c r="K969" s="156"/>
      <c r="L969" s="517" t="s">
        <v>2588</v>
      </c>
      <c r="M969" s="157" t="str">
        <f t="shared" si="61"/>
        <v>К201370283</v>
      </c>
      <c r="N969" s="511" t="s">
        <v>2048</v>
      </c>
      <c r="O969" s="519" t="s">
        <v>2053</v>
      </c>
      <c r="P969" s="1"/>
      <c r="U969" s="1"/>
      <c r="V969" s="4"/>
      <c r="W969" s="3"/>
    </row>
    <row r="970" spans="1:23" x14ac:dyDescent="0.25">
      <c r="A970" s="154">
        <v>897</v>
      </c>
      <c r="B970" s="1"/>
      <c r="C970" s="1"/>
      <c r="D970" s="158">
        <v>958</v>
      </c>
      <c r="E970" s="513" t="s">
        <v>2508</v>
      </c>
      <c r="F970" s="513" t="s">
        <v>2509</v>
      </c>
      <c r="G970" s="514" t="s">
        <v>2510</v>
      </c>
      <c r="H970" s="514" t="s">
        <v>550</v>
      </c>
      <c r="I970" s="156" t="str">
        <f t="shared" si="60"/>
        <v>2005</v>
      </c>
      <c r="J970" s="156">
        <v>2005</v>
      </c>
      <c r="K970" s="156"/>
      <c r="L970" s="514" t="s">
        <v>2507</v>
      </c>
      <c r="M970" s="157" t="str">
        <f t="shared" si="61"/>
        <v>К04700127</v>
      </c>
      <c r="N970" s="511" t="s">
        <v>2048</v>
      </c>
      <c r="O970" s="512" t="s">
        <v>443</v>
      </c>
      <c r="P970" s="1"/>
      <c r="U970" s="1"/>
      <c r="V970" s="4"/>
      <c r="W970" s="3"/>
    </row>
    <row r="971" spans="1:23" x14ac:dyDescent="0.25">
      <c r="A971" s="158">
        <v>898</v>
      </c>
      <c r="B971" s="1"/>
      <c r="C971" s="1"/>
      <c r="D971" s="154">
        <v>959</v>
      </c>
      <c r="E971" s="520" t="s">
        <v>2442</v>
      </c>
      <c r="F971" s="3"/>
      <c r="G971" s="2"/>
      <c r="H971" s="2"/>
      <c r="I971" s="156" t="str">
        <f t="shared" si="60"/>
        <v/>
      </c>
      <c r="J971" s="156"/>
      <c r="K971" s="156"/>
      <c r="L971" s="523" t="s">
        <v>2441</v>
      </c>
      <c r="M971" s="157" t="str">
        <f t="shared" si="61"/>
        <v>К03100084</v>
      </c>
      <c r="N971" s="511" t="s">
        <v>2048</v>
      </c>
      <c r="O971" s="521" t="s">
        <v>2060</v>
      </c>
      <c r="P971" s="1"/>
      <c r="U971" s="1"/>
      <c r="V971" s="4"/>
      <c r="W971" s="3"/>
    </row>
    <row r="972" spans="1:23" x14ac:dyDescent="0.25">
      <c r="A972" s="154"/>
      <c r="B972" s="1"/>
      <c r="C972" s="1"/>
      <c r="D972" s="158">
        <v>960</v>
      </c>
      <c r="E972" s="509" t="s">
        <v>2554</v>
      </c>
      <c r="F972" s="510" t="s">
        <v>2556</v>
      </c>
      <c r="G972" s="2"/>
      <c r="H972" s="2"/>
      <c r="I972" s="156" t="str">
        <f t="shared" si="60"/>
        <v/>
      </c>
      <c r="J972" s="156"/>
      <c r="K972" s="156"/>
      <c r="L972" s="518" t="s">
        <v>2555</v>
      </c>
      <c r="M972" s="157" t="str">
        <f t="shared" si="61"/>
        <v>К21012400350</v>
      </c>
      <c r="N972" s="511" t="s">
        <v>2048</v>
      </c>
      <c r="O972" s="512" t="s">
        <v>2049</v>
      </c>
      <c r="P972" s="1"/>
      <c r="U972" s="153"/>
      <c r="V972" s="4"/>
      <c r="W972" s="3"/>
    </row>
    <row r="973" spans="1:23" x14ac:dyDescent="0.25">
      <c r="A973" s="154">
        <v>877</v>
      </c>
      <c r="B973" s="1"/>
      <c r="C973" s="1"/>
      <c r="D973" s="154">
        <v>961</v>
      </c>
      <c r="E973" s="511" t="s">
        <v>2340</v>
      </c>
      <c r="F973" s="511" t="s">
        <v>2403</v>
      </c>
      <c r="G973" s="522" t="s">
        <v>2402</v>
      </c>
      <c r="H973" s="522" t="s">
        <v>1355</v>
      </c>
      <c r="I973" s="156" t="str">
        <f t="shared" si="60"/>
        <v>2002</v>
      </c>
      <c r="J973" s="156">
        <v>2002</v>
      </c>
      <c r="K973" s="156"/>
      <c r="L973" s="522" t="s">
        <v>2401</v>
      </c>
      <c r="M973" s="157" t="str">
        <f t="shared" si="61"/>
        <v>К01370916_1</v>
      </c>
      <c r="N973" s="511" t="s">
        <v>2048</v>
      </c>
      <c r="O973" s="521" t="s">
        <v>2060</v>
      </c>
      <c r="P973" s="1"/>
      <c r="U973" s="1"/>
      <c r="V973" s="4"/>
      <c r="W973" s="3"/>
    </row>
    <row r="974" spans="1:23" x14ac:dyDescent="0.25">
      <c r="A974" s="158">
        <v>904</v>
      </c>
      <c r="B974" s="1"/>
      <c r="C974" s="1"/>
      <c r="D974" s="158">
        <v>962</v>
      </c>
      <c r="E974" s="486" t="s">
        <v>1546</v>
      </c>
      <c r="F974" s="513" t="s">
        <v>2525</v>
      </c>
      <c r="G974" s="514" t="s">
        <v>2524</v>
      </c>
      <c r="H974" s="514" t="s">
        <v>1406</v>
      </c>
      <c r="I974" s="156" t="str">
        <f t="shared" si="60"/>
        <v>2013</v>
      </c>
      <c r="J974" s="156">
        <v>2013</v>
      </c>
      <c r="K974" s="156"/>
      <c r="L974" s="514" t="s">
        <v>2523</v>
      </c>
      <c r="M974" s="157" t="str">
        <f t="shared" si="61"/>
        <v>К08106191</v>
      </c>
      <c r="N974" s="511" t="s">
        <v>2048</v>
      </c>
      <c r="O974" s="512" t="s">
        <v>2049</v>
      </c>
      <c r="P974" s="1"/>
      <c r="U974" s="153" t="s">
        <v>3646</v>
      </c>
      <c r="V974" s="4"/>
      <c r="W974" s="3"/>
    </row>
    <row r="975" spans="1:23" x14ac:dyDescent="0.25">
      <c r="A975" s="154">
        <v>957</v>
      </c>
      <c r="B975" s="1"/>
      <c r="C975" s="1"/>
      <c r="D975" s="158">
        <v>963</v>
      </c>
      <c r="E975" s="513" t="s">
        <v>2517</v>
      </c>
      <c r="F975" s="513" t="s">
        <v>2516</v>
      </c>
      <c r="G975" s="2"/>
      <c r="H975" s="2"/>
      <c r="I975" s="156" t="str">
        <f t="shared" si="60"/>
        <v/>
      </c>
      <c r="J975" s="156"/>
      <c r="K975" s="156"/>
      <c r="L975" s="514" t="s">
        <v>2515</v>
      </c>
      <c r="M975" s="157" t="str">
        <f t="shared" si="61"/>
        <v>К08103073_2</v>
      </c>
      <c r="N975" s="511" t="s">
        <v>2048</v>
      </c>
      <c r="O975" s="512" t="s">
        <v>443</v>
      </c>
      <c r="P975" s="1"/>
      <c r="U975" s="1"/>
      <c r="V975" s="4"/>
      <c r="W975" s="3"/>
    </row>
    <row r="976" spans="1:23" x14ac:dyDescent="0.25">
      <c r="A976" s="154">
        <v>931</v>
      </c>
      <c r="B976" s="1"/>
      <c r="C976" s="1"/>
      <c r="D976" s="154">
        <v>964</v>
      </c>
      <c r="E976" s="3" t="s">
        <v>24</v>
      </c>
      <c r="F976" s="3" t="s">
        <v>1105</v>
      </c>
      <c r="G976" s="517" t="s">
        <v>2572</v>
      </c>
      <c r="H976" s="517" t="s">
        <v>1107</v>
      </c>
      <c r="I976" s="156" t="str">
        <f t="shared" si="60"/>
        <v>2020</v>
      </c>
      <c r="J976" s="156"/>
      <c r="K976" s="156"/>
      <c r="L976" s="517"/>
      <c r="M976" s="157" t="str">
        <f t="shared" si="61"/>
        <v>К</v>
      </c>
      <c r="N976" s="511" t="s">
        <v>2048</v>
      </c>
      <c r="O976" s="519" t="s">
        <v>2053</v>
      </c>
      <c r="P976" s="1"/>
      <c r="U976" s="1"/>
      <c r="V976" s="4"/>
      <c r="W976" s="3"/>
    </row>
    <row r="977" spans="1:23" x14ac:dyDescent="0.25">
      <c r="A977" s="158">
        <v>958</v>
      </c>
      <c r="B977" s="1"/>
      <c r="C977" s="1"/>
      <c r="D977" s="158">
        <v>965</v>
      </c>
      <c r="E977" s="3" t="s">
        <v>24</v>
      </c>
      <c r="F977" s="3" t="s">
        <v>1105</v>
      </c>
      <c r="G977" s="522" t="s">
        <v>2385</v>
      </c>
      <c r="H977" s="2" t="s">
        <v>1107</v>
      </c>
      <c r="I977" s="156" t="str">
        <f t="shared" si="60"/>
        <v>2020</v>
      </c>
      <c r="J977" s="156"/>
      <c r="K977" s="156"/>
      <c r="L977" s="522" t="s">
        <v>2386</v>
      </c>
      <c r="M977" s="157" t="str">
        <f t="shared" si="61"/>
        <v>К41012412354</v>
      </c>
      <c r="N977" s="511" t="s">
        <v>2048</v>
      </c>
      <c r="O977" s="521" t="s">
        <v>116</v>
      </c>
      <c r="P977" s="1"/>
      <c r="U977" s="1"/>
      <c r="V977" s="4"/>
      <c r="W977" s="3"/>
    </row>
    <row r="978" spans="1:23" x14ac:dyDescent="0.25">
      <c r="A978" s="154">
        <v>965</v>
      </c>
      <c r="B978" s="1"/>
      <c r="C978" s="1"/>
      <c r="D978" s="154">
        <v>966</v>
      </c>
      <c r="E978" s="513" t="s">
        <v>2503</v>
      </c>
      <c r="F978" s="513" t="s">
        <v>2504</v>
      </c>
      <c r="G978" s="2"/>
      <c r="H978" s="2"/>
      <c r="I978" s="156" t="str">
        <f t="shared" si="60"/>
        <v/>
      </c>
      <c r="J978" s="156"/>
      <c r="K978" s="156"/>
      <c r="L978" s="2"/>
      <c r="M978" s="157" t="str">
        <f t="shared" si="61"/>
        <v>К</v>
      </c>
      <c r="N978" s="511" t="s">
        <v>2048</v>
      </c>
      <c r="O978" s="512" t="s">
        <v>443</v>
      </c>
      <c r="P978" s="1"/>
      <c r="U978" s="1"/>
      <c r="V978" s="4"/>
      <c r="W978" s="3"/>
    </row>
    <row r="979" spans="1:23" x14ac:dyDescent="0.25">
      <c r="A979" s="154">
        <v>905</v>
      </c>
      <c r="B979" s="1"/>
      <c r="C979" s="1"/>
      <c r="D979" s="158">
        <v>967</v>
      </c>
      <c r="E979" s="513" t="s">
        <v>2513</v>
      </c>
      <c r="F979" s="513" t="s">
        <v>2512</v>
      </c>
      <c r="G979" s="514" t="s">
        <v>2514</v>
      </c>
      <c r="H979" s="2"/>
      <c r="I979" s="156" t="str">
        <f t="shared" si="60"/>
        <v/>
      </c>
      <c r="J979" s="156"/>
      <c r="K979" s="156"/>
      <c r="L979" s="514" t="s">
        <v>2511</v>
      </c>
      <c r="M979" s="157" t="str">
        <f t="shared" si="61"/>
        <v>К08104042</v>
      </c>
      <c r="N979" s="511" t="s">
        <v>2048</v>
      </c>
      <c r="O979" s="512" t="s">
        <v>443</v>
      </c>
      <c r="P979" s="1"/>
      <c r="U979" s="1"/>
      <c r="V979" s="4"/>
      <c r="W979" s="3"/>
    </row>
    <row r="980" spans="1:23" ht="45" x14ac:dyDescent="0.25">
      <c r="A980" s="158">
        <v>966</v>
      </c>
      <c r="B980" s="1"/>
      <c r="C980" s="1"/>
      <c r="D980" s="154">
        <v>968</v>
      </c>
      <c r="E980" s="3" t="s">
        <v>2105</v>
      </c>
      <c r="F980" s="744" t="s">
        <v>2106</v>
      </c>
      <c r="G980" s="2" t="s">
        <v>2107</v>
      </c>
      <c r="H980" s="2" t="s">
        <v>2108</v>
      </c>
      <c r="I980" s="156" t="str">
        <f t="shared" si="60"/>
        <v>2017</v>
      </c>
      <c r="J980" s="156">
        <v>2017</v>
      </c>
      <c r="K980" s="156"/>
      <c r="L980" s="2"/>
      <c r="M980" s="157" t="str">
        <f t="shared" si="61"/>
        <v>К</v>
      </c>
      <c r="N980" s="511" t="s">
        <v>2048</v>
      </c>
      <c r="O980" s="519" t="s">
        <v>53</v>
      </c>
      <c r="P980" s="1"/>
      <c r="U980" s="1"/>
      <c r="V980" s="4"/>
      <c r="W980" s="3"/>
    </row>
    <row r="981" spans="1:23" x14ac:dyDescent="0.25">
      <c r="A981" s="158">
        <v>906</v>
      </c>
      <c r="B981" s="1"/>
      <c r="C981" s="457" t="s">
        <v>3034</v>
      </c>
      <c r="D981" s="158">
        <v>969</v>
      </c>
      <c r="E981" s="3" t="s">
        <v>499</v>
      </c>
      <c r="F981" s="3" t="s">
        <v>2050</v>
      </c>
      <c r="G981" s="2" t="s">
        <v>2051</v>
      </c>
      <c r="H981" s="2" t="s">
        <v>124</v>
      </c>
      <c r="I981" s="156" t="str">
        <f t="shared" si="60"/>
        <v>2018</v>
      </c>
      <c r="J981" s="156">
        <v>2018</v>
      </c>
      <c r="K981" s="156"/>
      <c r="L981" s="2" t="s">
        <v>2052</v>
      </c>
      <c r="M981" s="157" t="str">
        <f t="shared" si="61"/>
        <v>К210112400191</v>
      </c>
      <c r="N981" s="3" t="s">
        <v>2048</v>
      </c>
      <c r="O981" s="4" t="s">
        <v>2053</v>
      </c>
      <c r="P981" s="1"/>
      <c r="U981" s="1"/>
      <c r="V981" s="4"/>
      <c r="W981" s="3"/>
    </row>
    <row r="982" spans="1:23" x14ac:dyDescent="0.25">
      <c r="A982" s="154">
        <v>959</v>
      </c>
      <c r="B982" s="1"/>
      <c r="C982" s="457" t="s">
        <v>3034</v>
      </c>
      <c r="D982" s="158">
        <v>970</v>
      </c>
      <c r="E982" s="3" t="s">
        <v>499</v>
      </c>
      <c r="F982" s="3" t="s">
        <v>2061</v>
      </c>
      <c r="G982" s="2" t="s">
        <v>2062</v>
      </c>
      <c r="H982" s="2" t="s">
        <v>969</v>
      </c>
      <c r="I982" s="156" t="str">
        <f t="shared" si="60"/>
        <v>2017</v>
      </c>
      <c r="J982" s="156">
        <v>2017</v>
      </c>
      <c r="K982" s="156"/>
      <c r="L982" s="2" t="s">
        <v>2063</v>
      </c>
      <c r="M982" s="157" t="str">
        <f t="shared" si="61"/>
        <v>К2240000084</v>
      </c>
      <c r="N982" s="3" t="s">
        <v>2048</v>
      </c>
      <c r="O982" s="4" t="s">
        <v>2064</v>
      </c>
      <c r="P982" s="1"/>
      <c r="U982" s="1"/>
      <c r="V982" s="4"/>
      <c r="W982" s="3"/>
    </row>
    <row r="983" spans="1:23" x14ac:dyDescent="0.25">
      <c r="A983" s="158">
        <v>932</v>
      </c>
      <c r="B983" s="1"/>
      <c r="C983" s="457" t="s">
        <v>3034</v>
      </c>
      <c r="D983" s="154">
        <v>971</v>
      </c>
      <c r="E983" s="3" t="s">
        <v>499</v>
      </c>
      <c r="F983" s="3" t="s">
        <v>2067</v>
      </c>
      <c r="G983" s="2" t="s">
        <v>2068</v>
      </c>
      <c r="H983" s="2" t="s">
        <v>79</v>
      </c>
      <c r="I983" s="156" t="str">
        <f t="shared" si="60"/>
        <v>2009</v>
      </c>
      <c r="J983" s="156">
        <v>2009</v>
      </c>
      <c r="K983" s="156"/>
      <c r="L983" s="2" t="s">
        <v>2069</v>
      </c>
      <c r="M983" s="157" t="str">
        <f t="shared" si="61"/>
        <v>К08102731_2</v>
      </c>
      <c r="N983" s="3" t="s">
        <v>2048</v>
      </c>
      <c r="O983" s="4" t="s">
        <v>2070</v>
      </c>
      <c r="P983" s="1"/>
      <c r="U983" s="153" t="s">
        <v>3646</v>
      </c>
      <c r="V983" s="4"/>
      <c r="W983" s="3"/>
    </row>
    <row r="984" spans="1:23" x14ac:dyDescent="0.25">
      <c r="A984" s="158">
        <v>1016</v>
      </c>
      <c r="B984" s="1"/>
      <c r="C984" s="457" t="s">
        <v>3034</v>
      </c>
      <c r="D984" s="158">
        <v>972</v>
      </c>
      <c r="E984" s="486" t="s">
        <v>3677</v>
      </c>
      <c r="F984" s="3" t="s">
        <v>2045</v>
      </c>
      <c r="G984" s="515" t="s">
        <v>2046</v>
      </c>
      <c r="H984" s="2"/>
      <c r="I984" s="156" t="str">
        <f t="shared" si="60"/>
        <v/>
      </c>
      <c r="J984" s="156"/>
      <c r="K984" s="156"/>
      <c r="L984" s="2" t="s">
        <v>2047</v>
      </c>
      <c r="M984" s="157" t="str">
        <f t="shared" si="61"/>
        <v>К08103047_2</v>
      </c>
      <c r="N984" s="3" t="s">
        <v>2048</v>
      </c>
      <c r="O984" s="4" t="s">
        <v>2049</v>
      </c>
      <c r="P984" s="1"/>
      <c r="U984" s="153" t="s">
        <v>3646</v>
      </c>
      <c r="V984" s="4"/>
      <c r="W984" s="3"/>
    </row>
    <row r="985" spans="1:23" x14ac:dyDescent="0.25">
      <c r="A985" s="158">
        <v>960</v>
      </c>
      <c r="B985" s="1"/>
      <c r="C985" s="457" t="s">
        <v>3034</v>
      </c>
      <c r="D985" s="154">
        <v>973</v>
      </c>
      <c r="E985" s="486" t="s">
        <v>3677</v>
      </c>
      <c r="F985" s="3" t="s">
        <v>2045</v>
      </c>
      <c r="G985" s="2" t="s">
        <v>2054</v>
      </c>
      <c r="H985" s="2"/>
      <c r="I985" s="156" t="str">
        <f t="shared" si="60"/>
        <v/>
      </c>
      <c r="J985" s="156"/>
      <c r="K985" s="156"/>
      <c r="L985" s="2" t="s">
        <v>2055</v>
      </c>
      <c r="M985" s="157" t="str">
        <f t="shared" si="61"/>
        <v>К08103045_2</v>
      </c>
      <c r="N985" s="3" t="s">
        <v>2048</v>
      </c>
      <c r="O985" s="4" t="s">
        <v>2053</v>
      </c>
      <c r="P985" s="1"/>
      <c r="U985" s="1"/>
      <c r="V985" s="4"/>
      <c r="W985" s="3"/>
    </row>
    <row r="986" spans="1:23" x14ac:dyDescent="0.25">
      <c r="A986" s="154">
        <v>961</v>
      </c>
      <c r="B986" s="1"/>
      <c r="C986" s="457" t="s">
        <v>3034</v>
      </c>
      <c r="D986" s="158">
        <v>974</v>
      </c>
      <c r="E986" s="486" t="s">
        <v>3677</v>
      </c>
      <c r="F986" s="43" t="s">
        <v>3461</v>
      </c>
      <c r="G986" s="2" t="s">
        <v>2057</v>
      </c>
      <c r="H986" s="2" t="s">
        <v>2058</v>
      </c>
      <c r="I986" s="156" t="str">
        <f t="shared" si="60"/>
        <v>2017</v>
      </c>
      <c r="J986" s="156">
        <v>2017</v>
      </c>
      <c r="K986" s="156"/>
      <c r="L986" s="2" t="s">
        <v>2059</v>
      </c>
      <c r="M986" s="157" t="str">
        <f t="shared" si="61"/>
        <v>К2240000082</v>
      </c>
      <c r="N986" s="3" t="s">
        <v>2048</v>
      </c>
      <c r="O986" s="4" t="s">
        <v>2060</v>
      </c>
      <c r="P986" s="1"/>
      <c r="U986" s="1"/>
      <c r="V986" s="4"/>
      <c r="W986" s="3"/>
    </row>
    <row r="987" spans="1:23" x14ac:dyDescent="0.25">
      <c r="A987" s="158">
        <v>928</v>
      </c>
      <c r="B987" s="1"/>
      <c r="C987" s="457" t="s">
        <v>3034</v>
      </c>
      <c r="D987" s="154">
        <v>975</v>
      </c>
      <c r="E987" s="486" t="s">
        <v>3677</v>
      </c>
      <c r="F987" s="3" t="s">
        <v>2045</v>
      </c>
      <c r="G987" s="2" t="s">
        <v>2065</v>
      </c>
      <c r="H987" s="2"/>
      <c r="I987" s="156" t="str">
        <f t="shared" si="60"/>
        <v/>
      </c>
      <c r="J987" s="156"/>
      <c r="K987" s="156"/>
      <c r="L987" s="2" t="s">
        <v>2066</v>
      </c>
      <c r="M987" s="157" t="str">
        <f t="shared" si="61"/>
        <v>К08104105</v>
      </c>
      <c r="N987" s="3" t="s">
        <v>2048</v>
      </c>
      <c r="O987" s="4" t="s">
        <v>2064</v>
      </c>
      <c r="P987" s="1"/>
      <c r="U987" s="1"/>
      <c r="V987" s="4"/>
      <c r="W987" s="3"/>
    </row>
    <row r="988" spans="1:23" x14ac:dyDescent="0.25">
      <c r="A988" s="154">
        <v>933</v>
      </c>
      <c r="B988" s="1"/>
      <c r="C988" s="1"/>
      <c r="D988" s="158">
        <v>976</v>
      </c>
      <c r="E988" s="513" t="s">
        <v>2500</v>
      </c>
      <c r="F988" s="513" t="s">
        <v>2501</v>
      </c>
      <c r="G988" s="514" t="s">
        <v>2502</v>
      </c>
      <c r="H988" s="2"/>
      <c r="I988" s="156" t="str">
        <f t="shared" si="60"/>
        <v/>
      </c>
      <c r="J988" s="156"/>
      <c r="K988" s="156"/>
      <c r="L988" s="2"/>
      <c r="M988" s="157" t="str">
        <f t="shared" si="61"/>
        <v>К</v>
      </c>
      <c r="N988" s="511" t="s">
        <v>2048</v>
      </c>
      <c r="O988" s="512" t="s">
        <v>443</v>
      </c>
      <c r="P988" s="1"/>
      <c r="U988" s="1"/>
      <c r="V988" s="4"/>
      <c r="W988" s="3"/>
    </row>
    <row r="989" spans="1:23" x14ac:dyDescent="0.25">
      <c r="A989" s="154">
        <v>999</v>
      </c>
      <c r="B989" s="1"/>
      <c r="C989" s="1"/>
      <c r="D989" s="158">
        <v>977</v>
      </c>
      <c r="E989" s="513" t="s">
        <v>2243</v>
      </c>
      <c r="F989" s="513" t="s">
        <v>2531</v>
      </c>
      <c r="G989" s="514" t="s">
        <v>2532</v>
      </c>
      <c r="H989" s="2"/>
      <c r="I989" s="156" t="str">
        <f t="shared" si="60"/>
        <v/>
      </c>
      <c r="J989" s="156"/>
      <c r="K989" s="156"/>
      <c r="L989" s="514" t="s">
        <v>2533</v>
      </c>
      <c r="M989" s="157" t="str">
        <f t="shared" si="61"/>
        <v>К21012400195</v>
      </c>
      <c r="N989" s="511" t="s">
        <v>2048</v>
      </c>
      <c r="O989" s="512" t="s">
        <v>2049</v>
      </c>
      <c r="P989" s="1"/>
      <c r="U989" s="1"/>
      <c r="V989" s="4"/>
      <c r="W989" s="3"/>
    </row>
    <row r="990" spans="1:23" x14ac:dyDescent="0.25">
      <c r="A990" s="154">
        <v>1015</v>
      </c>
      <c r="B990" s="1"/>
      <c r="C990" s="1"/>
      <c r="D990" s="154">
        <v>978</v>
      </c>
      <c r="E990" s="513" t="s">
        <v>2243</v>
      </c>
      <c r="F990" s="513" t="s">
        <v>2531</v>
      </c>
      <c r="G990" s="514" t="s">
        <v>2548</v>
      </c>
      <c r="H990" s="2"/>
      <c r="I990" s="156" t="str">
        <f t="shared" si="60"/>
        <v/>
      </c>
      <c r="J990" s="156"/>
      <c r="K990" s="156"/>
      <c r="L990" s="514" t="s">
        <v>2533</v>
      </c>
      <c r="M990" s="157" t="str">
        <f t="shared" si="61"/>
        <v>К21012400195</v>
      </c>
      <c r="N990" s="511" t="s">
        <v>2048</v>
      </c>
      <c r="O990" s="512" t="s">
        <v>2049</v>
      </c>
      <c r="P990" s="1"/>
      <c r="U990" s="1"/>
      <c r="V990" s="4"/>
      <c r="W990" s="3"/>
    </row>
    <row r="991" spans="1:23" x14ac:dyDescent="0.25">
      <c r="A991" s="154">
        <v>907</v>
      </c>
      <c r="B991" s="1"/>
      <c r="C991" s="1"/>
      <c r="D991" s="158">
        <v>979</v>
      </c>
      <c r="E991" s="510" t="s">
        <v>2243</v>
      </c>
      <c r="F991" s="510" t="s">
        <v>2597</v>
      </c>
      <c r="G991" s="517" t="s">
        <v>2599</v>
      </c>
      <c r="H991" s="517" t="s">
        <v>2598</v>
      </c>
      <c r="I991" s="156" t="str">
        <f t="shared" si="60"/>
        <v>8.11</v>
      </c>
      <c r="J991" s="156">
        <v>45238</v>
      </c>
      <c r="K991" s="156"/>
      <c r="L991" s="517" t="s">
        <v>2596</v>
      </c>
      <c r="M991" s="157" t="str">
        <f t="shared" si="61"/>
        <v>К04101977</v>
      </c>
      <c r="N991" s="511" t="s">
        <v>2048</v>
      </c>
      <c r="O991" s="519" t="s">
        <v>2053</v>
      </c>
      <c r="P991" s="1"/>
      <c r="U991" s="1"/>
      <c r="V991" s="4"/>
      <c r="W991" s="3"/>
    </row>
    <row r="992" spans="1:23" x14ac:dyDescent="0.25">
      <c r="A992" s="158">
        <v>934</v>
      </c>
      <c r="B992" s="1"/>
      <c r="C992" s="1"/>
      <c r="D992" s="154">
        <v>980</v>
      </c>
      <c r="E992" s="510" t="s">
        <v>2243</v>
      </c>
      <c r="F992" s="510" t="s">
        <v>2606</v>
      </c>
      <c r="G992" s="2"/>
      <c r="H992" s="2"/>
      <c r="I992" s="156" t="str">
        <f t="shared" si="60"/>
        <v/>
      </c>
      <c r="J992" s="156"/>
      <c r="K992" s="156"/>
      <c r="L992" s="517" t="s">
        <v>2605</v>
      </c>
      <c r="M992" s="157" t="str">
        <f t="shared" si="61"/>
        <v>К04700125</v>
      </c>
      <c r="N992" s="511" t="s">
        <v>2048</v>
      </c>
      <c r="O992" s="519" t="s">
        <v>2053</v>
      </c>
      <c r="P992" s="1"/>
      <c r="U992" s="1"/>
      <c r="V992" s="4"/>
      <c r="W992" s="3"/>
    </row>
    <row r="993" spans="1:23" x14ac:dyDescent="0.25">
      <c r="A993" s="154">
        <v>967</v>
      </c>
      <c r="B993" s="1"/>
      <c r="C993" s="1"/>
      <c r="D993" s="158">
        <v>981</v>
      </c>
      <c r="E993" s="510" t="s">
        <v>2243</v>
      </c>
      <c r="F993" s="3"/>
      <c r="G993" s="2"/>
      <c r="H993" s="589" t="s">
        <v>550</v>
      </c>
      <c r="I993" s="156" t="str">
        <f t="shared" si="60"/>
        <v>2005</v>
      </c>
      <c r="J993" s="156">
        <v>2005</v>
      </c>
      <c r="K993" s="156"/>
      <c r="L993" s="517" t="s">
        <v>2594</v>
      </c>
      <c r="M993" s="157" t="str">
        <f t="shared" si="61"/>
        <v>К04700141</v>
      </c>
      <c r="N993" s="511" t="s">
        <v>2048</v>
      </c>
      <c r="O993" s="519" t="s">
        <v>2053</v>
      </c>
      <c r="P993" s="1"/>
      <c r="U993" s="1"/>
      <c r="V993" s="4"/>
      <c r="W993" s="3"/>
    </row>
    <row r="994" spans="1:23" x14ac:dyDescent="0.25">
      <c r="A994" s="158">
        <v>1000</v>
      </c>
      <c r="B994" s="1"/>
      <c r="C994" s="1"/>
      <c r="D994" s="154">
        <v>982</v>
      </c>
      <c r="E994" s="510" t="s">
        <v>2243</v>
      </c>
      <c r="F994" s="510" t="s">
        <v>2159</v>
      </c>
      <c r="G994" s="517" t="s">
        <v>2581</v>
      </c>
      <c r="H994" s="517" t="s">
        <v>2582</v>
      </c>
      <c r="I994" s="156" t="str">
        <f t="shared" si="60"/>
        <v>2007</v>
      </c>
      <c r="J994" s="156">
        <v>2007</v>
      </c>
      <c r="K994" s="156"/>
      <c r="L994" s="517" t="s">
        <v>2578</v>
      </c>
      <c r="M994" s="157" t="str">
        <f t="shared" si="61"/>
        <v>К04700344</v>
      </c>
      <c r="N994" s="511" t="s">
        <v>2048</v>
      </c>
      <c r="O994" s="519" t="s">
        <v>2053</v>
      </c>
      <c r="P994" s="1"/>
      <c r="U994" s="1"/>
      <c r="V994" s="4"/>
      <c r="W994" s="3"/>
    </row>
    <row r="995" spans="1:23" x14ac:dyDescent="0.25">
      <c r="A995" s="158">
        <v>962</v>
      </c>
      <c r="B995" s="1"/>
      <c r="C995" s="1"/>
      <c r="D995" s="158">
        <v>983</v>
      </c>
      <c r="E995" s="510" t="s">
        <v>2243</v>
      </c>
      <c r="F995" s="3"/>
      <c r="G995" s="2"/>
      <c r="H995" s="2"/>
      <c r="I995" s="156" t="str">
        <f t="shared" si="60"/>
        <v/>
      </c>
      <c r="J995" s="156"/>
      <c r="K995" s="156"/>
      <c r="L995" s="517" t="s">
        <v>2608</v>
      </c>
      <c r="M995" s="157" t="str">
        <f t="shared" si="61"/>
        <v>К08102801_2</v>
      </c>
      <c r="N995" s="511" t="s">
        <v>2048</v>
      </c>
      <c r="O995" s="519" t="s">
        <v>2053</v>
      </c>
      <c r="P995" s="1"/>
      <c r="U995" s="1"/>
      <c r="V995" s="4"/>
      <c r="W995" s="3"/>
    </row>
    <row r="996" spans="1:23" x14ac:dyDescent="0.25">
      <c r="A996" s="158">
        <v>908</v>
      </c>
      <c r="B996" s="1"/>
      <c r="C996" s="1"/>
      <c r="D996" s="158">
        <v>984</v>
      </c>
      <c r="E996" s="510" t="s">
        <v>2243</v>
      </c>
      <c r="F996" s="510"/>
      <c r="G996" s="517"/>
      <c r="H996" s="2"/>
      <c r="I996" s="156" t="str">
        <f t="shared" si="60"/>
        <v/>
      </c>
      <c r="J996" s="156"/>
      <c r="K996" s="156"/>
      <c r="L996" s="517" t="s">
        <v>2600</v>
      </c>
      <c r="M996" s="157" t="str">
        <f t="shared" si="61"/>
        <v>К101370201</v>
      </c>
      <c r="N996" s="511" t="s">
        <v>2048</v>
      </c>
      <c r="O996" s="519" t="s">
        <v>2053</v>
      </c>
      <c r="P996" s="1"/>
      <c r="U996" s="1"/>
      <c r="V996" s="4"/>
      <c r="W996" s="3"/>
    </row>
    <row r="997" spans="1:23" x14ac:dyDescent="0.25">
      <c r="A997" s="154">
        <v>909</v>
      </c>
      <c r="B997" s="1"/>
      <c r="C997" s="1"/>
      <c r="D997" s="154">
        <v>985</v>
      </c>
      <c r="E997" s="510" t="s">
        <v>2243</v>
      </c>
      <c r="F997" s="510" t="s">
        <v>2595</v>
      </c>
      <c r="G997" s="517" t="s">
        <v>2593</v>
      </c>
      <c r="H997" s="517" t="s">
        <v>2592</v>
      </c>
      <c r="I997" s="156" t="str">
        <f t="shared" si="60"/>
        <v>2000</v>
      </c>
      <c r="J997" s="156">
        <v>2000</v>
      </c>
      <c r="K997" s="156"/>
      <c r="L997" s="517" t="s">
        <v>2591</v>
      </c>
      <c r="M997" s="157" t="str">
        <f t="shared" si="61"/>
        <v>К101370202</v>
      </c>
      <c r="N997" s="511" t="s">
        <v>2048</v>
      </c>
      <c r="O997" s="519" t="s">
        <v>2053</v>
      </c>
      <c r="P997" s="1"/>
      <c r="U997" s="1"/>
      <c r="V997" s="4"/>
      <c r="W997" s="3"/>
    </row>
    <row r="998" spans="1:23" x14ac:dyDescent="0.25">
      <c r="A998" s="154">
        <v>935</v>
      </c>
      <c r="B998" s="1"/>
      <c r="C998" s="1"/>
      <c r="D998" s="158">
        <v>986</v>
      </c>
      <c r="E998" s="510" t="s">
        <v>2243</v>
      </c>
      <c r="F998" s="510" t="s">
        <v>2290</v>
      </c>
      <c r="G998" s="517" t="s">
        <v>2602</v>
      </c>
      <c r="H998" s="517" t="s">
        <v>1945</v>
      </c>
      <c r="I998" s="156" t="str">
        <f t="shared" si="60"/>
        <v>2019</v>
      </c>
      <c r="J998" s="156">
        <v>2019</v>
      </c>
      <c r="K998" s="156"/>
      <c r="L998" s="517" t="s">
        <v>2601</v>
      </c>
      <c r="M998" s="157" t="str">
        <f t="shared" si="61"/>
        <v>К21012400307</v>
      </c>
      <c r="N998" s="511" t="s">
        <v>2048</v>
      </c>
      <c r="O998" s="519" t="s">
        <v>2053</v>
      </c>
      <c r="P998" s="1"/>
      <c r="U998" s="1"/>
      <c r="V998" s="4"/>
      <c r="W998" s="3"/>
    </row>
    <row r="999" spans="1:23" x14ac:dyDescent="0.25">
      <c r="A999" s="158">
        <v>936</v>
      </c>
      <c r="B999" s="1"/>
      <c r="C999" s="1"/>
      <c r="D999" s="154">
        <v>987</v>
      </c>
      <c r="E999" s="510" t="s">
        <v>2243</v>
      </c>
      <c r="F999" s="3"/>
      <c r="G999" s="2"/>
      <c r="H999" s="2"/>
      <c r="I999" s="156" t="str">
        <f t="shared" si="60"/>
        <v/>
      </c>
      <c r="J999" s="156"/>
      <c r="K999" s="156"/>
      <c r="L999" s="517" t="s">
        <v>2573</v>
      </c>
      <c r="M999" s="157" t="str">
        <f t="shared" si="61"/>
        <v>К2360000187</v>
      </c>
      <c r="N999" s="511" t="s">
        <v>2048</v>
      </c>
      <c r="O999" s="519" t="s">
        <v>2053</v>
      </c>
      <c r="P999" s="1"/>
      <c r="U999" s="1"/>
      <c r="V999" s="4"/>
      <c r="W999" s="3"/>
    </row>
    <row r="1000" spans="1:23" x14ac:dyDescent="0.25">
      <c r="A1000" s="154">
        <v>937</v>
      </c>
      <c r="B1000" s="1"/>
      <c r="C1000" s="1"/>
      <c r="D1000" s="158">
        <v>988</v>
      </c>
      <c r="E1000" s="510" t="s">
        <v>2243</v>
      </c>
      <c r="F1000" s="3"/>
      <c r="G1000" s="2"/>
      <c r="H1000" s="2"/>
      <c r="I1000" s="156" t="str">
        <f t="shared" si="60"/>
        <v/>
      </c>
      <c r="J1000" s="156"/>
      <c r="K1000" s="156"/>
      <c r="L1000" s="517" t="s">
        <v>2607</v>
      </c>
      <c r="M1000" s="157" t="str">
        <f t="shared" si="61"/>
        <v>К2360000188</v>
      </c>
      <c r="N1000" s="511" t="s">
        <v>2048</v>
      </c>
      <c r="O1000" s="519" t="s">
        <v>2053</v>
      </c>
      <c r="P1000" s="1"/>
      <c r="U1000" s="1"/>
      <c r="V1000" s="4"/>
      <c r="W1000" s="3"/>
    </row>
    <row r="1001" spans="1:23" x14ac:dyDescent="0.25">
      <c r="A1001" s="158">
        <v>938</v>
      </c>
      <c r="B1001" s="1"/>
      <c r="C1001" s="1"/>
      <c r="D1001" s="154">
        <v>989</v>
      </c>
      <c r="E1001" s="520" t="s">
        <v>2243</v>
      </c>
      <c r="F1001" s="520" t="s">
        <v>2403</v>
      </c>
      <c r="G1001" s="523" t="s">
        <v>2448</v>
      </c>
      <c r="H1001" s="523" t="s">
        <v>550</v>
      </c>
      <c r="I1001" s="156" t="str">
        <f t="shared" si="60"/>
        <v>2005</v>
      </c>
      <c r="J1001" s="156">
        <v>2005</v>
      </c>
      <c r="K1001" s="156"/>
      <c r="L1001" s="523" t="s">
        <v>2447</v>
      </c>
      <c r="M1001" s="157" t="str">
        <f t="shared" si="61"/>
        <v>К04700032</v>
      </c>
      <c r="N1001" s="511" t="s">
        <v>2048</v>
      </c>
      <c r="O1001" s="521" t="s">
        <v>2060</v>
      </c>
      <c r="P1001" s="1"/>
      <c r="U1001" s="1"/>
      <c r="V1001" s="4"/>
      <c r="W1001" s="3"/>
    </row>
    <row r="1002" spans="1:23" x14ac:dyDescent="0.25">
      <c r="A1002" s="154">
        <v>939</v>
      </c>
      <c r="B1002" s="1"/>
      <c r="C1002" s="1"/>
      <c r="D1002" s="158">
        <v>990</v>
      </c>
      <c r="E1002" s="520" t="s">
        <v>2243</v>
      </c>
      <c r="F1002" s="513" t="s">
        <v>2467</v>
      </c>
      <c r="G1002" s="2"/>
      <c r="H1002" s="589" t="s">
        <v>464</v>
      </c>
      <c r="I1002" s="156" t="str">
        <f t="shared" si="60"/>
        <v>2006</v>
      </c>
      <c r="J1002" s="156">
        <v>2006</v>
      </c>
      <c r="K1002" s="156"/>
      <c r="L1002" s="514" t="s">
        <v>2466</v>
      </c>
      <c r="M1002" s="157" t="str">
        <f t="shared" si="61"/>
        <v>К04700179</v>
      </c>
      <c r="N1002" s="511" t="s">
        <v>2048</v>
      </c>
      <c r="O1002" s="525" t="s">
        <v>2064</v>
      </c>
      <c r="P1002" s="1"/>
      <c r="U1002" s="1"/>
      <c r="V1002" s="4"/>
      <c r="W1002" s="3"/>
    </row>
    <row r="1003" spans="1:23" x14ac:dyDescent="0.25">
      <c r="A1003" s="158">
        <v>940</v>
      </c>
      <c r="B1003" s="1"/>
      <c r="C1003" s="1"/>
      <c r="D1003" s="158">
        <v>991</v>
      </c>
      <c r="E1003" s="520" t="s">
        <v>2243</v>
      </c>
      <c r="F1003" s="513" t="s">
        <v>2159</v>
      </c>
      <c r="G1003" s="523" t="s">
        <v>2464</v>
      </c>
      <c r="H1003" s="523" t="s">
        <v>2465</v>
      </c>
      <c r="I1003" s="156" t="str">
        <f t="shared" si="60"/>
        <v>2008</v>
      </c>
      <c r="J1003" s="156">
        <v>2008</v>
      </c>
      <c r="K1003" s="156"/>
      <c r="L1003" s="523" t="s">
        <v>2463</v>
      </c>
      <c r="M1003" s="157" t="str">
        <f t="shared" si="61"/>
        <v>К08102150_1</v>
      </c>
      <c r="N1003" s="511" t="s">
        <v>2048</v>
      </c>
      <c r="O1003" s="525" t="s">
        <v>2064</v>
      </c>
      <c r="P1003" s="1"/>
      <c r="U1003" s="1"/>
      <c r="V1003" s="4"/>
      <c r="W1003" s="3"/>
    </row>
    <row r="1004" spans="1:23" x14ac:dyDescent="0.25">
      <c r="A1004" s="154">
        <v>941</v>
      </c>
      <c r="B1004" s="1"/>
      <c r="C1004" s="1"/>
      <c r="D1004" s="154">
        <v>992</v>
      </c>
      <c r="E1004" s="520" t="s">
        <v>2243</v>
      </c>
      <c r="F1004" s="513" t="s">
        <v>2290</v>
      </c>
      <c r="G1004" s="514" t="s">
        <v>2474</v>
      </c>
      <c r="H1004" s="514" t="s">
        <v>2139</v>
      </c>
      <c r="I1004" s="156" t="str">
        <f t="shared" si="60"/>
        <v>2019</v>
      </c>
      <c r="J1004" s="156">
        <v>2019</v>
      </c>
      <c r="K1004" s="156"/>
      <c r="L1004" s="514" t="s">
        <v>2473</v>
      </c>
      <c r="M1004" s="157" t="str">
        <f t="shared" si="61"/>
        <v>К41012400317</v>
      </c>
      <c r="N1004" s="511" t="s">
        <v>2048</v>
      </c>
      <c r="O1004" s="525" t="s">
        <v>2064</v>
      </c>
      <c r="P1004" s="1"/>
      <c r="U1004" s="1"/>
      <c r="V1004" s="4"/>
      <c r="W1004" s="3"/>
    </row>
    <row r="1005" spans="1:23" x14ac:dyDescent="0.25">
      <c r="A1005" s="158">
        <v>942</v>
      </c>
      <c r="B1005" s="1"/>
      <c r="C1005" s="1"/>
      <c r="D1005" s="158">
        <v>993</v>
      </c>
      <c r="E1005" s="3"/>
      <c r="F1005" s="516" t="s">
        <v>2426</v>
      </c>
      <c r="G1005" s="514" t="s">
        <v>2544</v>
      </c>
      <c r="H1005" s="514" t="s">
        <v>1370</v>
      </c>
      <c r="I1005" s="156" t="str">
        <f t="shared" si="60"/>
        <v>2001</v>
      </c>
      <c r="J1005" s="156">
        <v>2001</v>
      </c>
      <c r="K1005" s="156"/>
      <c r="L1005" s="514" t="s">
        <v>2543</v>
      </c>
      <c r="M1005" s="157" t="str">
        <f t="shared" si="61"/>
        <v>К04700073_1</v>
      </c>
      <c r="N1005" s="511" t="s">
        <v>2048</v>
      </c>
      <c r="O1005" s="512" t="s">
        <v>2049</v>
      </c>
      <c r="P1005" s="1"/>
      <c r="U1005" s="1"/>
      <c r="V1005" s="4"/>
      <c r="W1005" s="3"/>
    </row>
    <row r="1006" spans="1:23" x14ac:dyDescent="0.25">
      <c r="A1006" s="154">
        <v>943</v>
      </c>
      <c r="B1006" s="1"/>
      <c r="C1006" s="1"/>
      <c r="D1006" s="154">
        <v>994</v>
      </c>
      <c r="E1006" s="3"/>
      <c r="F1006" s="3" t="s">
        <v>37</v>
      </c>
      <c r="G1006" s="514" t="s">
        <v>2519</v>
      </c>
      <c r="H1006" s="514" t="s">
        <v>47</v>
      </c>
      <c r="I1006" s="156" t="str">
        <f t="shared" si="60"/>
        <v>2010</v>
      </c>
      <c r="J1006" s="156">
        <v>2010</v>
      </c>
      <c r="K1006" s="156"/>
      <c r="L1006" s="514" t="s">
        <v>2518</v>
      </c>
      <c r="M1006" s="157" t="str">
        <f t="shared" si="61"/>
        <v>К08102775_2</v>
      </c>
      <c r="N1006" s="511" t="s">
        <v>2048</v>
      </c>
      <c r="O1006" s="512" t="s">
        <v>2049</v>
      </c>
      <c r="P1006" s="1"/>
      <c r="U1006" s="1"/>
      <c r="V1006" s="4"/>
      <c r="W1006" s="3"/>
    </row>
    <row r="1007" spans="1:23" x14ac:dyDescent="0.25">
      <c r="A1007" s="158">
        <v>944</v>
      </c>
      <c r="B1007" s="1"/>
      <c r="C1007" s="1"/>
      <c r="D1007" s="158">
        <v>995</v>
      </c>
      <c r="E1007" s="581" t="s">
        <v>5617</v>
      </c>
      <c r="F1007" s="581" t="s">
        <v>2546</v>
      </c>
      <c r="G1007" s="514" t="s">
        <v>2547</v>
      </c>
      <c r="H1007" s="2"/>
      <c r="I1007" s="156" t="str">
        <f t="shared" si="60"/>
        <v/>
      </c>
      <c r="J1007" s="156"/>
      <c r="K1007" s="156"/>
      <c r="L1007" s="514" t="s">
        <v>2545</v>
      </c>
      <c r="M1007" s="157" t="str">
        <f t="shared" si="61"/>
        <v>К08104102</v>
      </c>
      <c r="N1007" s="511" t="s">
        <v>2048</v>
      </c>
      <c r="O1007" s="512" t="s">
        <v>2049</v>
      </c>
      <c r="P1007" s="1"/>
      <c r="U1007" s="1"/>
      <c r="V1007" s="4"/>
      <c r="W1007" s="3"/>
    </row>
    <row r="1008" spans="1:23" x14ac:dyDescent="0.25">
      <c r="A1008" s="158">
        <v>968</v>
      </c>
      <c r="B1008" s="1"/>
      <c r="C1008" s="1"/>
      <c r="D1008" s="154">
        <v>996</v>
      </c>
      <c r="E1008" s="3"/>
      <c r="F1008" s="513" t="s">
        <v>2521</v>
      </c>
      <c r="G1008" s="514" t="s">
        <v>2522</v>
      </c>
      <c r="H1008" s="2"/>
      <c r="I1008" s="156" t="str">
        <f t="shared" si="60"/>
        <v/>
      </c>
      <c r="J1008" s="156"/>
      <c r="K1008" s="156"/>
      <c r="L1008" s="514" t="s">
        <v>2520</v>
      </c>
      <c r="M1008" s="157" t="str">
        <f t="shared" si="61"/>
        <v>К08105997</v>
      </c>
      <c r="N1008" s="511" t="s">
        <v>2048</v>
      </c>
      <c r="O1008" s="512" t="s">
        <v>2049</v>
      </c>
      <c r="P1008" s="1"/>
      <c r="U1008" s="1"/>
      <c r="V1008" s="4"/>
      <c r="W1008" s="3"/>
    </row>
    <row r="1009" spans="1:23" x14ac:dyDescent="0.25">
      <c r="A1009" s="154">
        <v>1001</v>
      </c>
      <c r="B1009" s="1"/>
      <c r="C1009" s="1"/>
      <c r="D1009" s="158">
        <v>997</v>
      </c>
      <c r="E1009" s="3"/>
      <c r="F1009" s="3" t="s">
        <v>2186</v>
      </c>
      <c r="G1009" s="2"/>
      <c r="H1009" s="2"/>
      <c r="I1009" s="156" t="str">
        <f t="shared" si="60"/>
        <v/>
      </c>
      <c r="J1009" s="156"/>
      <c r="K1009" s="156"/>
      <c r="L1009" s="514" t="s">
        <v>2539</v>
      </c>
      <c r="M1009" s="157" t="str">
        <f t="shared" si="61"/>
        <v>К08106107</v>
      </c>
      <c r="N1009" s="511" t="s">
        <v>2048</v>
      </c>
      <c r="O1009" s="512" t="s">
        <v>2049</v>
      </c>
      <c r="P1009" s="1"/>
      <c r="U1009" s="1"/>
      <c r="V1009" s="4"/>
      <c r="W1009" s="3"/>
    </row>
    <row r="1010" spans="1:23" x14ac:dyDescent="0.25">
      <c r="A1010" s="158">
        <v>1002</v>
      </c>
      <c r="B1010" s="1"/>
      <c r="C1010" s="1"/>
      <c r="D1010" s="158">
        <v>998</v>
      </c>
      <c r="E1010" s="3"/>
      <c r="F1010" s="510" t="s">
        <v>2561</v>
      </c>
      <c r="G1010" s="517" t="s">
        <v>2563</v>
      </c>
      <c r="H1010" s="517" t="s">
        <v>2562</v>
      </c>
      <c r="I1010" s="156" t="str">
        <f t="shared" si="60"/>
        <v>2018</v>
      </c>
      <c r="J1010" s="156">
        <v>2018</v>
      </c>
      <c r="K1010" s="156"/>
      <c r="L1010" s="517" t="s">
        <v>2560</v>
      </c>
      <c r="M1010" s="157" t="str">
        <f t="shared" si="61"/>
        <v>К21012400193</v>
      </c>
      <c r="N1010" s="511" t="s">
        <v>2048</v>
      </c>
      <c r="O1010" s="512" t="s">
        <v>2049</v>
      </c>
      <c r="P1010" s="1"/>
      <c r="U1010" s="1"/>
      <c r="V1010" s="4"/>
      <c r="W1010" s="3"/>
    </row>
    <row r="1011" spans="1:23" x14ac:dyDescent="0.25">
      <c r="A1011" s="154">
        <v>1003</v>
      </c>
      <c r="B1011" s="1"/>
      <c r="C1011" s="1"/>
      <c r="D1011" s="154">
        <v>999</v>
      </c>
      <c r="E1011" s="3"/>
      <c r="F1011" s="513" t="s">
        <v>2528</v>
      </c>
      <c r="G1011" s="514" t="s">
        <v>2529</v>
      </c>
      <c r="H1011" s="514" t="s">
        <v>124</v>
      </c>
      <c r="I1011" s="156" t="str">
        <f t="shared" si="60"/>
        <v>2018</v>
      </c>
      <c r="J1011" s="156">
        <v>2018</v>
      </c>
      <c r="K1011" s="156"/>
      <c r="L1011" s="514" t="s">
        <v>2530</v>
      </c>
      <c r="M1011" s="157" t="str">
        <f t="shared" si="61"/>
        <v>К21012400196</v>
      </c>
      <c r="N1011" s="511" t="s">
        <v>2048</v>
      </c>
      <c r="O1011" s="512" t="s">
        <v>2049</v>
      </c>
      <c r="P1011" s="1"/>
      <c r="U1011" s="1"/>
      <c r="V1011" s="4"/>
      <c r="W1011" s="3"/>
    </row>
    <row r="1012" spans="1:23" x14ac:dyDescent="0.25">
      <c r="A1012" s="158">
        <v>910</v>
      </c>
      <c r="B1012" s="1"/>
      <c r="C1012" s="1"/>
      <c r="D1012" s="158">
        <v>1000</v>
      </c>
      <c r="E1012" s="3"/>
      <c r="F1012" s="509" t="s">
        <v>2551</v>
      </c>
      <c r="G1012" s="518" t="s">
        <v>2550</v>
      </c>
      <c r="H1012" s="2"/>
      <c r="I1012" s="156" t="str">
        <f t="shared" si="60"/>
        <v/>
      </c>
      <c r="J1012" s="156"/>
      <c r="K1012" s="156"/>
      <c r="L1012" s="518" t="s">
        <v>2549</v>
      </c>
      <c r="M1012" s="157" t="str">
        <f t="shared" si="61"/>
        <v>К21012400232</v>
      </c>
      <c r="N1012" s="511" t="s">
        <v>2048</v>
      </c>
      <c r="O1012" s="512" t="s">
        <v>2049</v>
      </c>
      <c r="P1012" s="1"/>
      <c r="U1012" s="1"/>
      <c r="V1012" s="4"/>
      <c r="W1012" s="3"/>
    </row>
    <row r="1013" spans="1:23" x14ac:dyDescent="0.25">
      <c r="A1013" s="154">
        <v>911</v>
      </c>
      <c r="B1013" s="1"/>
      <c r="C1013" s="1"/>
      <c r="D1013" s="154">
        <v>1001</v>
      </c>
      <c r="E1013" s="3"/>
      <c r="F1013" s="513" t="s">
        <v>2538</v>
      </c>
      <c r="G1013" s="514" t="s">
        <v>2540</v>
      </c>
      <c r="H1013" s="514" t="s">
        <v>1143</v>
      </c>
      <c r="I1013" s="156" t="str">
        <f t="shared" si="60"/>
        <v>2018</v>
      </c>
      <c r="J1013" s="156">
        <v>2018</v>
      </c>
      <c r="K1013" s="156"/>
      <c r="L1013" s="514" t="s">
        <v>2541</v>
      </c>
      <c r="M1013" s="157" t="str">
        <f t="shared" si="61"/>
        <v>К21012400234</v>
      </c>
      <c r="N1013" s="511" t="s">
        <v>2048</v>
      </c>
      <c r="O1013" s="512" t="s">
        <v>2049</v>
      </c>
      <c r="P1013" s="1"/>
      <c r="U1013" s="1"/>
      <c r="V1013" s="4"/>
      <c r="W1013" s="3"/>
    </row>
    <row r="1014" spans="1:23" x14ac:dyDescent="0.25">
      <c r="A1014" s="158">
        <v>912</v>
      </c>
      <c r="B1014" s="1"/>
      <c r="C1014" s="1"/>
      <c r="D1014" s="158">
        <v>1002</v>
      </c>
      <c r="E1014" s="3"/>
      <c r="F1014" s="513" t="s">
        <v>2538</v>
      </c>
      <c r="G1014" s="514" t="s">
        <v>2537</v>
      </c>
      <c r="H1014" s="514" t="s">
        <v>1143</v>
      </c>
      <c r="I1014" s="156" t="str">
        <f t="shared" si="60"/>
        <v>2018</v>
      </c>
      <c r="J1014" s="156">
        <v>2018</v>
      </c>
      <c r="K1014" s="156"/>
      <c r="L1014" s="514" t="s">
        <v>2536</v>
      </c>
      <c r="M1014" s="157" t="str">
        <f t="shared" si="61"/>
        <v>К21012400235</v>
      </c>
      <c r="N1014" s="511" t="s">
        <v>2048</v>
      </c>
      <c r="O1014" s="512" t="s">
        <v>2049</v>
      </c>
      <c r="P1014" s="1"/>
      <c r="U1014" s="1"/>
      <c r="V1014" s="4"/>
      <c r="W1014" s="3"/>
    </row>
    <row r="1015" spans="1:23" x14ac:dyDescent="0.25">
      <c r="A1015" s="154">
        <v>913</v>
      </c>
      <c r="B1015" s="1"/>
      <c r="C1015" s="1"/>
      <c r="D1015" s="154">
        <v>1003</v>
      </c>
      <c r="E1015" s="3"/>
      <c r="F1015" s="510" t="s">
        <v>2528</v>
      </c>
      <c r="G1015" s="517" t="s">
        <v>2565</v>
      </c>
      <c r="H1015" s="2"/>
      <c r="I1015" s="156" t="str">
        <f t="shared" si="60"/>
        <v/>
      </c>
      <c r="J1015" s="156"/>
      <c r="K1015" s="156"/>
      <c r="L1015" s="517" t="s">
        <v>2564</v>
      </c>
      <c r="M1015" s="157" t="str">
        <f t="shared" si="61"/>
        <v>К21012400239</v>
      </c>
      <c r="N1015" s="511" t="s">
        <v>2048</v>
      </c>
      <c r="O1015" s="512" t="s">
        <v>2049</v>
      </c>
      <c r="P1015" s="1"/>
      <c r="U1015" s="1"/>
      <c r="V1015" s="4"/>
      <c r="W1015" s="3"/>
    </row>
    <row r="1016" spans="1:23" x14ac:dyDescent="0.25">
      <c r="A1016" s="158">
        <v>914</v>
      </c>
      <c r="B1016" s="1"/>
      <c r="C1016" s="1"/>
      <c r="D1016" s="158">
        <v>1004</v>
      </c>
      <c r="E1016" s="3"/>
      <c r="F1016" s="513" t="s">
        <v>2455</v>
      </c>
      <c r="G1016" s="514" t="s">
        <v>2534</v>
      </c>
      <c r="H1016" s="2"/>
      <c r="I1016" s="156" t="str">
        <f t="shared" si="60"/>
        <v/>
      </c>
      <c r="J1016" s="156"/>
      <c r="K1016" s="156"/>
      <c r="L1016" s="514" t="s">
        <v>2535</v>
      </c>
      <c r="M1016" s="157" t="str">
        <f t="shared" si="61"/>
        <v>К21012400320</v>
      </c>
      <c r="N1016" s="511" t="s">
        <v>2048</v>
      </c>
      <c r="O1016" s="512" t="s">
        <v>2049</v>
      </c>
      <c r="P1016" s="1"/>
      <c r="U1016" s="1"/>
      <c r="V1016" s="4"/>
      <c r="W1016" s="3"/>
    </row>
    <row r="1017" spans="1:23" x14ac:dyDescent="0.25">
      <c r="A1017" s="154">
        <v>915</v>
      </c>
      <c r="B1017" s="1"/>
      <c r="C1017" s="1"/>
      <c r="D1017" s="158">
        <v>1005</v>
      </c>
      <c r="E1017" s="3"/>
      <c r="F1017" s="509" t="s">
        <v>2455</v>
      </c>
      <c r="G1017" s="518" t="s">
        <v>2553</v>
      </c>
      <c r="H1017" s="2"/>
      <c r="I1017" s="156" t="str">
        <f t="shared" si="60"/>
        <v/>
      </c>
      <c r="J1017" s="156"/>
      <c r="K1017" s="156"/>
      <c r="L1017" s="518" t="s">
        <v>2552</v>
      </c>
      <c r="M1017" s="157" t="str">
        <f t="shared" si="61"/>
        <v>К21012400321</v>
      </c>
      <c r="N1017" s="511" t="s">
        <v>2048</v>
      </c>
      <c r="O1017" s="512" t="s">
        <v>2049</v>
      </c>
      <c r="P1017" s="1"/>
      <c r="U1017" s="1"/>
      <c r="V1017" s="4"/>
      <c r="W1017" s="3"/>
    </row>
    <row r="1018" spans="1:23" x14ac:dyDescent="0.25">
      <c r="A1018" s="158">
        <v>916</v>
      </c>
      <c r="B1018" s="1"/>
      <c r="C1018" s="1"/>
      <c r="D1018" s="154">
        <v>1006</v>
      </c>
      <c r="E1018" s="3"/>
      <c r="F1018" s="513" t="s">
        <v>1879</v>
      </c>
      <c r="G1018" s="514" t="s">
        <v>2526</v>
      </c>
      <c r="H1018" s="514" t="s">
        <v>1945</v>
      </c>
      <c r="I1018" s="156" t="str">
        <f t="shared" si="60"/>
        <v>2019</v>
      </c>
      <c r="J1018" s="156">
        <v>2019</v>
      </c>
      <c r="K1018" s="156"/>
      <c r="L1018" s="514" t="s">
        <v>2527</v>
      </c>
      <c r="M1018" s="157" t="str">
        <f t="shared" si="61"/>
        <v>К21012400325</v>
      </c>
      <c r="N1018" s="511" t="s">
        <v>2048</v>
      </c>
      <c r="O1018" s="512" t="s">
        <v>2049</v>
      </c>
      <c r="P1018" s="1"/>
      <c r="U1018" s="1"/>
      <c r="V1018" s="4"/>
      <c r="W1018" s="3"/>
    </row>
    <row r="1019" spans="1:23" x14ac:dyDescent="0.25">
      <c r="A1019" s="154">
        <v>917</v>
      </c>
      <c r="B1019" s="1"/>
      <c r="C1019" s="1"/>
      <c r="D1019" s="158">
        <v>1007</v>
      </c>
      <c r="E1019" s="3"/>
      <c r="F1019" s="3" t="s">
        <v>45</v>
      </c>
      <c r="G1019" s="514" t="s">
        <v>2542</v>
      </c>
      <c r="H1019" s="514" t="s">
        <v>66</v>
      </c>
      <c r="I1019" s="156" t="str">
        <f t="shared" si="60"/>
        <v>2019</v>
      </c>
      <c r="J1019" s="156">
        <v>2019</v>
      </c>
      <c r="K1019" s="156"/>
      <c r="L1019" s="2"/>
      <c r="M1019" s="157" t="str">
        <f t="shared" si="61"/>
        <v>К</v>
      </c>
      <c r="N1019" s="511" t="s">
        <v>2048</v>
      </c>
      <c r="O1019" s="512" t="s">
        <v>2049</v>
      </c>
      <c r="P1019" s="1"/>
      <c r="U1019" s="1"/>
      <c r="V1019" s="4"/>
      <c r="W1019" s="3"/>
    </row>
    <row r="1020" spans="1:23" x14ac:dyDescent="0.25">
      <c r="A1020" s="158">
        <v>918</v>
      </c>
      <c r="B1020" s="1"/>
      <c r="C1020" s="1"/>
      <c r="D1020" s="154">
        <v>1008</v>
      </c>
      <c r="E1020" s="3"/>
      <c r="F1020" s="510" t="s">
        <v>2557</v>
      </c>
      <c r="G1020" s="517" t="s">
        <v>2558</v>
      </c>
      <c r="H1020" s="517" t="s">
        <v>124</v>
      </c>
      <c r="I1020" s="156" t="str">
        <f t="shared" si="60"/>
        <v>2018</v>
      </c>
      <c r="J1020" s="156">
        <v>2018</v>
      </c>
      <c r="K1020" s="156"/>
      <c r="L1020" s="2"/>
      <c r="M1020" s="157" t="str">
        <f t="shared" si="61"/>
        <v>К</v>
      </c>
      <c r="N1020" s="511" t="s">
        <v>2048</v>
      </c>
      <c r="O1020" s="512" t="s">
        <v>2049</v>
      </c>
      <c r="P1020" s="1"/>
      <c r="U1020" s="1"/>
      <c r="V1020" s="4"/>
      <c r="W1020" s="3"/>
    </row>
    <row r="1021" spans="1:23" x14ac:dyDescent="0.25">
      <c r="A1021" s="154">
        <v>919</v>
      </c>
      <c r="B1021" s="1"/>
      <c r="C1021" s="1"/>
      <c r="D1021" s="158">
        <v>1009</v>
      </c>
      <c r="E1021" s="3"/>
      <c r="F1021" s="510" t="s">
        <v>2421</v>
      </c>
      <c r="G1021" s="2"/>
      <c r="H1021" s="2"/>
      <c r="I1021" s="156" t="str">
        <f t="shared" si="60"/>
        <v/>
      </c>
      <c r="J1021" s="156"/>
      <c r="K1021" s="156"/>
      <c r="L1021" s="2"/>
      <c r="M1021" s="157" t="str">
        <f t="shared" si="61"/>
        <v>К</v>
      </c>
      <c r="N1021" s="511" t="s">
        <v>2048</v>
      </c>
      <c r="O1021" s="512" t="s">
        <v>2049</v>
      </c>
      <c r="P1021" s="1"/>
      <c r="U1021" s="1"/>
      <c r="V1021" s="4"/>
      <c r="W1021" s="3"/>
    </row>
    <row r="1022" spans="1:23" x14ac:dyDescent="0.25">
      <c r="A1022" s="158">
        <v>920</v>
      </c>
      <c r="B1022" s="1"/>
      <c r="C1022" s="1"/>
      <c r="D1022" s="154">
        <v>1010</v>
      </c>
      <c r="E1022" s="3"/>
      <c r="F1022" s="510" t="s">
        <v>2559</v>
      </c>
      <c r="G1022" s="2"/>
      <c r="H1022" s="2"/>
      <c r="I1022" s="156" t="str">
        <f t="shared" si="60"/>
        <v/>
      </c>
      <c r="J1022" s="156"/>
      <c r="K1022" s="156"/>
      <c r="L1022" s="2"/>
      <c r="M1022" s="157" t="str">
        <f t="shared" si="61"/>
        <v>К</v>
      </c>
      <c r="N1022" s="511" t="s">
        <v>2048</v>
      </c>
      <c r="O1022" s="512" t="s">
        <v>2049</v>
      </c>
      <c r="P1022" s="1"/>
      <c r="U1022" s="1"/>
      <c r="V1022" s="4"/>
      <c r="W1022" s="3"/>
    </row>
    <row r="1023" spans="1:23" x14ac:dyDescent="0.25">
      <c r="A1023" s="154">
        <v>921</v>
      </c>
      <c r="B1023" s="1"/>
      <c r="C1023" s="1"/>
      <c r="D1023" s="158">
        <v>1011</v>
      </c>
      <c r="E1023" s="3"/>
      <c r="F1023" s="3" t="s">
        <v>45</v>
      </c>
      <c r="G1023" s="517" t="s">
        <v>2566</v>
      </c>
      <c r="H1023" s="517" t="s">
        <v>969</v>
      </c>
      <c r="I1023" s="156" t="str">
        <f t="shared" si="60"/>
        <v>2017</v>
      </c>
      <c r="J1023" s="156">
        <v>2017</v>
      </c>
      <c r="K1023" s="156"/>
      <c r="L1023" s="2"/>
      <c r="M1023" s="157" t="str">
        <f t="shared" si="61"/>
        <v>К</v>
      </c>
      <c r="N1023" s="511" t="s">
        <v>2048</v>
      </c>
      <c r="O1023" s="519" t="s">
        <v>53</v>
      </c>
      <c r="P1023" s="1"/>
      <c r="U1023" s="1"/>
      <c r="V1023" s="4"/>
      <c r="W1023" s="3"/>
    </row>
    <row r="1024" spans="1:23" x14ac:dyDescent="0.25">
      <c r="A1024" s="158">
        <v>922</v>
      </c>
      <c r="B1024" s="1"/>
      <c r="C1024" s="1"/>
      <c r="D1024" s="158">
        <v>1012</v>
      </c>
      <c r="E1024" s="3"/>
      <c r="F1024" s="510" t="s">
        <v>2567</v>
      </c>
      <c r="G1024" s="2"/>
      <c r="H1024" s="2"/>
      <c r="I1024" s="156" t="str">
        <f t="shared" si="60"/>
        <v/>
      </c>
      <c r="J1024" s="156"/>
      <c r="K1024" s="156"/>
      <c r="L1024" s="2"/>
      <c r="M1024" s="157" t="str">
        <f t="shared" si="61"/>
        <v>К</v>
      </c>
      <c r="N1024" s="511" t="s">
        <v>2048</v>
      </c>
      <c r="O1024" s="519" t="s">
        <v>53</v>
      </c>
      <c r="P1024" s="1"/>
      <c r="U1024" s="1"/>
      <c r="V1024" s="4"/>
      <c r="W1024" s="3"/>
    </row>
    <row r="1025" spans="1:23" x14ac:dyDescent="0.25">
      <c r="A1025" s="154">
        <v>923</v>
      </c>
      <c r="B1025" s="1"/>
      <c r="C1025" s="1"/>
      <c r="D1025" s="154">
        <v>1013</v>
      </c>
      <c r="E1025" s="3"/>
      <c r="F1025" s="510" t="s">
        <v>2391</v>
      </c>
      <c r="G1025" s="517" t="s">
        <v>2612</v>
      </c>
      <c r="H1025" s="2"/>
      <c r="I1025" s="156" t="str">
        <f t="shared" si="60"/>
        <v/>
      </c>
      <c r="J1025" s="156"/>
      <c r="K1025" s="156"/>
      <c r="L1025" s="2" t="s">
        <v>2611</v>
      </c>
      <c r="M1025" s="157" t="str">
        <f t="shared" si="61"/>
        <v>К02102142_2</v>
      </c>
      <c r="N1025" s="511" t="s">
        <v>2048</v>
      </c>
      <c r="O1025" s="519" t="s">
        <v>2053</v>
      </c>
      <c r="P1025" s="1"/>
      <c r="U1025" s="1"/>
      <c r="V1025" s="4"/>
      <c r="W1025" s="3"/>
    </row>
    <row r="1026" spans="1:23" x14ac:dyDescent="0.25">
      <c r="A1026" s="158">
        <v>924</v>
      </c>
      <c r="B1026" s="1"/>
      <c r="C1026" s="1"/>
      <c r="D1026" s="158">
        <v>1014</v>
      </c>
      <c r="E1026" s="3"/>
      <c r="F1026" s="510" t="s">
        <v>2159</v>
      </c>
      <c r="G1026" s="517" t="s">
        <v>2584</v>
      </c>
      <c r="H1026" s="517" t="s">
        <v>2465</v>
      </c>
      <c r="I1026" s="156" t="str">
        <f t="shared" si="60"/>
        <v>2008</v>
      </c>
      <c r="J1026" s="156">
        <v>2008</v>
      </c>
      <c r="K1026" s="156"/>
      <c r="L1026" s="517" t="s">
        <v>2583</v>
      </c>
      <c r="M1026" s="157" t="str">
        <f t="shared" si="61"/>
        <v>К04700345</v>
      </c>
      <c r="N1026" s="511" t="s">
        <v>2048</v>
      </c>
      <c r="O1026" s="519" t="s">
        <v>2053</v>
      </c>
      <c r="P1026" s="1"/>
      <c r="U1026" s="1"/>
      <c r="V1026" s="4"/>
      <c r="W1026" s="3"/>
    </row>
    <row r="1027" spans="1:23" x14ac:dyDescent="0.25">
      <c r="A1027" s="154">
        <v>925</v>
      </c>
      <c r="B1027" s="1"/>
      <c r="C1027" s="1"/>
      <c r="D1027" s="154">
        <v>1015</v>
      </c>
      <c r="E1027" s="3"/>
      <c r="F1027" s="3"/>
      <c r="G1027" s="517" t="s">
        <v>2610</v>
      </c>
      <c r="H1027" s="517" t="s">
        <v>59</v>
      </c>
      <c r="I1027" s="156" t="str">
        <f t="shared" si="60"/>
        <v>2013</v>
      </c>
      <c r="J1027" s="156">
        <v>2013</v>
      </c>
      <c r="K1027" s="156"/>
      <c r="L1027" s="517" t="s">
        <v>2609</v>
      </c>
      <c r="M1027" s="157" t="str">
        <f t="shared" si="61"/>
        <v>К08102768</v>
      </c>
      <c r="N1027" s="511" t="s">
        <v>2048</v>
      </c>
      <c r="O1027" s="519" t="s">
        <v>2053</v>
      </c>
      <c r="P1027" s="1"/>
      <c r="U1027" s="1"/>
      <c r="V1027" s="4"/>
      <c r="W1027" s="3"/>
    </row>
    <row r="1028" spans="1:23" x14ac:dyDescent="0.25">
      <c r="A1028" s="158">
        <v>926</v>
      </c>
      <c r="B1028" s="1"/>
      <c r="C1028" s="1"/>
      <c r="D1028" s="158">
        <v>1016</v>
      </c>
      <c r="E1028" s="3"/>
      <c r="F1028" s="510" t="s">
        <v>37</v>
      </c>
      <c r="G1028" s="517" t="s">
        <v>2586</v>
      </c>
      <c r="H1028" s="517" t="s">
        <v>47</v>
      </c>
      <c r="I1028" s="156" t="str">
        <f t="shared" si="60"/>
        <v>2010</v>
      </c>
      <c r="J1028" s="156">
        <v>2010</v>
      </c>
      <c r="K1028" s="156"/>
      <c r="L1028" s="2" t="s">
        <v>2585</v>
      </c>
      <c r="M1028" s="157" t="str">
        <f t="shared" si="61"/>
        <v>К08102769_2</v>
      </c>
      <c r="N1028" s="511" t="s">
        <v>2048</v>
      </c>
      <c r="O1028" s="519" t="s">
        <v>2053</v>
      </c>
      <c r="P1028" s="1"/>
      <c r="U1028" s="1"/>
      <c r="V1028" s="4"/>
      <c r="W1028" s="3"/>
    </row>
    <row r="1029" spans="1:23" x14ac:dyDescent="0.25">
      <c r="A1029" s="154">
        <v>927</v>
      </c>
      <c r="B1029" s="1"/>
      <c r="C1029" s="1"/>
      <c r="D1029" s="154">
        <v>1017</v>
      </c>
      <c r="E1029" s="3"/>
      <c r="F1029" s="510" t="s">
        <v>37</v>
      </c>
      <c r="G1029" s="517" t="s">
        <v>2580</v>
      </c>
      <c r="H1029" s="517" t="s">
        <v>47</v>
      </c>
      <c r="I1029" s="156" t="str">
        <f t="shared" si="60"/>
        <v>2010</v>
      </c>
      <c r="J1029" s="156">
        <v>2010</v>
      </c>
      <c r="K1029" s="156"/>
      <c r="L1029" s="517" t="s">
        <v>2579</v>
      </c>
      <c r="M1029" s="157" t="str">
        <f t="shared" si="61"/>
        <v>К08102770_2</v>
      </c>
      <c r="N1029" s="511" t="s">
        <v>2048</v>
      </c>
      <c r="O1029" s="519" t="s">
        <v>2053</v>
      </c>
      <c r="P1029" s="1"/>
      <c r="U1029" s="1"/>
      <c r="V1029" s="4"/>
      <c r="W1029" s="3"/>
    </row>
    <row r="1030" spans="1:23" x14ac:dyDescent="0.25">
      <c r="A1030" s="154">
        <v>929</v>
      </c>
      <c r="B1030" s="1"/>
      <c r="C1030" s="1"/>
      <c r="D1030" s="158">
        <v>1018</v>
      </c>
      <c r="E1030" s="3"/>
      <c r="F1030" s="513" t="s">
        <v>2494</v>
      </c>
      <c r="G1030" s="2"/>
      <c r="H1030" s="2"/>
      <c r="I1030" s="156" t="str">
        <f t="shared" ref="I1030:I1093" si="62">RIGHT(H1030,4)</f>
        <v/>
      </c>
      <c r="J1030" s="156"/>
      <c r="K1030" s="156"/>
      <c r="L1030" s="517" t="s">
        <v>2577</v>
      </c>
      <c r="M1030" s="157" t="str">
        <f t="shared" ref="M1030:M1093" si="63">CONCATENATE("К",L1030)</f>
        <v>К08102807_2</v>
      </c>
      <c r="N1030" s="511" t="s">
        <v>2048</v>
      </c>
      <c r="O1030" s="519" t="s">
        <v>2053</v>
      </c>
      <c r="P1030" s="1"/>
      <c r="U1030" s="1"/>
      <c r="V1030" s="4"/>
      <c r="W1030" s="3"/>
    </row>
    <row r="1031" spans="1:23" x14ac:dyDescent="0.25">
      <c r="A1031" s="158">
        <v>930</v>
      </c>
      <c r="B1031" s="1"/>
      <c r="C1031" s="1"/>
      <c r="D1031" s="158">
        <v>1019</v>
      </c>
      <c r="E1031" s="3"/>
      <c r="F1031" s="510" t="s">
        <v>2546</v>
      </c>
      <c r="G1031" s="517" t="s">
        <v>2614</v>
      </c>
      <c r="H1031" s="517" t="s">
        <v>780</v>
      </c>
      <c r="I1031" s="156" t="str">
        <f t="shared" si="62"/>
        <v>2012</v>
      </c>
      <c r="J1031" s="156">
        <v>2012</v>
      </c>
      <c r="K1031" s="156"/>
      <c r="L1031" s="517" t="s">
        <v>2613</v>
      </c>
      <c r="M1031" s="157" t="str">
        <f t="shared" si="63"/>
        <v>К08106101</v>
      </c>
      <c r="N1031" s="511" t="s">
        <v>2048</v>
      </c>
      <c r="O1031" s="519" t="s">
        <v>2053</v>
      </c>
      <c r="P1031" s="1"/>
      <c r="U1031" s="1"/>
      <c r="V1031" s="4"/>
      <c r="W1031" s="3"/>
    </row>
    <row r="1032" spans="1:23" x14ac:dyDescent="0.25">
      <c r="A1032" s="154">
        <v>945</v>
      </c>
      <c r="B1032" s="1"/>
      <c r="C1032" s="1"/>
      <c r="D1032" s="154">
        <v>1020</v>
      </c>
      <c r="E1032" s="3"/>
      <c r="F1032" s="510" t="s">
        <v>2569</v>
      </c>
      <c r="G1032" s="517" t="s">
        <v>2571</v>
      </c>
      <c r="H1032" s="517" t="s">
        <v>2570</v>
      </c>
      <c r="I1032" s="156" t="str">
        <f t="shared" si="62"/>
        <v>1985</v>
      </c>
      <c r="J1032" s="156">
        <v>1985</v>
      </c>
      <c r="K1032" s="156"/>
      <c r="L1032" s="517" t="s">
        <v>2568</v>
      </c>
      <c r="M1032" s="157" t="str">
        <f t="shared" si="63"/>
        <v>К201380387</v>
      </c>
      <c r="N1032" s="511" t="s">
        <v>2048</v>
      </c>
      <c r="O1032" s="519" t="s">
        <v>2053</v>
      </c>
      <c r="P1032" s="1"/>
      <c r="U1032" s="1"/>
      <c r="V1032" s="4"/>
      <c r="W1032" s="3"/>
    </row>
    <row r="1033" spans="1:23" x14ac:dyDescent="0.25">
      <c r="A1033" s="158">
        <v>946</v>
      </c>
      <c r="B1033" s="1"/>
      <c r="C1033" s="1"/>
      <c r="D1033" s="158">
        <v>1021</v>
      </c>
      <c r="E1033" s="3"/>
      <c r="F1033" s="510" t="s">
        <v>2603</v>
      </c>
      <c r="G1033" s="2"/>
      <c r="H1033" s="2"/>
      <c r="I1033" s="156" t="str">
        <f t="shared" si="62"/>
        <v/>
      </c>
      <c r="J1033" s="156"/>
      <c r="K1033" s="156"/>
      <c r="L1033" s="517" t="s">
        <v>2604</v>
      </c>
      <c r="M1033" s="157" t="str">
        <f t="shared" si="63"/>
        <v>К21012400162</v>
      </c>
      <c r="N1033" s="511" t="s">
        <v>2048</v>
      </c>
      <c r="O1033" s="519" t="s">
        <v>2053</v>
      </c>
      <c r="P1033" s="1"/>
      <c r="U1033" s="1"/>
      <c r="V1033" s="4"/>
      <c r="W1033" s="3"/>
    </row>
    <row r="1034" spans="1:23" x14ac:dyDescent="0.25">
      <c r="A1034" s="154">
        <v>947</v>
      </c>
      <c r="B1034" s="1"/>
      <c r="C1034" s="1"/>
      <c r="D1034" s="154">
        <v>1022</v>
      </c>
      <c r="E1034" s="3"/>
      <c r="F1034" s="510" t="s">
        <v>2574</v>
      </c>
      <c r="G1034" s="517" t="s">
        <v>2576</v>
      </c>
      <c r="H1034" s="2"/>
      <c r="I1034" s="156" t="str">
        <f t="shared" si="62"/>
        <v/>
      </c>
      <c r="J1034" s="156"/>
      <c r="K1034" s="156"/>
      <c r="L1034" s="517" t="s">
        <v>2575</v>
      </c>
      <c r="M1034" s="157" t="str">
        <f t="shared" si="63"/>
        <v>К7240000145</v>
      </c>
      <c r="N1034" s="511" t="s">
        <v>2048</v>
      </c>
      <c r="O1034" s="519" t="s">
        <v>2053</v>
      </c>
      <c r="P1034" s="1"/>
      <c r="U1034" s="1"/>
      <c r="V1034" s="4"/>
      <c r="W1034" s="3"/>
    </row>
    <row r="1035" spans="1:23" x14ac:dyDescent="0.25">
      <c r="A1035" s="158">
        <v>948</v>
      </c>
      <c r="B1035" s="1"/>
      <c r="C1035" s="1"/>
      <c r="D1035" s="158">
        <v>1023</v>
      </c>
      <c r="E1035" s="3"/>
      <c r="F1035" s="3"/>
      <c r="G1035" s="2"/>
      <c r="H1035" s="2"/>
      <c r="I1035" s="156" t="str">
        <f t="shared" si="62"/>
        <v/>
      </c>
      <c r="J1035" s="156"/>
      <c r="K1035" s="156"/>
      <c r="L1035" s="2"/>
      <c r="M1035" s="157" t="str">
        <f t="shared" si="63"/>
        <v>К</v>
      </c>
      <c r="N1035" s="511" t="s">
        <v>2048</v>
      </c>
      <c r="O1035" s="519" t="s">
        <v>2053</v>
      </c>
      <c r="P1035" s="1"/>
      <c r="U1035" s="1"/>
      <c r="V1035" s="4"/>
      <c r="W1035" s="3"/>
    </row>
    <row r="1036" spans="1:23" x14ac:dyDescent="0.25">
      <c r="A1036" s="154">
        <v>949</v>
      </c>
      <c r="B1036" s="1"/>
      <c r="C1036" s="1"/>
      <c r="D1036" s="154">
        <v>1024</v>
      </c>
      <c r="E1036" s="3"/>
      <c r="F1036" s="3"/>
      <c r="G1036" s="2"/>
      <c r="H1036" s="2"/>
      <c r="I1036" s="156" t="str">
        <f t="shared" si="62"/>
        <v/>
      </c>
      <c r="J1036" s="156"/>
      <c r="K1036" s="156"/>
      <c r="L1036" s="2"/>
      <c r="M1036" s="157" t="str">
        <f t="shared" si="63"/>
        <v>К</v>
      </c>
      <c r="N1036" s="511" t="s">
        <v>2048</v>
      </c>
      <c r="O1036" s="519" t="s">
        <v>2053</v>
      </c>
      <c r="P1036" s="1"/>
      <c r="U1036" s="1"/>
      <c r="V1036" s="4"/>
      <c r="W1036" s="3"/>
    </row>
    <row r="1037" spans="1:23" x14ac:dyDescent="0.25">
      <c r="A1037" s="158">
        <v>950</v>
      </c>
      <c r="B1037" s="1"/>
      <c r="C1037" s="1"/>
      <c r="D1037" s="158">
        <v>1025</v>
      </c>
      <c r="E1037" s="3"/>
      <c r="F1037" s="513" t="s">
        <v>2498</v>
      </c>
      <c r="G1037" s="2"/>
      <c r="H1037" s="2"/>
      <c r="I1037" s="156" t="str">
        <f t="shared" si="62"/>
        <v/>
      </c>
      <c r="J1037" s="156"/>
      <c r="K1037" s="156"/>
      <c r="L1037" s="514" t="s">
        <v>2499</v>
      </c>
      <c r="M1037" s="157" t="str">
        <f t="shared" si="63"/>
        <v>К01370391</v>
      </c>
      <c r="N1037" s="511" t="s">
        <v>2048</v>
      </c>
      <c r="O1037" s="512" t="s">
        <v>443</v>
      </c>
      <c r="P1037" s="1"/>
      <c r="U1037" s="1"/>
      <c r="V1037" s="4"/>
      <c r="W1037" s="3"/>
    </row>
    <row r="1038" spans="1:23" x14ac:dyDescent="0.25">
      <c r="A1038" s="154">
        <v>951</v>
      </c>
      <c r="B1038" s="1"/>
      <c r="C1038" s="1"/>
      <c r="D1038" s="158">
        <v>1026</v>
      </c>
      <c r="E1038" s="513"/>
      <c r="F1038" s="3" t="s">
        <v>37</v>
      </c>
      <c r="G1038" s="514" t="s">
        <v>2506</v>
      </c>
      <c r="H1038" s="514" t="s">
        <v>59</v>
      </c>
      <c r="I1038" s="156" t="str">
        <f t="shared" si="62"/>
        <v>2013</v>
      </c>
      <c r="J1038" s="156">
        <v>2013</v>
      </c>
      <c r="K1038" s="156"/>
      <c r="L1038" s="514" t="s">
        <v>2505</v>
      </c>
      <c r="M1038" s="157" t="str">
        <f t="shared" si="63"/>
        <v>К08102777_2</v>
      </c>
      <c r="N1038" s="511" t="s">
        <v>2048</v>
      </c>
      <c r="O1038" s="512" t="s">
        <v>443</v>
      </c>
      <c r="P1038" s="1"/>
      <c r="U1038" s="1"/>
      <c r="V1038" s="4"/>
      <c r="W1038" s="3"/>
    </row>
    <row r="1039" spans="1:23" x14ac:dyDescent="0.25">
      <c r="A1039" s="158">
        <v>952</v>
      </c>
      <c r="B1039" s="1"/>
      <c r="C1039" s="1"/>
      <c r="D1039" s="154">
        <v>1027</v>
      </c>
      <c r="E1039" s="3"/>
      <c r="F1039" s="3" t="s">
        <v>37</v>
      </c>
      <c r="G1039" s="524" t="s">
        <v>2429</v>
      </c>
      <c r="H1039" s="524" t="s">
        <v>47</v>
      </c>
      <c r="I1039" s="156" t="str">
        <f t="shared" si="62"/>
        <v>2010</v>
      </c>
      <c r="J1039" s="156">
        <v>2010</v>
      </c>
      <c r="K1039" s="156"/>
      <c r="L1039" s="524" t="s">
        <v>2428</v>
      </c>
      <c r="M1039" s="157" t="str">
        <f t="shared" si="63"/>
        <v>К08102771_2</v>
      </c>
      <c r="N1039" s="511" t="s">
        <v>2048</v>
      </c>
      <c r="O1039" s="521" t="s">
        <v>2060</v>
      </c>
      <c r="P1039" s="1"/>
      <c r="U1039" s="1"/>
      <c r="V1039" s="4"/>
      <c r="W1039" s="3"/>
    </row>
    <row r="1040" spans="1:23" x14ac:dyDescent="0.25">
      <c r="A1040" s="154">
        <v>953</v>
      </c>
      <c r="B1040" s="1"/>
      <c r="C1040" s="1"/>
      <c r="D1040" s="158">
        <v>1028</v>
      </c>
      <c r="E1040" s="3"/>
      <c r="F1040" s="3" t="s">
        <v>37</v>
      </c>
      <c r="G1040" s="522" t="s">
        <v>2388</v>
      </c>
      <c r="H1040" s="2"/>
      <c r="I1040" s="156" t="str">
        <f t="shared" si="62"/>
        <v/>
      </c>
      <c r="J1040" s="156"/>
      <c r="K1040" s="156"/>
      <c r="L1040" s="522" t="s">
        <v>2387</v>
      </c>
      <c r="M1040" s="157" t="str">
        <f t="shared" si="63"/>
        <v>К08102774_2</v>
      </c>
      <c r="N1040" s="511" t="s">
        <v>2048</v>
      </c>
      <c r="O1040" s="521" t="s">
        <v>2060</v>
      </c>
      <c r="P1040" s="1"/>
      <c r="U1040" s="1"/>
      <c r="V1040" s="4"/>
      <c r="W1040" s="3"/>
    </row>
    <row r="1041" spans="1:23" x14ac:dyDescent="0.25">
      <c r="A1041" s="158">
        <v>954</v>
      </c>
      <c r="B1041" s="1"/>
      <c r="C1041" s="1"/>
      <c r="D1041" s="154">
        <v>1029</v>
      </c>
      <c r="E1041" s="3"/>
      <c r="F1041" s="511" t="s">
        <v>2409</v>
      </c>
      <c r="G1041" s="524" t="s">
        <v>2413</v>
      </c>
      <c r="H1041" s="2"/>
      <c r="I1041" s="156" t="str">
        <f t="shared" si="62"/>
        <v/>
      </c>
      <c r="J1041" s="156"/>
      <c r="K1041" s="156"/>
      <c r="L1041" s="524" t="s">
        <v>2412</v>
      </c>
      <c r="M1041" s="157" t="str">
        <f t="shared" si="63"/>
        <v>К08103049</v>
      </c>
      <c r="N1041" s="511" t="s">
        <v>2048</v>
      </c>
      <c r="O1041" s="521" t="s">
        <v>2060</v>
      </c>
      <c r="P1041" s="1"/>
      <c r="U1041" s="1"/>
      <c r="V1041" s="4"/>
      <c r="W1041" s="3"/>
    </row>
    <row r="1042" spans="1:23" x14ac:dyDescent="0.25">
      <c r="A1042" s="154">
        <v>955</v>
      </c>
      <c r="B1042" s="1"/>
      <c r="C1042" s="1"/>
      <c r="D1042" s="158">
        <v>1030</v>
      </c>
      <c r="E1042" s="3"/>
      <c r="F1042" s="511" t="s">
        <v>2409</v>
      </c>
      <c r="G1042" s="522" t="s">
        <v>2407</v>
      </c>
      <c r="H1042" s="2"/>
      <c r="I1042" s="156" t="str">
        <f t="shared" si="62"/>
        <v/>
      </c>
      <c r="J1042" s="156"/>
      <c r="K1042" s="156"/>
      <c r="L1042" s="522" t="s">
        <v>2406</v>
      </c>
      <c r="M1042" s="157" t="str">
        <f t="shared" si="63"/>
        <v>К08103049_2</v>
      </c>
      <c r="N1042" s="511" t="s">
        <v>2048</v>
      </c>
      <c r="O1042" s="521" t="s">
        <v>2060</v>
      </c>
      <c r="P1042" s="1"/>
      <c r="U1042" s="1"/>
      <c r="V1042" s="4"/>
      <c r="W1042" s="3"/>
    </row>
    <row r="1043" spans="1:23" x14ac:dyDescent="0.25">
      <c r="A1043" s="158">
        <v>956</v>
      </c>
      <c r="B1043" s="1"/>
      <c r="C1043" s="1"/>
      <c r="D1043" s="154">
        <v>1031</v>
      </c>
      <c r="E1043" s="3"/>
      <c r="F1043" s="520" t="s">
        <v>2409</v>
      </c>
      <c r="G1043" s="523" t="s">
        <v>2453</v>
      </c>
      <c r="H1043" s="2"/>
      <c r="I1043" s="156" t="str">
        <f t="shared" si="62"/>
        <v/>
      </c>
      <c r="J1043" s="156"/>
      <c r="K1043" s="156"/>
      <c r="L1043" s="523" t="s">
        <v>2452</v>
      </c>
      <c r="M1043" s="157" t="str">
        <f t="shared" si="63"/>
        <v>К08103057_2</v>
      </c>
      <c r="N1043" s="511" t="s">
        <v>2048</v>
      </c>
      <c r="O1043" s="521" t="s">
        <v>2060</v>
      </c>
      <c r="P1043" s="1"/>
      <c r="U1043" s="1"/>
      <c r="V1043" s="4"/>
      <c r="W1043" s="3"/>
    </row>
    <row r="1044" spans="1:23" x14ac:dyDescent="0.25">
      <c r="A1044" s="154">
        <v>963</v>
      </c>
      <c r="B1044" s="1"/>
      <c r="C1044" s="1"/>
      <c r="D1044" s="158">
        <v>1032</v>
      </c>
      <c r="E1044" s="3"/>
      <c r="F1044" s="516" t="s">
        <v>2418</v>
      </c>
      <c r="G1044" s="524" t="s">
        <v>2419</v>
      </c>
      <c r="H1044" s="524" t="s">
        <v>2420</v>
      </c>
      <c r="I1044" s="156" t="str">
        <f t="shared" si="62"/>
        <v>2010</v>
      </c>
      <c r="J1044" s="156">
        <v>2010</v>
      </c>
      <c r="K1044" s="156"/>
      <c r="L1044" s="524" t="s">
        <v>2417</v>
      </c>
      <c r="M1044" s="157" t="str">
        <f t="shared" si="63"/>
        <v>К08106002</v>
      </c>
      <c r="N1044" s="511" t="s">
        <v>2048</v>
      </c>
      <c r="O1044" s="521" t="s">
        <v>2060</v>
      </c>
      <c r="P1044" s="1"/>
      <c r="U1044" s="1"/>
      <c r="V1044" s="4"/>
      <c r="W1044" s="3"/>
    </row>
    <row r="1045" spans="1:23" x14ac:dyDescent="0.25">
      <c r="A1045" s="158">
        <v>964</v>
      </c>
      <c r="B1045" s="1"/>
      <c r="C1045" s="1"/>
      <c r="D1045" s="158">
        <v>1033</v>
      </c>
      <c r="E1045" s="3"/>
      <c r="F1045" s="459" t="s">
        <v>2551</v>
      </c>
      <c r="G1045" s="522" t="s">
        <v>2398</v>
      </c>
      <c r="H1045" s="2"/>
      <c r="I1045" s="156" t="str">
        <f t="shared" si="62"/>
        <v/>
      </c>
      <c r="J1045" s="156"/>
      <c r="K1045" s="156"/>
      <c r="L1045" s="522" t="s">
        <v>2397</v>
      </c>
      <c r="M1045" s="157" t="str">
        <f t="shared" si="63"/>
        <v>К08106108</v>
      </c>
      <c r="N1045" s="511" t="s">
        <v>2048</v>
      </c>
      <c r="O1045" s="521" t="s">
        <v>2060</v>
      </c>
      <c r="P1045" s="1"/>
      <c r="U1045" s="1"/>
      <c r="V1045" s="4"/>
      <c r="W1045" s="3"/>
    </row>
    <row r="1046" spans="1:23" x14ac:dyDescent="0.25">
      <c r="A1046" s="154">
        <v>969</v>
      </c>
      <c r="B1046" s="1"/>
      <c r="C1046" s="1"/>
      <c r="D1046" s="154">
        <v>1034</v>
      </c>
      <c r="E1046" s="3"/>
      <c r="F1046" s="3" t="s">
        <v>37</v>
      </c>
      <c r="G1046" s="524" t="s">
        <v>2411</v>
      </c>
      <c r="H1046" s="524" t="s">
        <v>47</v>
      </c>
      <c r="I1046" s="156" t="str">
        <f t="shared" si="62"/>
        <v>2010</v>
      </c>
      <c r="J1046" s="156">
        <v>2010</v>
      </c>
      <c r="K1046" s="156"/>
      <c r="L1046" s="524" t="s">
        <v>2410</v>
      </c>
      <c r="M1046" s="157" t="str">
        <f t="shared" si="63"/>
        <v>К08106146</v>
      </c>
      <c r="N1046" s="511" t="s">
        <v>2048</v>
      </c>
      <c r="O1046" s="521" t="s">
        <v>2060</v>
      </c>
      <c r="P1046" s="1"/>
      <c r="U1046" s="1"/>
      <c r="V1046" s="4"/>
      <c r="W1046" s="3"/>
    </row>
    <row r="1047" spans="1:23" x14ac:dyDescent="0.25">
      <c r="A1047" s="158">
        <v>970</v>
      </c>
      <c r="B1047" s="1"/>
      <c r="C1047" s="1"/>
      <c r="D1047" s="158">
        <v>1035</v>
      </c>
      <c r="E1047" s="3"/>
      <c r="F1047" s="3" t="s">
        <v>37</v>
      </c>
      <c r="G1047" s="524" t="s">
        <v>2431</v>
      </c>
      <c r="H1047" s="524" t="s">
        <v>47</v>
      </c>
      <c r="I1047" s="156" t="str">
        <f t="shared" si="62"/>
        <v>2010</v>
      </c>
      <c r="J1047" s="156">
        <v>2010</v>
      </c>
      <c r="K1047" s="156"/>
      <c r="L1047" s="524" t="s">
        <v>2410</v>
      </c>
      <c r="M1047" s="157" t="str">
        <f t="shared" si="63"/>
        <v>К08106146</v>
      </c>
      <c r="N1047" s="511" t="s">
        <v>2048</v>
      </c>
      <c r="O1047" s="521" t="s">
        <v>2060</v>
      </c>
      <c r="P1047" s="1"/>
      <c r="U1047" s="1"/>
      <c r="V1047" s="4"/>
      <c r="W1047" s="3"/>
    </row>
    <row r="1048" spans="1:23" x14ac:dyDescent="0.25">
      <c r="A1048" s="154">
        <v>971</v>
      </c>
      <c r="B1048" s="1"/>
      <c r="C1048" s="1"/>
      <c r="D1048" s="154">
        <v>1036</v>
      </c>
      <c r="E1048" s="3"/>
      <c r="F1048" s="3" t="s">
        <v>37</v>
      </c>
      <c r="G1048" s="522" t="s">
        <v>2390</v>
      </c>
      <c r="H1048" s="522" t="s">
        <v>47</v>
      </c>
      <c r="I1048" s="156" t="str">
        <f t="shared" si="62"/>
        <v>2010</v>
      </c>
      <c r="J1048" s="156">
        <v>2010</v>
      </c>
      <c r="K1048" s="156"/>
      <c r="L1048" s="522" t="s">
        <v>2389</v>
      </c>
      <c r="M1048" s="157" t="str">
        <f t="shared" si="63"/>
        <v>К08106148</v>
      </c>
      <c r="N1048" s="511" t="s">
        <v>2048</v>
      </c>
      <c r="O1048" s="521" t="s">
        <v>2060</v>
      </c>
      <c r="P1048" s="1"/>
      <c r="U1048" s="1"/>
      <c r="V1048" s="4"/>
      <c r="W1048" s="3"/>
    </row>
    <row r="1049" spans="1:23" x14ac:dyDescent="0.25">
      <c r="A1049" s="158">
        <v>972</v>
      </c>
      <c r="B1049" s="1"/>
      <c r="C1049" s="1"/>
      <c r="D1049" s="158">
        <v>1037</v>
      </c>
      <c r="E1049" s="3"/>
      <c r="F1049" s="520" t="s">
        <v>2391</v>
      </c>
      <c r="G1049" s="514" t="s">
        <v>2492</v>
      </c>
      <c r="H1049" s="523" t="s">
        <v>2460</v>
      </c>
      <c r="I1049" s="156" t="str">
        <f t="shared" si="62"/>
        <v>2019</v>
      </c>
      <c r="J1049" s="156">
        <v>2019</v>
      </c>
      <c r="K1049" s="156"/>
      <c r="L1049" s="523" t="s">
        <v>2459</v>
      </c>
      <c r="M1049" s="157" t="str">
        <f t="shared" si="63"/>
        <v>К21012400309</v>
      </c>
      <c r="N1049" s="511" t="s">
        <v>2048</v>
      </c>
      <c r="O1049" s="521" t="s">
        <v>2060</v>
      </c>
      <c r="P1049" s="1"/>
      <c r="U1049" s="1"/>
      <c r="V1049" s="4"/>
      <c r="W1049" s="3"/>
    </row>
    <row r="1050" spans="1:23" x14ac:dyDescent="0.25">
      <c r="A1050" s="154">
        <v>973</v>
      </c>
      <c r="B1050" s="1"/>
      <c r="C1050" s="1"/>
      <c r="D1050" s="154">
        <v>1038</v>
      </c>
      <c r="E1050" s="3"/>
      <c r="F1050" s="516" t="s">
        <v>1879</v>
      </c>
      <c r="G1050" s="524" t="s">
        <v>2433</v>
      </c>
      <c r="H1050" s="2"/>
      <c r="I1050" s="156" t="str">
        <f t="shared" si="62"/>
        <v/>
      </c>
      <c r="J1050" s="156"/>
      <c r="K1050" s="156"/>
      <c r="L1050" s="524" t="s">
        <v>2432</v>
      </c>
      <c r="M1050" s="157" t="str">
        <f t="shared" si="63"/>
        <v>К21012400324</v>
      </c>
      <c r="N1050" s="511" t="s">
        <v>2048</v>
      </c>
      <c r="O1050" s="521" t="s">
        <v>2060</v>
      </c>
      <c r="P1050" s="1"/>
      <c r="U1050" s="1"/>
      <c r="V1050" s="4"/>
      <c r="W1050" s="3"/>
    </row>
    <row r="1051" spans="1:23" x14ac:dyDescent="0.25">
      <c r="A1051" s="158">
        <v>974</v>
      </c>
      <c r="B1051" s="1"/>
      <c r="C1051" s="1"/>
      <c r="D1051" s="158">
        <v>1039</v>
      </c>
      <c r="E1051" s="3"/>
      <c r="F1051" s="520" t="s">
        <v>2324</v>
      </c>
      <c r="G1051" s="523" t="s">
        <v>2450</v>
      </c>
      <c r="H1051" s="523" t="s">
        <v>2451</v>
      </c>
      <c r="I1051" s="156" t="str">
        <f t="shared" si="62"/>
        <v>2018</v>
      </c>
      <c r="J1051" s="156">
        <v>2018</v>
      </c>
      <c r="K1051" s="156"/>
      <c r="L1051" s="523" t="s">
        <v>2449</v>
      </c>
      <c r="M1051" s="157" t="str">
        <f t="shared" si="63"/>
        <v>К21012400353</v>
      </c>
      <c r="N1051" s="511" t="s">
        <v>2048</v>
      </c>
      <c r="O1051" s="521" t="s">
        <v>2060</v>
      </c>
      <c r="P1051" s="1"/>
      <c r="U1051" s="1"/>
      <c r="V1051" s="4"/>
      <c r="W1051" s="3"/>
    </row>
    <row r="1052" spans="1:23" x14ac:dyDescent="0.25">
      <c r="A1052" s="154">
        <v>975</v>
      </c>
      <c r="B1052" s="1"/>
      <c r="C1052" s="1"/>
      <c r="D1052" s="158">
        <v>1040</v>
      </c>
      <c r="E1052" s="3"/>
      <c r="F1052" s="511" t="s">
        <v>2408</v>
      </c>
      <c r="G1052" s="522" t="s">
        <v>2405</v>
      </c>
      <c r="H1052" s="2"/>
      <c r="I1052" s="156" t="str">
        <f t="shared" si="62"/>
        <v/>
      </c>
      <c r="J1052" s="156"/>
      <c r="K1052" s="156"/>
      <c r="L1052" s="522" t="s">
        <v>2404</v>
      </c>
      <c r="M1052" s="157" t="str">
        <f t="shared" si="63"/>
        <v>К2240000068</v>
      </c>
      <c r="N1052" s="511" t="s">
        <v>2048</v>
      </c>
      <c r="O1052" s="521" t="s">
        <v>2060</v>
      </c>
      <c r="P1052" s="1"/>
      <c r="U1052" s="1"/>
      <c r="V1052" s="4"/>
      <c r="W1052" s="3"/>
    </row>
    <row r="1053" spans="1:23" x14ac:dyDescent="0.25">
      <c r="A1053" s="158">
        <v>976</v>
      </c>
      <c r="B1053" s="1"/>
      <c r="C1053" s="1"/>
      <c r="D1053" s="154">
        <v>1041</v>
      </c>
      <c r="E1053" s="3"/>
      <c r="F1053" s="520" t="s">
        <v>2455</v>
      </c>
      <c r="G1053" s="523" t="s">
        <v>2456</v>
      </c>
      <c r="H1053" s="2"/>
      <c r="I1053" s="156" t="str">
        <f t="shared" si="62"/>
        <v/>
      </c>
      <c r="J1053" s="156"/>
      <c r="K1053" s="156"/>
      <c r="L1053" s="523" t="s">
        <v>2454</v>
      </c>
      <c r="M1053" s="157" t="str">
        <f t="shared" si="63"/>
        <v>К2240000111</v>
      </c>
      <c r="N1053" s="511" t="s">
        <v>2048</v>
      </c>
      <c r="O1053" s="521" t="s">
        <v>2060</v>
      </c>
      <c r="P1053" s="1"/>
      <c r="U1053" s="1"/>
      <c r="V1053" s="4"/>
      <c r="W1053" s="3"/>
    </row>
    <row r="1054" spans="1:23" x14ac:dyDescent="0.25">
      <c r="A1054" s="154">
        <v>977</v>
      </c>
      <c r="B1054" s="1"/>
      <c r="C1054" s="1"/>
      <c r="D1054" s="158">
        <v>1042</v>
      </c>
      <c r="E1054" s="3"/>
      <c r="F1054" s="516" t="s">
        <v>2416</v>
      </c>
      <c r="G1054" s="524" t="s">
        <v>2415</v>
      </c>
      <c r="H1054" s="524" t="s">
        <v>159</v>
      </c>
      <c r="I1054" s="156" t="str">
        <f t="shared" si="62"/>
        <v>2012</v>
      </c>
      <c r="J1054" s="156">
        <v>2012</v>
      </c>
      <c r="K1054" s="156"/>
      <c r="L1054" s="524" t="s">
        <v>2414</v>
      </c>
      <c r="M1054" s="157" t="str">
        <f t="shared" si="63"/>
        <v>К2360000111</v>
      </c>
      <c r="N1054" s="511" t="s">
        <v>2048</v>
      </c>
      <c r="O1054" s="521" t="s">
        <v>2060</v>
      </c>
      <c r="P1054" s="1"/>
      <c r="U1054" s="1"/>
      <c r="V1054" s="4"/>
      <c r="W1054" s="3"/>
    </row>
    <row r="1055" spans="1:23" x14ac:dyDescent="0.25">
      <c r="A1055" s="158">
        <v>978</v>
      </c>
      <c r="B1055" s="1"/>
      <c r="C1055" s="1"/>
      <c r="D1055" s="154">
        <v>1043</v>
      </c>
      <c r="E1055" s="3"/>
      <c r="F1055" s="520" t="s">
        <v>2440</v>
      </c>
      <c r="G1055" s="523" t="s">
        <v>2439</v>
      </c>
      <c r="H1055" s="2"/>
      <c r="I1055" s="156" t="str">
        <f t="shared" si="62"/>
        <v/>
      </c>
      <c r="J1055" s="156"/>
      <c r="K1055" s="156"/>
      <c r="L1055" s="523" t="s">
        <v>2438</v>
      </c>
      <c r="M1055" s="157" t="str">
        <f t="shared" si="63"/>
        <v>К2360000207</v>
      </c>
      <c r="N1055" s="511" t="s">
        <v>2048</v>
      </c>
      <c r="O1055" s="521" t="s">
        <v>2060</v>
      </c>
      <c r="P1055" s="1"/>
      <c r="U1055" s="1"/>
      <c r="V1055" s="4"/>
      <c r="W1055" s="3"/>
    </row>
    <row r="1056" spans="1:23" x14ac:dyDescent="0.25">
      <c r="A1056" s="154">
        <v>979</v>
      </c>
      <c r="B1056" s="1"/>
      <c r="C1056" s="1"/>
      <c r="D1056" s="158">
        <v>1044</v>
      </c>
      <c r="E1056" s="3"/>
      <c r="F1056" s="520" t="s">
        <v>2435</v>
      </c>
      <c r="G1056" s="523" t="s">
        <v>2437</v>
      </c>
      <c r="H1056" s="2"/>
      <c r="I1056" s="156" t="str">
        <f t="shared" si="62"/>
        <v/>
      </c>
      <c r="J1056" s="156"/>
      <c r="K1056" s="156"/>
      <c r="L1056" s="523" t="s">
        <v>2436</v>
      </c>
      <c r="M1056" s="157" t="str">
        <f t="shared" si="63"/>
        <v>К2360000209</v>
      </c>
      <c r="N1056" s="511" t="s">
        <v>2048</v>
      </c>
      <c r="O1056" s="521" t="s">
        <v>2060</v>
      </c>
      <c r="P1056" s="1"/>
      <c r="U1056" s="1"/>
      <c r="V1056" s="4"/>
      <c r="W1056" s="3"/>
    </row>
    <row r="1057" spans="1:23" x14ac:dyDescent="0.25">
      <c r="A1057" s="158">
        <v>980</v>
      </c>
      <c r="B1057" s="1"/>
      <c r="C1057" s="1"/>
      <c r="D1057" s="154">
        <v>1045</v>
      </c>
      <c r="E1057" s="3"/>
      <c r="F1057" s="511" t="s">
        <v>2396</v>
      </c>
      <c r="G1057" s="522" t="s">
        <v>2395</v>
      </c>
      <c r="H1057" s="522" t="s">
        <v>51</v>
      </c>
      <c r="I1057" s="156" t="str">
        <f t="shared" si="62"/>
        <v>2014</v>
      </c>
      <c r="J1057" s="156">
        <v>2014</v>
      </c>
      <c r="K1057" s="156"/>
      <c r="L1057" s="522" t="s">
        <v>2394</v>
      </c>
      <c r="M1057" s="157" t="str">
        <f t="shared" si="63"/>
        <v>К2360000440</v>
      </c>
      <c r="N1057" s="511" t="s">
        <v>2048</v>
      </c>
      <c r="O1057" s="521" t="s">
        <v>2060</v>
      </c>
      <c r="P1057" s="1"/>
      <c r="U1057" s="1"/>
      <c r="V1057" s="4"/>
      <c r="W1057" s="3"/>
    </row>
    <row r="1058" spans="1:23" x14ac:dyDescent="0.25">
      <c r="A1058" s="154">
        <v>981</v>
      </c>
      <c r="B1058" s="1"/>
      <c r="C1058" s="1"/>
      <c r="D1058" s="158">
        <v>1046</v>
      </c>
      <c r="E1058" s="3"/>
      <c r="F1058" s="520" t="s">
        <v>2396</v>
      </c>
      <c r="G1058" s="523" t="s">
        <v>2457</v>
      </c>
      <c r="H1058" s="523" t="s">
        <v>51</v>
      </c>
      <c r="I1058" s="156" t="str">
        <f t="shared" si="62"/>
        <v>2014</v>
      </c>
      <c r="J1058" s="156">
        <v>2014</v>
      </c>
      <c r="K1058" s="156"/>
      <c r="L1058" s="523" t="s">
        <v>2458</v>
      </c>
      <c r="M1058" s="157" t="str">
        <f t="shared" si="63"/>
        <v>К236000437</v>
      </c>
      <c r="N1058" s="511" t="s">
        <v>2048</v>
      </c>
      <c r="O1058" s="521" t="s">
        <v>2060</v>
      </c>
      <c r="P1058" s="1"/>
      <c r="U1058" s="1"/>
      <c r="V1058" s="4"/>
      <c r="W1058" s="3"/>
    </row>
    <row r="1059" spans="1:23" x14ac:dyDescent="0.25">
      <c r="A1059" s="158">
        <v>982</v>
      </c>
      <c r="B1059" s="1"/>
      <c r="C1059" s="1"/>
      <c r="D1059" s="158">
        <v>1047</v>
      </c>
      <c r="E1059" s="3"/>
      <c r="F1059" s="516" t="s">
        <v>2421</v>
      </c>
      <c r="G1059" s="524" t="s">
        <v>2422</v>
      </c>
      <c r="H1059" s="524" t="s">
        <v>51</v>
      </c>
      <c r="I1059" s="156" t="str">
        <f t="shared" si="62"/>
        <v>2014</v>
      </c>
      <c r="J1059" s="156">
        <v>2014</v>
      </c>
      <c r="K1059" s="156"/>
      <c r="L1059" s="524" t="s">
        <v>2423</v>
      </c>
      <c r="M1059" s="157" t="str">
        <f t="shared" si="63"/>
        <v>К236000441</v>
      </c>
      <c r="N1059" s="511" t="s">
        <v>2048</v>
      </c>
      <c r="O1059" s="521" t="s">
        <v>2060</v>
      </c>
      <c r="P1059" s="1"/>
      <c r="U1059" s="1"/>
      <c r="V1059" s="4"/>
      <c r="W1059" s="3"/>
    </row>
    <row r="1060" spans="1:23" x14ac:dyDescent="0.25">
      <c r="A1060" s="154">
        <v>983</v>
      </c>
      <c r="B1060" s="1"/>
      <c r="C1060" s="1"/>
      <c r="D1060" s="154">
        <v>1048</v>
      </c>
      <c r="E1060" s="3"/>
      <c r="F1060" s="516" t="s">
        <v>2403</v>
      </c>
      <c r="G1060" s="524" t="s">
        <v>2425</v>
      </c>
      <c r="H1060" s="524" t="s">
        <v>90</v>
      </c>
      <c r="I1060" s="156" t="str">
        <f t="shared" si="62"/>
        <v>2008</v>
      </c>
      <c r="J1060" s="156">
        <v>2008</v>
      </c>
      <c r="K1060" s="156"/>
      <c r="L1060" s="524" t="s">
        <v>2424</v>
      </c>
      <c r="M1060" s="157" t="str">
        <f t="shared" si="63"/>
        <v>К470085</v>
      </c>
      <c r="N1060" s="511" t="s">
        <v>2048</v>
      </c>
      <c r="O1060" s="521" t="s">
        <v>2060</v>
      </c>
      <c r="P1060" s="1"/>
      <c r="U1060" s="1"/>
      <c r="V1060" s="4"/>
      <c r="W1060" s="3"/>
    </row>
    <row r="1061" spans="1:23" x14ac:dyDescent="0.25">
      <c r="A1061" s="158">
        <v>984</v>
      </c>
      <c r="B1061" s="1"/>
      <c r="C1061" s="1"/>
      <c r="D1061" s="158">
        <v>1049</v>
      </c>
      <c r="E1061" s="3"/>
      <c r="F1061" s="511" t="s">
        <v>2391</v>
      </c>
      <c r="G1061" s="522" t="s">
        <v>2392</v>
      </c>
      <c r="H1061" s="522" t="s">
        <v>2393</v>
      </c>
      <c r="I1061" s="156" t="str">
        <f t="shared" si="62"/>
        <v>2015</v>
      </c>
      <c r="J1061" s="156">
        <v>2015</v>
      </c>
      <c r="K1061" s="156"/>
      <c r="L1061" s="2"/>
      <c r="M1061" s="157" t="str">
        <f t="shared" si="63"/>
        <v>К</v>
      </c>
      <c r="N1061" s="511" t="s">
        <v>2048</v>
      </c>
      <c r="O1061" s="521" t="s">
        <v>2060</v>
      </c>
      <c r="P1061" s="1"/>
      <c r="U1061" s="1"/>
      <c r="V1061" s="4"/>
      <c r="W1061" s="3"/>
    </row>
    <row r="1062" spans="1:23" x14ac:dyDescent="0.25">
      <c r="A1062" s="154">
        <v>985</v>
      </c>
      <c r="B1062" s="1"/>
      <c r="C1062" s="1"/>
      <c r="D1062" s="154">
        <v>1050</v>
      </c>
      <c r="E1062" s="3"/>
      <c r="F1062" s="511" t="s">
        <v>2400</v>
      </c>
      <c r="G1062" s="522" t="s">
        <v>2399</v>
      </c>
      <c r="H1062" s="2"/>
      <c r="I1062" s="156" t="str">
        <f t="shared" si="62"/>
        <v/>
      </c>
      <c r="J1062" s="156"/>
      <c r="K1062" s="156"/>
      <c r="L1062" s="2"/>
      <c r="M1062" s="157" t="str">
        <f t="shared" si="63"/>
        <v>К</v>
      </c>
      <c r="N1062" s="511" t="s">
        <v>2048</v>
      </c>
      <c r="O1062" s="521" t="s">
        <v>2060</v>
      </c>
      <c r="P1062" s="1"/>
      <c r="U1062" s="1"/>
      <c r="V1062" s="4"/>
      <c r="W1062" s="3"/>
    </row>
    <row r="1063" spans="1:23" x14ac:dyDescent="0.25">
      <c r="A1063" s="158">
        <v>986</v>
      </c>
      <c r="B1063" s="1"/>
      <c r="C1063" s="1"/>
      <c r="D1063" s="158">
        <v>1051</v>
      </c>
      <c r="E1063" s="3"/>
      <c r="F1063" s="516" t="s">
        <v>2426</v>
      </c>
      <c r="G1063" s="2"/>
      <c r="H1063" s="524" t="s">
        <v>90</v>
      </c>
      <c r="I1063" s="156" t="str">
        <f t="shared" si="62"/>
        <v>2008</v>
      </c>
      <c r="J1063" s="156">
        <v>2008</v>
      </c>
      <c r="K1063" s="156"/>
      <c r="L1063" s="524"/>
      <c r="M1063" s="157" t="str">
        <f t="shared" si="63"/>
        <v>К</v>
      </c>
      <c r="N1063" s="511" t="s">
        <v>2048</v>
      </c>
      <c r="O1063" s="521" t="s">
        <v>2060</v>
      </c>
      <c r="P1063" s="1"/>
      <c r="U1063" s="1"/>
      <c r="V1063" s="4"/>
      <c r="W1063" s="3"/>
    </row>
    <row r="1064" spans="1:23" x14ac:dyDescent="0.25">
      <c r="A1064" s="154">
        <v>987</v>
      </c>
      <c r="B1064" s="1"/>
      <c r="C1064" s="1"/>
      <c r="D1064" s="154">
        <v>1052</v>
      </c>
      <c r="E1064" s="3"/>
      <c r="F1064" s="516" t="s">
        <v>2426</v>
      </c>
      <c r="G1064" s="524" t="s">
        <v>2427</v>
      </c>
      <c r="H1064" s="524" t="s">
        <v>90</v>
      </c>
      <c r="I1064" s="156" t="str">
        <f t="shared" si="62"/>
        <v>2008</v>
      </c>
      <c r="J1064" s="156">
        <v>2008</v>
      </c>
      <c r="K1064" s="156"/>
      <c r="L1064" s="2"/>
      <c r="M1064" s="157" t="str">
        <f t="shared" si="63"/>
        <v>К</v>
      </c>
      <c r="N1064" s="511" t="s">
        <v>2048</v>
      </c>
      <c r="O1064" s="521" t="s">
        <v>2060</v>
      </c>
      <c r="P1064" s="1"/>
      <c r="U1064" s="1"/>
      <c r="V1064" s="4"/>
      <c r="W1064" s="3"/>
    </row>
    <row r="1065" spans="1:23" x14ac:dyDescent="0.25">
      <c r="A1065" s="158">
        <v>988</v>
      </c>
      <c r="B1065" s="1"/>
      <c r="C1065" s="1"/>
      <c r="D1065" s="158">
        <v>1053</v>
      </c>
      <c r="E1065" s="3"/>
      <c r="F1065" s="516" t="s">
        <v>32</v>
      </c>
      <c r="G1065" s="524" t="s">
        <v>2430</v>
      </c>
      <c r="H1065" s="2"/>
      <c r="I1065" s="156" t="str">
        <f t="shared" si="62"/>
        <v/>
      </c>
      <c r="J1065" s="156"/>
      <c r="K1065" s="156"/>
      <c r="L1065" s="2"/>
      <c r="M1065" s="157" t="str">
        <f t="shared" si="63"/>
        <v>К</v>
      </c>
      <c r="N1065" s="511" t="s">
        <v>2048</v>
      </c>
      <c r="O1065" s="521" t="s">
        <v>2060</v>
      </c>
      <c r="P1065" s="1"/>
      <c r="U1065" s="1"/>
      <c r="V1065" s="4"/>
      <c r="W1065" s="3"/>
    </row>
    <row r="1066" spans="1:23" x14ac:dyDescent="0.25">
      <c r="A1066" s="154">
        <v>989</v>
      </c>
      <c r="B1066" s="1"/>
      <c r="C1066" s="1"/>
      <c r="D1066" s="158">
        <v>1054</v>
      </c>
      <c r="E1066" s="3"/>
      <c r="F1066" s="520" t="s">
        <v>2408</v>
      </c>
      <c r="G1066" s="523" t="s">
        <v>2434</v>
      </c>
      <c r="H1066" s="2"/>
      <c r="I1066" s="156" t="str">
        <f t="shared" si="62"/>
        <v/>
      </c>
      <c r="J1066" s="156"/>
      <c r="K1066" s="156"/>
      <c r="L1066" s="2"/>
      <c r="M1066" s="157" t="str">
        <f t="shared" si="63"/>
        <v>К</v>
      </c>
      <c r="N1066" s="511" t="s">
        <v>2048</v>
      </c>
      <c r="O1066" s="521" t="s">
        <v>2060</v>
      </c>
      <c r="P1066" s="1"/>
      <c r="U1066" s="1"/>
      <c r="V1066" s="4"/>
      <c r="W1066" s="3"/>
    </row>
    <row r="1067" spans="1:23" x14ac:dyDescent="0.25">
      <c r="A1067" s="158">
        <v>990</v>
      </c>
      <c r="B1067" s="1"/>
      <c r="C1067" s="1"/>
      <c r="D1067" s="154">
        <v>1055</v>
      </c>
      <c r="E1067" s="3"/>
      <c r="F1067" s="520" t="s">
        <v>2444</v>
      </c>
      <c r="G1067" s="523" t="s">
        <v>2443</v>
      </c>
      <c r="H1067" s="2"/>
      <c r="I1067" s="156" t="str">
        <f t="shared" si="62"/>
        <v/>
      </c>
      <c r="J1067" s="156"/>
      <c r="K1067" s="156"/>
      <c r="L1067" s="2"/>
      <c r="M1067" s="157" t="str">
        <f t="shared" si="63"/>
        <v>К</v>
      </c>
      <c r="N1067" s="511" t="s">
        <v>2048</v>
      </c>
      <c r="O1067" s="521" t="s">
        <v>2060</v>
      </c>
      <c r="P1067" s="1"/>
      <c r="U1067" s="1"/>
      <c r="V1067" s="4"/>
      <c r="W1067" s="3"/>
    </row>
    <row r="1068" spans="1:23" x14ac:dyDescent="0.25">
      <c r="A1068" s="154">
        <v>991</v>
      </c>
      <c r="B1068" s="1"/>
      <c r="C1068" s="1"/>
      <c r="D1068" s="158">
        <v>1056</v>
      </c>
      <c r="E1068" s="3"/>
      <c r="F1068" s="520" t="s">
        <v>2445</v>
      </c>
      <c r="G1068" s="523" t="s">
        <v>2446</v>
      </c>
      <c r="H1068" s="2"/>
      <c r="I1068" s="156" t="str">
        <f t="shared" si="62"/>
        <v/>
      </c>
      <c r="J1068" s="156"/>
      <c r="K1068" s="156"/>
      <c r="L1068" s="523"/>
      <c r="M1068" s="157" t="str">
        <f t="shared" si="63"/>
        <v>К</v>
      </c>
      <c r="N1068" s="511" t="s">
        <v>2048</v>
      </c>
      <c r="O1068" s="521" t="s">
        <v>2060</v>
      </c>
      <c r="P1068" s="1"/>
      <c r="U1068" s="1"/>
      <c r="V1068" s="4"/>
      <c r="W1068" s="3"/>
    </row>
    <row r="1069" spans="1:23" x14ac:dyDescent="0.25">
      <c r="A1069" s="158">
        <v>992</v>
      </c>
      <c r="B1069" s="1"/>
      <c r="C1069" s="1"/>
      <c r="D1069" s="154">
        <v>1057</v>
      </c>
      <c r="E1069" s="3"/>
      <c r="F1069" s="520" t="s">
        <v>2391</v>
      </c>
      <c r="G1069" s="514" t="s">
        <v>2491</v>
      </c>
      <c r="H1069" s="523" t="s">
        <v>2460</v>
      </c>
      <c r="I1069" s="156" t="str">
        <f t="shared" si="62"/>
        <v>2019</v>
      </c>
      <c r="J1069" s="156">
        <v>2019</v>
      </c>
      <c r="K1069" s="156"/>
      <c r="L1069" s="514" t="s">
        <v>2490</v>
      </c>
      <c r="M1069" s="157" t="str">
        <f t="shared" si="63"/>
        <v>К08102144_2</v>
      </c>
      <c r="N1069" s="511" t="s">
        <v>2048</v>
      </c>
      <c r="O1069" s="525" t="s">
        <v>2064</v>
      </c>
      <c r="P1069" s="1"/>
      <c r="U1069" s="1"/>
      <c r="V1069" s="4"/>
      <c r="W1069" s="3"/>
    </row>
    <row r="1070" spans="1:23" x14ac:dyDescent="0.25">
      <c r="A1070" s="154">
        <v>993</v>
      </c>
      <c r="B1070" s="1"/>
      <c r="C1070" s="1"/>
      <c r="D1070" s="158">
        <v>1058</v>
      </c>
      <c r="E1070" s="3"/>
      <c r="F1070" s="513" t="s">
        <v>2469</v>
      </c>
      <c r="G1070" s="514" t="s">
        <v>2470</v>
      </c>
      <c r="H1070" s="514" t="s">
        <v>2471</v>
      </c>
      <c r="I1070" s="156" t="str">
        <f t="shared" si="62"/>
        <v>2012</v>
      </c>
      <c r="J1070" s="156">
        <v>2012</v>
      </c>
      <c r="K1070" s="156"/>
      <c r="L1070" s="514" t="s">
        <v>2468</v>
      </c>
      <c r="M1070" s="157" t="str">
        <f t="shared" si="63"/>
        <v>К08102414_3</v>
      </c>
      <c r="N1070" s="511" t="s">
        <v>2048</v>
      </c>
      <c r="O1070" s="525" t="s">
        <v>2064</v>
      </c>
      <c r="P1070" s="1"/>
      <c r="U1070" s="1"/>
      <c r="V1070" s="4"/>
      <c r="W1070" s="3"/>
    </row>
    <row r="1071" spans="1:23" x14ac:dyDescent="0.25">
      <c r="A1071" s="158">
        <v>994</v>
      </c>
      <c r="B1071" s="1"/>
      <c r="C1071" s="1"/>
      <c r="D1071" s="154">
        <v>1059</v>
      </c>
      <c r="E1071" s="3"/>
      <c r="F1071" s="3" t="s">
        <v>37</v>
      </c>
      <c r="G1071" s="514" t="s">
        <v>2486</v>
      </c>
      <c r="H1071" s="514" t="s">
        <v>59</v>
      </c>
      <c r="I1071" s="156" t="str">
        <f t="shared" si="62"/>
        <v>2013</v>
      </c>
      <c r="J1071" s="156">
        <v>2013</v>
      </c>
      <c r="K1071" s="156"/>
      <c r="L1071" s="514" t="s">
        <v>2485</v>
      </c>
      <c r="M1071" s="157" t="str">
        <f t="shared" si="63"/>
        <v>К08102772_2</v>
      </c>
      <c r="N1071" s="511" t="s">
        <v>2048</v>
      </c>
      <c r="O1071" s="525" t="s">
        <v>2064</v>
      </c>
      <c r="P1071" s="1"/>
      <c r="U1071" s="1"/>
      <c r="V1071" s="4"/>
      <c r="W1071" s="3"/>
    </row>
    <row r="1072" spans="1:23" x14ac:dyDescent="0.25">
      <c r="A1072" s="154">
        <v>995</v>
      </c>
      <c r="B1072" s="1"/>
      <c r="C1072" s="1"/>
      <c r="D1072" s="158">
        <v>1060</v>
      </c>
      <c r="E1072" s="3"/>
      <c r="F1072" s="3" t="s">
        <v>37</v>
      </c>
      <c r="G1072" s="523" t="s">
        <v>2462</v>
      </c>
      <c r="H1072" s="523" t="s">
        <v>59</v>
      </c>
      <c r="I1072" s="156" t="str">
        <f t="shared" si="62"/>
        <v>2013</v>
      </c>
      <c r="J1072" s="156">
        <v>2013</v>
      </c>
      <c r="K1072" s="156"/>
      <c r="L1072" s="523" t="s">
        <v>2461</v>
      </c>
      <c r="M1072" s="157" t="str">
        <f t="shared" si="63"/>
        <v>К08102773_2</v>
      </c>
      <c r="N1072" s="511" t="s">
        <v>2048</v>
      </c>
      <c r="O1072" s="525" t="s">
        <v>2064</v>
      </c>
      <c r="P1072" s="1"/>
      <c r="U1072" s="1"/>
      <c r="V1072" s="4"/>
      <c r="W1072" s="3"/>
    </row>
    <row r="1073" spans="1:23" x14ac:dyDescent="0.25">
      <c r="A1073" s="158">
        <v>996</v>
      </c>
      <c r="B1073" s="1"/>
      <c r="C1073" s="1"/>
      <c r="D1073" s="158">
        <v>1061</v>
      </c>
      <c r="E1073" s="3"/>
      <c r="F1073" s="513" t="s">
        <v>2494</v>
      </c>
      <c r="G1073" s="514" t="s">
        <v>2495</v>
      </c>
      <c r="H1073" s="2"/>
      <c r="I1073" s="156" t="str">
        <f t="shared" si="62"/>
        <v/>
      </c>
      <c r="J1073" s="156"/>
      <c r="K1073" s="156"/>
      <c r="L1073" s="514" t="s">
        <v>2493</v>
      </c>
      <c r="M1073" s="157" t="str">
        <f t="shared" si="63"/>
        <v>К08102808_2</v>
      </c>
      <c r="N1073" s="511" t="s">
        <v>2048</v>
      </c>
      <c r="O1073" s="525" t="s">
        <v>2064</v>
      </c>
      <c r="P1073" s="1"/>
      <c r="U1073" s="1"/>
      <c r="V1073" s="4"/>
      <c r="W1073" s="3"/>
    </row>
    <row r="1074" spans="1:23" x14ac:dyDescent="0.25">
      <c r="A1074" s="154">
        <v>997</v>
      </c>
      <c r="B1074" s="1"/>
      <c r="C1074" s="1"/>
      <c r="D1074" s="154">
        <v>1062</v>
      </c>
      <c r="E1074" s="3"/>
      <c r="F1074" s="513" t="s">
        <v>2489</v>
      </c>
      <c r="G1074" s="514" t="s">
        <v>2488</v>
      </c>
      <c r="H1074" s="2"/>
      <c r="I1074" s="156" t="str">
        <f t="shared" si="62"/>
        <v/>
      </c>
      <c r="J1074" s="156"/>
      <c r="K1074" s="156"/>
      <c r="L1074" s="514" t="s">
        <v>2487</v>
      </c>
      <c r="M1074" s="157" t="str">
        <f t="shared" si="63"/>
        <v>К08103054_2</v>
      </c>
      <c r="N1074" s="511" t="s">
        <v>2048</v>
      </c>
      <c r="O1074" s="525" t="s">
        <v>2064</v>
      </c>
      <c r="P1074" s="1"/>
      <c r="U1074" s="1"/>
      <c r="V1074" s="4"/>
      <c r="W1074" s="3"/>
    </row>
    <row r="1075" spans="1:23" x14ac:dyDescent="0.25">
      <c r="A1075" s="158">
        <v>998</v>
      </c>
      <c r="B1075" s="1"/>
      <c r="C1075" s="1"/>
      <c r="D1075" s="158">
        <v>1063</v>
      </c>
      <c r="E1075" s="3"/>
      <c r="F1075" s="513" t="s">
        <v>2290</v>
      </c>
      <c r="G1075" s="514" t="s">
        <v>2481</v>
      </c>
      <c r="H1075" s="514" t="s">
        <v>1945</v>
      </c>
      <c r="I1075" s="156" t="str">
        <f t="shared" si="62"/>
        <v>2019</v>
      </c>
      <c r="J1075" s="156">
        <v>2019</v>
      </c>
      <c r="K1075" s="156"/>
      <c r="L1075" s="514" t="s">
        <v>2482</v>
      </c>
      <c r="M1075" s="157" t="str">
        <f t="shared" si="63"/>
        <v>К21012400306</v>
      </c>
      <c r="N1075" s="511" t="s">
        <v>2048</v>
      </c>
      <c r="O1075" s="525" t="s">
        <v>2064</v>
      </c>
      <c r="P1075" s="1"/>
      <c r="U1075" s="1"/>
      <c r="V1075" s="4"/>
      <c r="W1075" s="3"/>
    </row>
    <row r="1076" spans="1:23" x14ac:dyDescent="0.25">
      <c r="A1076" s="158">
        <v>1004</v>
      </c>
      <c r="B1076" s="1"/>
      <c r="C1076" s="1"/>
      <c r="D1076" s="154">
        <v>1064</v>
      </c>
      <c r="E1076" s="3"/>
      <c r="F1076" s="513" t="s">
        <v>2290</v>
      </c>
      <c r="G1076" s="514" t="s">
        <v>2477</v>
      </c>
      <c r="H1076" s="514" t="s">
        <v>1803</v>
      </c>
      <c r="I1076" s="156" t="str">
        <f t="shared" si="62"/>
        <v>2019</v>
      </c>
      <c r="J1076" s="156">
        <v>2019</v>
      </c>
      <c r="K1076" s="156"/>
      <c r="L1076" s="514" t="s">
        <v>2478</v>
      </c>
      <c r="M1076" s="157" t="str">
        <f t="shared" si="63"/>
        <v>К41012400221</v>
      </c>
      <c r="N1076" s="511" t="s">
        <v>2048</v>
      </c>
      <c r="O1076" s="525" t="s">
        <v>2064</v>
      </c>
      <c r="P1076" s="1"/>
      <c r="U1076" s="1"/>
      <c r="V1076" s="4"/>
      <c r="W1076" s="3"/>
    </row>
    <row r="1077" spans="1:23" x14ac:dyDescent="0.25">
      <c r="A1077" s="154">
        <v>1005</v>
      </c>
      <c r="B1077" s="1"/>
      <c r="C1077" s="1"/>
      <c r="D1077" s="158">
        <v>1065</v>
      </c>
      <c r="E1077" s="3"/>
      <c r="F1077" s="513" t="s">
        <v>2290</v>
      </c>
      <c r="G1077" s="514" t="s">
        <v>2476</v>
      </c>
      <c r="H1077" s="514" t="s">
        <v>2139</v>
      </c>
      <c r="I1077" s="156" t="str">
        <f t="shared" si="62"/>
        <v>2019</v>
      </c>
      <c r="J1077" s="156">
        <v>2019</v>
      </c>
      <c r="K1077" s="156"/>
      <c r="L1077" s="514" t="s">
        <v>2475</v>
      </c>
      <c r="M1077" s="157" t="str">
        <f t="shared" si="63"/>
        <v>К41012400318</v>
      </c>
      <c r="N1077" s="511" t="s">
        <v>2048</v>
      </c>
      <c r="O1077" s="525" t="s">
        <v>2064</v>
      </c>
      <c r="P1077" s="1"/>
      <c r="U1077" s="1"/>
      <c r="V1077" s="4"/>
      <c r="W1077" s="3"/>
    </row>
    <row r="1078" spans="1:23" ht="30" x14ac:dyDescent="0.25">
      <c r="A1078" s="158">
        <v>1006</v>
      </c>
      <c r="B1078" s="1"/>
      <c r="C1078" s="1"/>
      <c r="D1078" s="154">
        <v>1066</v>
      </c>
      <c r="E1078" s="3"/>
      <c r="F1078" s="513" t="s">
        <v>2483</v>
      </c>
      <c r="G1078" s="514" t="s">
        <v>2484</v>
      </c>
      <c r="H1078" s="514" t="s">
        <v>66</v>
      </c>
      <c r="I1078" s="156" t="str">
        <f t="shared" si="62"/>
        <v>2019</v>
      </c>
      <c r="J1078" s="156">
        <v>2019</v>
      </c>
      <c r="K1078" s="156"/>
      <c r="L1078" s="514" t="s">
        <v>2472</v>
      </c>
      <c r="M1078" s="157" t="str">
        <f t="shared" si="63"/>
        <v>К41012400320</v>
      </c>
      <c r="N1078" s="511" t="s">
        <v>2048</v>
      </c>
      <c r="O1078" s="525" t="s">
        <v>2064</v>
      </c>
      <c r="P1078" s="1"/>
      <c r="U1078" s="1"/>
      <c r="V1078" s="4"/>
      <c r="W1078" s="3"/>
    </row>
    <row r="1079" spans="1:23" x14ac:dyDescent="0.25">
      <c r="A1079" s="154">
        <v>1007</v>
      </c>
      <c r="B1079" s="1"/>
      <c r="C1079" s="1"/>
      <c r="D1079" s="158">
        <v>1067</v>
      </c>
      <c r="E1079" s="3"/>
      <c r="F1079" s="513" t="s">
        <v>2290</v>
      </c>
      <c r="G1079" s="514" t="s">
        <v>2480</v>
      </c>
      <c r="H1079" s="514" t="s">
        <v>1803</v>
      </c>
      <c r="I1079" s="156" t="str">
        <f t="shared" si="62"/>
        <v>2019</v>
      </c>
      <c r="J1079" s="156">
        <v>2019</v>
      </c>
      <c r="K1079" s="156"/>
      <c r="L1079" s="514" t="s">
        <v>2479</v>
      </c>
      <c r="M1079" s="157" t="str">
        <f t="shared" si="63"/>
        <v>К41012400418</v>
      </c>
      <c r="N1079" s="511" t="s">
        <v>2048</v>
      </c>
      <c r="O1079" s="525" t="s">
        <v>2064</v>
      </c>
      <c r="P1079" s="1"/>
      <c r="U1079" s="1"/>
      <c r="V1079" s="4"/>
      <c r="W1079" s="3"/>
    </row>
    <row r="1080" spans="1:23" x14ac:dyDescent="0.25">
      <c r="A1080" s="158">
        <v>1008</v>
      </c>
      <c r="B1080" s="1"/>
      <c r="C1080" s="1"/>
      <c r="D1080" s="158">
        <v>1095</v>
      </c>
      <c r="E1080" s="3" t="s">
        <v>141</v>
      </c>
      <c r="F1080" s="3" t="s">
        <v>2275</v>
      </c>
      <c r="G1080" s="2" t="s">
        <v>899</v>
      </c>
      <c r="H1080" s="2" t="s">
        <v>2277</v>
      </c>
      <c r="I1080" s="156" t="str">
        <f t="shared" si="62"/>
        <v>1992</v>
      </c>
      <c r="J1080" s="156">
        <v>1992</v>
      </c>
      <c r="K1080" s="156"/>
      <c r="L1080" s="2" t="s">
        <v>2214</v>
      </c>
      <c r="M1080" s="157" t="str">
        <f t="shared" si="63"/>
        <v>К04865329</v>
      </c>
      <c r="N1080" s="3" t="s">
        <v>2074</v>
      </c>
      <c r="O1080" s="4" t="s">
        <v>2075</v>
      </c>
      <c r="P1080" s="1"/>
      <c r="U1080" s="1"/>
      <c r="V1080" s="4"/>
      <c r="W1080" s="3"/>
    </row>
    <row r="1081" spans="1:23" x14ac:dyDescent="0.25">
      <c r="A1081" s="154">
        <v>1009</v>
      </c>
      <c r="B1081" s="1"/>
      <c r="C1081" s="1"/>
      <c r="D1081" s="158">
        <v>1096</v>
      </c>
      <c r="E1081" s="3" t="s">
        <v>141</v>
      </c>
      <c r="F1081" s="3" t="s">
        <v>2275</v>
      </c>
      <c r="G1081" s="2" t="s">
        <v>2276</v>
      </c>
      <c r="H1081" s="2" t="s">
        <v>2277</v>
      </c>
      <c r="I1081" s="156" t="str">
        <f t="shared" si="62"/>
        <v>1992</v>
      </c>
      <c r="J1081" s="156">
        <v>1992</v>
      </c>
      <c r="K1081" s="156"/>
      <c r="L1081" s="2" t="s">
        <v>2274</v>
      </c>
      <c r="M1081" s="157" t="str">
        <f t="shared" si="63"/>
        <v>К4865320</v>
      </c>
      <c r="N1081" s="3" t="s">
        <v>2074</v>
      </c>
      <c r="O1081" s="4" t="s">
        <v>2083</v>
      </c>
      <c r="P1081" s="1"/>
      <c r="U1081" s="1"/>
      <c r="V1081" s="4"/>
      <c r="W1081" s="3"/>
    </row>
    <row r="1082" spans="1:23" x14ac:dyDescent="0.25">
      <c r="A1082" s="158">
        <v>1010</v>
      </c>
      <c r="B1082" s="1"/>
      <c r="C1082" s="1"/>
      <c r="D1082" s="154">
        <v>1097</v>
      </c>
      <c r="E1082" s="3" t="s">
        <v>141</v>
      </c>
      <c r="F1082" s="3" t="s">
        <v>2275</v>
      </c>
      <c r="G1082" s="2" t="s">
        <v>1012</v>
      </c>
      <c r="H1082" s="2" t="s">
        <v>2277</v>
      </c>
      <c r="I1082" s="156" t="str">
        <f t="shared" si="62"/>
        <v>1992</v>
      </c>
      <c r="J1082" s="156">
        <v>1992</v>
      </c>
      <c r="K1082" s="156"/>
      <c r="L1082" s="2" t="s">
        <v>2285</v>
      </c>
      <c r="M1082" s="157" t="str">
        <f t="shared" si="63"/>
        <v>К4865329</v>
      </c>
      <c r="N1082" s="3" t="s">
        <v>2074</v>
      </c>
      <c r="O1082" s="4" t="s">
        <v>2083</v>
      </c>
      <c r="P1082" s="1"/>
      <c r="U1082" s="1"/>
      <c r="V1082" s="4"/>
      <c r="W1082" s="3"/>
    </row>
    <row r="1083" spans="1:23" x14ac:dyDescent="0.25">
      <c r="A1083" s="154">
        <v>1011</v>
      </c>
      <c r="B1083" s="1"/>
      <c r="C1083" s="1"/>
      <c r="D1083" s="154">
        <v>1115</v>
      </c>
      <c r="E1083" s="3" t="s">
        <v>2243</v>
      </c>
      <c r="F1083" s="3" t="s">
        <v>2159</v>
      </c>
      <c r="G1083" s="2" t="s">
        <v>2160</v>
      </c>
      <c r="H1083" s="2" t="s">
        <v>2161</v>
      </c>
      <c r="I1083" s="156" t="str">
        <f t="shared" si="62"/>
        <v>2006</v>
      </c>
      <c r="J1083" s="156">
        <v>2006</v>
      </c>
      <c r="K1083" s="156"/>
      <c r="L1083" s="2" t="s">
        <v>2170</v>
      </c>
      <c r="M1083" s="157" t="str">
        <f t="shared" si="63"/>
        <v>К08102177_2</v>
      </c>
      <c r="N1083" s="3" t="s">
        <v>2074</v>
      </c>
      <c r="O1083" s="4" t="s">
        <v>2075</v>
      </c>
      <c r="P1083" s="1"/>
      <c r="U1083" s="1"/>
      <c r="V1083" s="4"/>
      <c r="W1083" s="3"/>
    </row>
    <row r="1084" spans="1:23" x14ac:dyDescent="0.25">
      <c r="A1084" s="158">
        <v>1012</v>
      </c>
      <c r="B1084" s="1"/>
      <c r="C1084" s="1"/>
      <c r="D1084" s="154">
        <v>1092</v>
      </c>
      <c r="E1084" s="3" t="s">
        <v>91</v>
      </c>
      <c r="F1084" s="3" t="s">
        <v>92</v>
      </c>
      <c r="G1084" s="2" t="s">
        <v>2253</v>
      </c>
      <c r="H1084" s="2" t="s">
        <v>232</v>
      </c>
      <c r="I1084" s="156" t="str">
        <f t="shared" si="62"/>
        <v>2007</v>
      </c>
      <c r="J1084" s="156"/>
      <c r="K1084" s="156"/>
      <c r="L1084" s="2" t="s">
        <v>2252</v>
      </c>
      <c r="M1084" s="157" t="str">
        <f t="shared" si="63"/>
        <v>К08102194</v>
      </c>
      <c r="N1084" s="3" t="s">
        <v>2074</v>
      </c>
      <c r="O1084" s="4" t="s">
        <v>2078</v>
      </c>
      <c r="P1084" s="1"/>
      <c r="U1084" s="1"/>
      <c r="V1084" s="4"/>
      <c r="W1084" s="3"/>
    </row>
    <row r="1085" spans="1:23" x14ac:dyDescent="0.25">
      <c r="A1085" s="154">
        <v>1013</v>
      </c>
      <c r="B1085" s="1"/>
      <c r="C1085" s="1"/>
      <c r="D1085" s="158">
        <v>1116</v>
      </c>
      <c r="E1085" s="3" t="s">
        <v>2243</v>
      </c>
      <c r="F1085" s="3" t="s">
        <v>2159</v>
      </c>
      <c r="G1085" s="2" t="s">
        <v>2173</v>
      </c>
      <c r="H1085" s="2" t="s">
        <v>2174</v>
      </c>
      <c r="I1085" s="156" t="str">
        <f t="shared" si="62"/>
        <v>2007</v>
      </c>
      <c r="J1085" s="156">
        <v>2007</v>
      </c>
      <c r="K1085" s="156"/>
      <c r="L1085" s="2" t="s">
        <v>2171</v>
      </c>
      <c r="M1085" s="157" t="str">
        <f t="shared" si="63"/>
        <v>К08102178_1</v>
      </c>
      <c r="N1085" s="3" t="s">
        <v>2074</v>
      </c>
      <c r="O1085" s="4" t="s">
        <v>2075</v>
      </c>
      <c r="P1085" s="1"/>
      <c r="U1085" s="1"/>
      <c r="V1085" s="4"/>
      <c r="W1085" s="3"/>
    </row>
    <row r="1086" spans="1:23" x14ac:dyDescent="0.25">
      <c r="A1086" s="158">
        <v>1014</v>
      </c>
      <c r="B1086" s="1"/>
      <c r="C1086" s="1"/>
      <c r="D1086" s="158">
        <v>1117</v>
      </c>
      <c r="E1086" s="3" t="s">
        <v>2243</v>
      </c>
      <c r="F1086" s="3" t="s">
        <v>2159</v>
      </c>
      <c r="G1086" s="2" t="s">
        <v>2216</v>
      </c>
      <c r="H1086" s="2" t="s">
        <v>2217</v>
      </c>
      <c r="I1086" s="156" t="str">
        <f t="shared" si="62"/>
        <v>2007</v>
      </c>
      <c r="J1086" s="156">
        <v>2007</v>
      </c>
      <c r="K1086" s="156"/>
      <c r="L1086" s="2" t="s">
        <v>2215</v>
      </c>
      <c r="M1086" s="157" t="str">
        <f t="shared" si="63"/>
        <v>К08102391_3</v>
      </c>
      <c r="N1086" s="3" t="s">
        <v>2074</v>
      </c>
      <c r="O1086" s="4" t="s">
        <v>2075</v>
      </c>
      <c r="P1086" s="1"/>
      <c r="U1086" s="1"/>
      <c r="V1086" s="4"/>
      <c r="W1086" s="3"/>
    </row>
    <row r="1087" spans="1:23" x14ac:dyDescent="0.25">
      <c r="A1087" s="154">
        <v>1017</v>
      </c>
      <c r="B1087" s="1"/>
      <c r="C1087" s="1"/>
      <c r="D1087" s="154">
        <v>1118</v>
      </c>
      <c r="E1087" s="3" t="s">
        <v>2243</v>
      </c>
      <c r="F1087" s="3" t="s">
        <v>2159</v>
      </c>
      <c r="G1087" s="526" t="s">
        <v>2195</v>
      </c>
      <c r="H1087" s="2" t="s">
        <v>2174</v>
      </c>
      <c r="I1087" s="156" t="str">
        <f t="shared" si="62"/>
        <v>2007</v>
      </c>
      <c r="J1087" s="156">
        <v>2007</v>
      </c>
      <c r="K1087" s="156"/>
      <c r="L1087" s="2" t="s">
        <v>2207</v>
      </c>
      <c r="M1087" s="157" t="str">
        <f t="shared" si="63"/>
        <v>К08102392_3</v>
      </c>
      <c r="N1087" s="3" t="s">
        <v>2074</v>
      </c>
      <c r="O1087" s="4" t="s">
        <v>2075</v>
      </c>
      <c r="P1087" s="1"/>
      <c r="U1087" s="1"/>
      <c r="V1087" s="4"/>
      <c r="W1087" s="3"/>
    </row>
    <row r="1088" spans="1:23" x14ac:dyDescent="0.25">
      <c r="A1088" s="158">
        <v>1018</v>
      </c>
      <c r="B1088" s="1"/>
      <c r="C1088" s="1"/>
      <c r="D1088" s="158">
        <v>1119</v>
      </c>
      <c r="E1088" s="3" t="s">
        <v>2243</v>
      </c>
      <c r="F1088" s="3" t="s">
        <v>2159</v>
      </c>
      <c r="G1088" s="2" t="s">
        <v>2200</v>
      </c>
      <c r="H1088" s="2" t="s">
        <v>2201</v>
      </c>
      <c r="I1088" s="156" t="str">
        <f t="shared" si="62"/>
        <v>2007</v>
      </c>
      <c r="J1088" s="156">
        <v>2007</v>
      </c>
      <c r="K1088" s="156"/>
      <c r="L1088" s="2" t="s">
        <v>2199</v>
      </c>
      <c r="M1088" s="157" t="str">
        <f t="shared" si="63"/>
        <v>К08102393_3</v>
      </c>
      <c r="N1088" s="3" t="s">
        <v>2074</v>
      </c>
      <c r="O1088" s="4" t="s">
        <v>2075</v>
      </c>
      <c r="P1088" s="1"/>
      <c r="U1088" s="1"/>
      <c r="V1088" s="4"/>
      <c r="W1088" s="3"/>
    </row>
    <row r="1089" spans="1:23" x14ac:dyDescent="0.25">
      <c r="A1089" s="154">
        <v>1019</v>
      </c>
      <c r="B1089" s="1"/>
      <c r="C1089" s="1"/>
      <c r="D1089" s="154">
        <v>1120</v>
      </c>
      <c r="E1089" s="3" t="s">
        <v>2243</v>
      </c>
      <c r="F1089" s="3" t="s">
        <v>2159</v>
      </c>
      <c r="G1089" s="526" t="s">
        <v>2195</v>
      </c>
      <c r="H1089" s="2" t="s">
        <v>2196</v>
      </c>
      <c r="I1089" s="156" t="str">
        <f t="shared" si="62"/>
        <v>2007</v>
      </c>
      <c r="J1089" s="156">
        <v>2007</v>
      </c>
      <c r="K1089" s="156"/>
      <c r="L1089" s="2" t="s">
        <v>2194</v>
      </c>
      <c r="M1089" s="157" t="str">
        <f t="shared" si="63"/>
        <v>К08102394_3</v>
      </c>
      <c r="N1089" s="3" t="s">
        <v>2074</v>
      </c>
      <c r="O1089" s="4" t="s">
        <v>2075</v>
      </c>
      <c r="P1089" s="1"/>
      <c r="U1089" s="1"/>
      <c r="V1089" s="4"/>
      <c r="W1089" s="3"/>
    </row>
    <row r="1090" spans="1:23" x14ac:dyDescent="0.25">
      <c r="A1090" s="158">
        <v>1020</v>
      </c>
      <c r="B1090" s="1"/>
      <c r="C1090" s="1"/>
      <c r="D1090" s="158">
        <v>1091</v>
      </c>
      <c r="E1090" s="3" t="s">
        <v>91</v>
      </c>
      <c r="F1090" s="3" t="s">
        <v>92</v>
      </c>
      <c r="G1090" s="2" t="s">
        <v>2234</v>
      </c>
      <c r="H1090" s="2" t="s">
        <v>90</v>
      </c>
      <c r="I1090" s="156" t="str">
        <f t="shared" si="62"/>
        <v>2008</v>
      </c>
      <c r="J1090" s="156"/>
      <c r="K1090" s="156"/>
      <c r="L1090" s="2" t="s">
        <v>2233</v>
      </c>
      <c r="M1090" s="157" t="str">
        <f t="shared" si="63"/>
        <v>К08102370_3</v>
      </c>
      <c r="N1090" s="3" t="s">
        <v>2074</v>
      </c>
      <c r="O1090" s="4" t="s">
        <v>2075</v>
      </c>
      <c r="P1090" s="1"/>
      <c r="U1090" s="1"/>
      <c r="V1090" s="4"/>
      <c r="W1090" s="3"/>
    </row>
    <row r="1091" spans="1:23" x14ac:dyDescent="0.25">
      <c r="A1091" s="154">
        <v>1021</v>
      </c>
      <c r="B1091" s="1"/>
      <c r="C1091" s="1"/>
      <c r="D1091" s="158">
        <v>1093</v>
      </c>
      <c r="E1091" s="3" t="s">
        <v>91</v>
      </c>
      <c r="F1091" s="3" t="s">
        <v>2300</v>
      </c>
      <c r="G1091" s="2" t="s">
        <v>2297</v>
      </c>
      <c r="H1091" s="2" t="s">
        <v>90</v>
      </c>
      <c r="I1091" s="156" t="str">
        <f t="shared" si="62"/>
        <v>2008</v>
      </c>
      <c r="J1091" s="156"/>
      <c r="K1091" s="156"/>
      <c r="L1091" s="2" t="s">
        <v>2296</v>
      </c>
      <c r="M1091" s="157" t="str">
        <f t="shared" si="63"/>
        <v>К08102364</v>
      </c>
      <c r="N1091" s="3" t="s">
        <v>2074</v>
      </c>
      <c r="O1091" s="4" t="s">
        <v>2083</v>
      </c>
      <c r="P1091" s="1"/>
      <c r="U1091" s="1"/>
      <c r="V1091" s="4"/>
      <c r="W1091" s="3"/>
    </row>
    <row r="1092" spans="1:23" x14ac:dyDescent="0.25">
      <c r="A1092" s="158">
        <v>1022</v>
      </c>
      <c r="B1092" s="1"/>
      <c r="C1092" s="457" t="s">
        <v>3034</v>
      </c>
      <c r="D1092" s="154">
        <v>1111</v>
      </c>
      <c r="E1092" s="3" t="s">
        <v>499</v>
      </c>
      <c r="F1092" s="3" t="s">
        <v>2079</v>
      </c>
      <c r="G1092" s="2" t="s">
        <v>2080</v>
      </c>
      <c r="H1092" s="2" t="s">
        <v>90</v>
      </c>
      <c r="I1092" s="156" t="str">
        <f t="shared" si="62"/>
        <v>2008</v>
      </c>
      <c r="J1092" s="156">
        <v>2008</v>
      </c>
      <c r="K1092" s="156"/>
      <c r="L1092" s="2" t="s">
        <v>2081</v>
      </c>
      <c r="M1092" s="157" t="str">
        <f t="shared" si="63"/>
        <v>К08102555</v>
      </c>
      <c r="N1092" s="3" t="s">
        <v>2074</v>
      </c>
      <c r="O1092" s="4" t="s">
        <v>2078</v>
      </c>
      <c r="P1092" s="1"/>
      <c r="U1092" s="1"/>
      <c r="V1092" s="4"/>
      <c r="W1092" s="3"/>
    </row>
    <row r="1093" spans="1:23" x14ac:dyDescent="0.25">
      <c r="A1093" s="154">
        <v>1023</v>
      </c>
      <c r="B1093" s="1"/>
      <c r="C1093" s="1"/>
      <c r="D1093" s="158">
        <v>1121</v>
      </c>
      <c r="E1093" s="3" t="s">
        <v>2243</v>
      </c>
      <c r="F1093" s="3" t="s">
        <v>2159</v>
      </c>
      <c r="G1093" s="2" t="s">
        <v>2190</v>
      </c>
      <c r="H1093" s="2" t="s">
        <v>2191</v>
      </c>
      <c r="I1093" s="156" t="str">
        <f t="shared" si="62"/>
        <v>2008</v>
      </c>
      <c r="J1093" s="156">
        <v>2008</v>
      </c>
      <c r="K1093" s="156"/>
      <c r="L1093" s="2"/>
      <c r="M1093" s="157" t="str">
        <f t="shared" si="63"/>
        <v>К</v>
      </c>
      <c r="N1093" s="3" t="s">
        <v>2074</v>
      </c>
      <c r="O1093" s="4" t="s">
        <v>2075</v>
      </c>
      <c r="P1093" s="1"/>
      <c r="U1093" s="1"/>
      <c r="V1093" s="4"/>
      <c r="W1093" s="3"/>
    </row>
    <row r="1094" spans="1:23" x14ac:dyDescent="0.25">
      <c r="A1094" s="158">
        <v>1024</v>
      </c>
      <c r="B1094" s="1"/>
      <c r="C1094" s="457" t="s">
        <v>3034</v>
      </c>
      <c r="D1094" s="154">
        <v>1113</v>
      </c>
      <c r="E1094" s="486" t="s">
        <v>3677</v>
      </c>
      <c r="F1094" s="3" t="s">
        <v>2076</v>
      </c>
      <c r="G1094" s="2" t="s">
        <v>2077</v>
      </c>
      <c r="H1094" s="2" t="s">
        <v>236</v>
      </c>
      <c r="I1094" s="156" t="str">
        <f t="shared" ref="I1094:I1157" si="64">RIGHT(H1094,4)</f>
        <v>2009</v>
      </c>
      <c r="J1094" s="156">
        <v>2009</v>
      </c>
      <c r="K1094" s="156"/>
      <c r="L1094" s="2"/>
      <c r="M1094" s="157" t="str">
        <f t="shared" ref="M1094:M1157" si="65">CONCATENATE("К",L1094)</f>
        <v>К</v>
      </c>
      <c r="N1094" s="3" t="s">
        <v>2074</v>
      </c>
      <c r="O1094" s="4" t="s">
        <v>2078</v>
      </c>
      <c r="P1094" s="1"/>
      <c r="U1094" s="1"/>
      <c r="V1094" s="4"/>
      <c r="W1094" s="3"/>
    </row>
    <row r="1095" spans="1:23" x14ac:dyDescent="0.25">
      <c r="A1095" s="154">
        <v>1025</v>
      </c>
      <c r="B1095" s="1"/>
      <c r="C1095" s="1"/>
      <c r="D1095" s="154">
        <v>1078</v>
      </c>
      <c r="E1095" s="3" t="s">
        <v>2325</v>
      </c>
      <c r="F1095" s="3" t="s">
        <v>2324</v>
      </c>
      <c r="G1095" s="2" t="s">
        <v>2181</v>
      </c>
      <c r="H1095" s="2" t="s">
        <v>214</v>
      </c>
      <c r="I1095" s="156" t="str">
        <f t="shared" si="64"/>
        <v>2012</v>
      </c>
      <c r="J1095" s="156">
        <v>2012</v>
      </c>
      <c r="K1095" s="156"/>
      <c r="L1095" s="2" t="s">
        <v>2180</v>
      </c>
      <c r="M1095" s="157" t="str">
        <f t="shared" si="65"/>
        <v>К08103959</v>
      </c>
      <c r="N1095" s="3" t="s">
        <v>2074</v>
      </c>
      <c r="O1095" s="4" t="s">
        <v>2075</v>
      </c>
      <c r="P1095" s="1"/>
      <c r="U1095" s="1"/>
      <c r="V1095" s="4"/>
      <c r="W1095" s="3"/>
    </row>
    <row r="1096" spans="1:23" x14ac:dyDescent="0.25">
      <c r="A1096" s="158">
        <v>1026</v>
      </c>
      <c r="B1096" s="1"/>
      <c r="C1096" s="1"/>
      <c r="D1096" s="158">
        <v>1079</v>
      </c>
      <c r="E1096" s="3" t="s">
        <v>2325</v>
      </c>
      <c r="F1096" s="3" t="s">
        <v>2324</v>
      </c>
      <c r="G1096" s="2" t="s">
        <v>2165</v>
      </c>
      <c r="H1096" s="2" t="s">
        <v>214</v>
      </c>
      <c r="I1096" s="156" t="str">
        <f t="shared" si="64"/>
        <v>2012</v>
      </c>
      <c r="J1096" s="156">
        <v>2012</v>
      </c>
      <c r="K1096" s="156"/>
      <c r="L1096" s="2" t="s">
        <v>2164</v>
      </c>
      <c r="M1096" s="157" t="str">
        <f t="shared" si="65"/>
        <v>К08103960</v>
      </c>
      <c r="N1096" s="3" t="s">
        <v>2074</v>
      </c>
      <c r="O1096" s="4" t="s">
        <v>2075</v>
      </c>
      <c r="P1096" s="1"/>
      <c r="U1096" s="1"/>
      <c r="V1096" s="4"/>
      <c r="W1096" s="3"/>
    </row>
    <row r="1097" spans="1:23" x14ac:dyDescent="0.25">
      <c r="A1097" s="154">
        <v>1027</v>
      </c>
      <c r="B1097" s="1"/>
      <c r="C1097" s="1"/>
      <c r="D1097" s="154">
        <v>1080</v>
      </c>
      <c r="E1097" s="3" t="s">
        <v>2325</v>
      </c>
      <c r="F1097" s="3" t="s">
        <v>2324</v>
      </c>
      <c r="G1097" s="2" t="s">
        <v>2221</v>
      </c>
      <c r="H1097" s="2" t="s">
        <v>214</v>
      </c>
      <c r="I1097" s="156" t="str">
        <f t="shared" si="64"/>
        <v>2012</v>
      </c>
      <c r="J1097" s="156">
        <v>2012</v>
      </c>
      <c r="K1097" s="156"/>
      <c r="L1097" s="2" t="s">
        <v>2220</v>
      </c>
      <c r="M1097" s="157" t="str">
        <f t="shared" si="65"/>
        <v>К08103961</v>
      </c>
      <c r="N1097" s="3" t="s">
        <v>2074</v>
      </c>
      <c r="O1097" s="4" t="s">
        <v>2075</v>
      </c>
      <c r="P1097" s="1"/>
      <c r="U1097" s="1"/>
      <c r="V1097" s="4"/>
      <c r="W1097" s="3"/>
    </row>
    <row r="1098" spans="1:23" x14ac:dyDescent="0.25">
      <c r="A1098" s="158">
        <v>1028</v>
      </c>
      <c r="B1098" s="1"/>
      <c r="C1098" s="1"/>
      <c r="D1098" s="158">
        <v>1081</v>
      </c>
      <c r="E1098" s="3" t="s">
        <v>2325</v>
      </c>
      <c r="F1098" s="3" t="s">
        <v>2324</v>
      </c>
      <c r="G1098" s="2" t="s">
        <v>2209</v>
      </c>
      <c r="H1098" s="2" t="s">
        <v>2157</v>
      </c>
      <c r="I1098" s="156" t="str">
        <f t="shared" si="64"/>
        <v>2012</v>
      </c>
      <c r="J1098" s="156">
        <v>2012</v>
      </c>
      <c r="K1098" s="156"/>
      <c r="L1098" s="2" t="s">
        <v>2208</v>
      </c>
      <c r="M1098" s="157" t="str">
        <f t="shared" si="65"/>
        <v>К08103962</v>
      </c>
      <c r="N1098" s="3" t="s">
        <v>2074</v>
      </c>
      <c r="O1098" s="4" t="s">
        <v>2075</v>
      </c>
      <c r="P1098" s="1"/>
      <c r="U1098" s="1"/>
      <c r="V1098" s="4"/>
      <c r="W1098" s="3"/>
    </row>
    <row r="1099" spans="1:23" x14ac:dyDescent="0.25">
      <c r="A1099" s="154">
        <v>1029</v>
      </c>
      <c r="B1099" s="1"/>
      <c r="C1099" s="1"/>
      <c r="D1099" s="158">
        <v>1082</v>
      </c>
      <c r="E1099" s="3" t="s">
        <v>2325</v>
      </c>
      <c r="F1099" s="3" t="s">
        <v>2324</v>
      </c>
      <c r="G1099" s="2" t="s">
        <v>2193</v>
      </c>
      <c r="H1099" s="2" t="s">
        <v>214</v>
      </c>
      <c r="I1099" s="156" t="str">
        <f t="shared" si="64"/>
        <v>2012</v>
      </c>
      <c r="J1099" s="156">
        <v>2012</v>
      </c>
      <c r="K1099" s="156"/>
      <c r="L1099" s="2" t="s">
        <v>2192</v>
      </c>
      <c r="M1099" s="157" t="str">
        <f t="shared" si="65"/>
        <v>К08103963</v>
      </c>
      <c r="N1099" s="3" t="s">
        <v>2074</v>
      </c>
      <c r="O1099" s="4" t="s">
        <v>2075</v>
      </c>
      <c r="P1099" s="1"/>
      <c r="U1099" s="1"/>
      <c r="V1099" s="4"/>
      <c r="W1099" s="3"/>
    </row>
    <row r="1100" spans="1:23" x14ac:dyDescent="0.25">
      <c r="A1100" s="158">
        <v>1030</v>
      </c>
      <c r="B1100" s="1"/>
      <c r="C1100" s="1"/>
      <c r="D1100" s="154">
        <v>1083</v>
      </c>
      <c r="E1100" s="3" t="s">
        <v>2325</v>
      </c>
      <c r="F1100" s="3" t="s">
        <v>2324</v>
      </c>
      <c r="G1100" s="2" t="s">
        <v>2204</v>
      </c>
      <c r="H1100" s="2" t="s">
        <v>870</v>
      </c>
      <c r="I1100" s="156" t="str">
        <f t="shared" si="64"/>
        <v>2012</v>
      </c>
      <c r="J1100" s="156">
        <v>2012</v>
      </c>
      <c r="K1100" s="156"/>
      <c r="L1100" s="2" t="s">
        <v>2203</v>
      </c>
      <c r="M1100" s="157" t="str">
        <f t="shared" si="65"/>
        <v>К08103970</v>
      </c>
      <c r="N1100" s="3" t="s">
        <v>2074</v>
      </c>
      <c r="O1100" s="4" t="s">
        <v>2075</v>
      </c>
      <c r="P1100" s="1"/>
      <c r="U1100" s="1"/>
      <c r="V1100" s="4"/>
      <c r="W1100" s="3"/>
    </row>
    <row r="1101" spans="1:23" ht="14.25" customHeight="1" x14ac:dyDescent="0.25">
      <c r="A1101" s="154">
        <v>1031</v>
      </c>
      <c r="B1101" s="1"/>
      <c r="C1101" s="1"/>
      <c r="D1101" s="154">
        <v>1085</v>
      </c>
      <c r="E1101" s="3" t="s">
        <v>2325</v>
      </c>
      <c r="F1101" s="3" t="s">
        <v>2324</v>
      </c>
      <c r="G1101" s="2" t="s">
        <v>2156</v>
      </c>
      <c r="H1101" s="2" t="s">
        <v>2166</v>
      </c>
      <c r="I1101" s="156" t="str">
        <f t="shared" si="64"/>
        <v>2012</v>
      </c>
      <c r="J1101" s="156">
        <v>2012</v>
      </c>
      <c r="K1101" s="156"/>
      <c r="L1101" s="2" t="s">
        <v>2158</v>
      </c>
      <c r="M1101" s="157" t="str">
        <f t="shared" si="65"/>
        <v>К08103975</v>
      </c>
      <c r="N1101" s="3" t="s">
        <v>2074</v>
      </c>
      <c r="O1101" s="4" t="s">
        <v>2075</v>
      </c>
      <c r="P1101" s="1"/>
      <c r="U1101" s="1"/>
      <c r="V1101" s="4"/>
      <c r="W1101" s="3"/>
    </row>
    <row r="1102" spans="1:23" x14ac:dyDescent="0.25">
      <c r="A1102" s="158">
        <v>1032</v>
      </c>
      <c r="B1102" s="1"/>
      <c r="C1102" s="1"/>
      <c r="D1102" s="154">
        <v>1104</v>
      </c>
      <c r="E1102" s="3" t="s">
        <v>24</v>
      </c>
      <c r="F1102" s="3" t="s">
        <v>37</v>
      </c>
      <c r="G1102" s="2" t="s">
        <v>2241</v>
      </c>
      <c r="H1102" s="2" t="s">
        <v>159</v>
      </c>
      <c r="I1102" s="156" t="str">
        <f t="shared" si="64"/>
        <v>2012</v>
      </c>
      <c r="J1102" s="156"/>
      <c r="K1102" s="156"/>
      <c r="L1102" s="2" t="s">
        <v>2240</v>
      </c>
      <c r="M1102" s="157" t="str">
        <f t="shared" si="65"/>
        <v>К08104056</v>
      </c>
      <c r="N1102" s="3" t="s">
        <v>2074</v>
      </c>
      <c r="O1102" s="4" t="s">
        <v>2078</v>
      </c>
      <c r="P1102" s="1"/>
      <c r="U1102" s="1"/>
      <c r="V1102" s="4"/>
      <c r="W1102" s="3"/>
    </row>
    <row r="1103" spans="1:23" x14ac:dyDescent="0.25">
      <c r="A1103" s="154">
        <v>1033</v>
      </c>
      <c r="B1103" s="1"/>
      <c r="C1103" s="1"/>
      <c r="D1103" s="154">
        <v>1106</v>
      </c>
      <c r="E1103" s="3" t="s">
        <v>24</v>
      </c>
      <c r="F1103" s="3" t="s">
        <v>37</v>
      </c>
      <c r="G1103" s="2" t="s">
        <v>2281</v>
      </c>
      <c r="H1103" s="2" t="s">
        <v>159</v>
      </c>
      <c r="I1103" s="156" t="str">
        <f t="shared" si="64"/>
        <v>2012</v>
      </c>
      <c r="J1103" s="156"/>
      <c r="K1103" s="156"/>
      <c r="L1103" s="2" t="s">
        <v>2280</v>
      </c>
      <c r="M1103" s="157" t="str">
        <f t="shared" si="65"/>
        <v>К08104055</v>
      </c>
      <c r="N1103" s="3" t="s">
        <v>2074</v>
      </c>
      <c r="O1103" s="4" t="s">
        <v>2083</v>
      </c>
      <c r="P1103" s="1"/>
      <c r="U1103" s="1"/>
      <c r="V1103" s="4"/>
      <c r="W1103" s="3"/>
    </row>
    <row r="1104" spans="1:23" x14ac:dyDescent="0.25">
      <c r="A1104" s="158">
        <v>1034</v>
      </c>
      <c r="B1104" s="1"/>
      <c r="C1104" s="1"/>
      <c r="D1104" s="158">
        <v>1126</v>
      </c>
      <c r="E1104" s="3" t="s">
        <v>2243</v>
      </c>
      <c r="F1104" s="3" t="s">
        <v>2262</v>
      </c>
      <c r="G1104" s="2" t="s">
        <v>2260</v>
      </c>
      <c r="H1104" s="2" t="s">
        <v>2261</v>
      </c>
      <c r="I1104" s="156" t="str">
        <f t="shared" si="64"/>
        <v>2012</v>
      </c>
      <c r="J1104" s="156">
        <v>2012</v>
      </c>
      <c r="K1104" s="156"/>
      <c r="L1104" s="2" t="s">
        <v>2259</v>
      </c>
      <c r="M1104" s="157" t="str">
        <f t="shared" si="65"/>
        <v>К08104075</v>
      </c>
      <c r="N1104" s="3" t="s">
        <v>2074</v>
      </c>
      <c r="O1104" s="4" t="s">
        <v>2083</v>
      </c>
      <c r="P1104" s="1"/>
      <c r="U1104" s="1"/>
      <c r="V1104" s="4"/>
      <c r="W1104" s="3"/>
    </row>
    <row r="1105" spans="1:23" x14ac:dyDescent="0.25">
      <c r="A1105" s="154">
        <v>1035</v>
      </c>
      <c r="B1105" s="1"/>
      <c r="C1105" s="1"/>
      <c r="D1105" s="154">
        <v>1127</v>
      </c>
      <c r="E1105" s="3" t="s">
        <v>2243</v>
      </c>
      <c r="F1105" s="3" t="s">
        <v>2262</v>
      </c>
      <c r="G1105" s="2" t="s">
        <v>2264</v>
      </c>
      <c r="H1105" s="2" t="s">
        <v>2261</v>
      </c>
      <c r="I1105" s="156" t="str">
        <f t="shared" si="64"/>
        <v>2012</v>
      </c>
      <c r="J1105" s="156">
        <v>2012</v>
      </c>
      <c r="K1105" s="156"/>
      <c r="L1105" s="2" t="s">
        <v>2263</v>
      </c>
      <c r="M1105" s="157" t="str">
        <f t="shared" si="65"/>
        <v>К08104076</v>
      </c>
      <c r="N1105" s="3" t="s">
        <v>2074</v>
      </c>
      <c r="O1105" s="4" t="s">
        <v>2083</v>
      </c>
      <c r="P1105" s="1"/>
      <c r="U1105" s="1"/>
      <c r="V1105" s="4"/>
      <c r="W1105" s="3"/>
    </row>
    <row r="1106" spans="1:23" ht="14.25" customHeight="1" x14ac:dyDescent="0.25">
      <c r="A1106" s="158">
        <v>1036</v>
      </c>
      <c r="B1106" s="1"/>
      <c r="C1106" s="1"/>
      <c r="D1106" s="158">
        <v>1128</v>
      </c>
      <c r="E1106" s="3" t="s">
        <v>2243</v>
      </c>
      <c r="F1106" s="3" t="s">
        <v>2262</v>
      </c>
      <c r="G1106" s="2" t="s">
        <v>2266</v>
      </c>
      <c r="H1106" s="2" t="s">
        <v>2261</v>
      </c>
      <c r="I1106" s="156" t="str">
        <f t="shared" si="64"/>
        <v>2012</v>
      </c>
      <c r="J1106" s="156">
        <v>2012</v>
      </c>
      <c r="K1106" s="156"/>
      <c r="L1106" s="2" t="s">
        <v>2265</v>
      </c>
      <c r="M1106" s="157" t="str">
        <f t="shared" si="65"/>
        <v>К08104079</v>
      </c>
      <c r="N1106" s="3" t="s">
        <v>2074</v>
      </c>
      <c r="O1106" s="4" t="s">
        <v>2083</v>
      </c>
      <c r="P1106" s="1"/>
      <c r="U1106" s="1"/>
      <c r="V1106" s="4"/>
      <c r="W1106" s="3"/>
    </row>
    <row r="1107" spans="1:23" x14ac:dyDescent="0.25">
      <c r="A1107" s="154">
        <v>1067</v>
      </c>
      <c r="B1107" s="136" t="s">
        <v>3552</v>
      </c>
      <c r="C1107" s="136"/>
      <c r="D1107" s="158">
        <v>1088</v>
      </c>
      <c r="E1107" s="138" t="s">
        <v>3555</v>
      </c>
      <c r="F1107" s="3" t="s">
        <v>455</v>
      </c>
      <c r="G1107" s="2" t="s">
        <v>2279</v>
      </c>
      <c r="H1107" s="2" t="s">
        <v>59</v>
      </c>
      <c r="I1107" s="156" t="str">
        <f t="shared" si="64"/>
        <v>2013</v>
      </c>
      <c r="J1107" s="156"/>
      <c r="K1107" s="156"/>
      <c r="L1107" s="2" t="s">
        <v>2278</v>
      </c>
      <c r="M1107" s="157" t="str">
        <f t="shared" si="65"/>
        <v>К08105929</v>
      </c>
      <c r="N1107" s="3" t="s">
        <v>2074</v>
      </c>
      <c r="O1107" s="4" t="s">
        <v>2083</v>
      </c>
      <c r="P1107" s="1"/>
      <c r="U1107" s="1"/>
      <c r="V1107" s="4"/>
      <c r="W1107" s="3"/>
    </row>
    <row r="1108" spans="1:23" x14ac:dyDescent="0.25">
      <c r="A1108" s="154">
        <v>1037</v>
      </c>
      <c r="B1108" s="1"/>
      <c r="C1108" s="1"/>
      <c r="D1108" s="158">
        <v>1072</v>
      </c>
      <c r="E1108" s="3" t="s">
        <v>2323</v>
      </c>
      <c r="F1108" s="3" t="s">
        <v>2167</v>
      </c>
      <c r="G1108" s="2" t="s">
        <v>2169</v>
      </c>
      <c r="H1108" s="2" t="s">
        <v>51</v>
      </c>
      <c r="I1108" s="156" t="str">
        <f t="shared" si="64"/>
        <v>2014</v>
      </c>
      <c r="J1108" s="156">
        <v>2014</v>
      </c>
      <c r="K1108" s="156"/>
      <c r="L1108" s="2" t="s">
        <v>2168</v>
      </c>
      <c r="M1108" s="157" t="str">
        <f t="shared" si="65"/>
        <v>К2360000266</v>
      </c>
      <c r="N1108" s="3" t="s">
        <v>2074</v>
      </c>
      <c r="O1108" s="4" t="s">
        <v>2075</v>
      </c>
      <c r="P1108" s="1"/>
      <c r="U1108" s="1"/>
      <c r="V1108" s="4"/>
      <c r="W1108" s="3"/>
    </row>
    <row r="1109" spans="1:23" x14ac:dyDescent="0.25">
      <c r="A1109" s="158">
        <v>1038</v>
      </c>
      <c r="B1109" s="1"/>
      <c r="C1109" s="1"/>
      <c r="D1109" s="154">
        <v>1073</v>
      </c>
      <c r="E1109" s="3" t="s">
        <v>2323</v>
      </c>
      <c r="F1109" s="3" t="s">
        <v>2167</v>
      </c>
      <c r="G1109" s="2" t="s">
        <v>2179</v>
      </c>
      <c r="H1109" s="2" t="s">
        <v>51</v>
      </c>
      <c r="I1109" s="156" t="str">
        <f t="shared" si="64"/>
        <v>2014</v>
      </c>
      <c r="J1109" s="156">
        <v>2014</v>
      </c>
      <c r="K1109" s="156"/>
      <c r="L1109" s="2" t="s">
        <v>2177</v>
      </c>
      <c r="M1109" s="157" t="str">
        <f t="shared" si="65"/>
        <v>К2360000267</v>
      </c>
      <c r="N1109" s="3" t="s">
        <v>2074</v>
      </c>
      <c r="O1109" s="4" t="s">
        <v>2075</v>
      </c>
      <c r="P1109" s="1"/>
      <c r="U1109" s="1"/>
      <c r="V1109" s="4"/>
      <c r="W1109" s="3"/>
    </row>
    <row r="1110" spans="1:23" x14ac:dyDescent="0.25">
      <c r="A1110" s="154">
        <v>1039</v>
      </c>
      <c r="B1110" s="1"/>
      <c r="C1110" s="1"/>
      <c r="D1110" s="158">
        <v>1074</v>
      </c>
      <c r="E1110" s="3" t="s">
        <v>2323</v>
      </c>
      <c r="F1110" s="3" t="s">
        <v>2167</v>
      </c>
      <c r="G1110" s="2" t="s">
        <v>2206</v>
      </c>
      <c r="H1110" s="2" t="s">
        <v>51</v>
      </c>
      <c r="I1110" s="156" t="str">
        <f t="shared" si="64"/>
        <v>2014</v>
      </c>
      <c r="J1110" s="156">
        <v>2014</v>
      </c>
      <c r="K1110" s="156"/>
      <c r="L1110" s="2" t="s">
        <v>2205</v>
      </c>
      <c r="M1110" s="157" t="str">
        <f t="shared" si="65"/>
        <v>К2360000269</v>
      </c>
      <c r="N1110" s="3" t="s">
        <v>2074</v>
      </c>
      <c r="O1110" s="4" t="s">
        <v>2075</v>
      </c>
      <c r="P1110" s="1"/>
      <c r="U1110" s="1"/>
      <c r="V1110" s="4"/>
      <c r="W1110" s="3"/>
    </row>
    <row r="1111" spans="1:23" x14ac:dyDescent="0.25">
      <c r="A1111" s="158">
        <v>1056</v>
      </c>
      <c r="B1111" s="1"/>
      <c r="C1111" s="1"/>
      <c r="D1111" s="158">
        <v>1075</v>
      </c>
      <c r="E1111" s="3" t="s">
        <v>2323</v>
      </c>
      <c r="F1111" s="3" t="s">
        <v>2167</v>
      </c>
      <c r="G1111" s="2" t="s">
        <v>2211</v>
      </c>
      <c r="H1111" s="2" t="s">
        <v>51</v>
      </c>
      <c r="I1111" s="156" t="str">
        <f t="shared" si="64"/>
        <v>2014</v>
      </c>
      <c r="J1111" s="156">
        <v>2014</v>
      </c>
      <c r="K1111" s="156"/>
      <c r="L1111" s="2" t="s">
        <v>2210</v>
      </c>
      <c r="M1111" s="157" t="str">
        <f t="shared" si="65"/>
        <v>К2360000270</v>
      </c>
      <c r="N1111" s="3" t="s">
        <v>2074</v>
      </c>
      <c r="O1111" s="4" t="s">
        <v>2075</v>
      </c>
      <c r="P1111" s="1"/>
      <c r="U1111" s="1"/>
      <c r="V1111" s="4"/>
      <c r="W1111" s="3"/>
    </row>
    <row r="1112" spans="1:23" x14ac:dyDescent="0.25">
      <c r="A1112" s="158">
        <v>1068</v>
      </c>
      <c r="B1112" s="1"/>
      <c r="C1112" s="1"/>
      <c r="D1112" s="154">
        <v>1076</v>
      </c>
      <c r="E1112" s="3" t="s">
        <v>2323</v>
      </c>
      <c r="F1112" s="3" t="s">
        <v>2167</v>
      </c>
      <c r="G1112" s="2" t="s">
        <v>2219</v>
      </c>
      <c r="H1112" s="2" t="s">
        <v>51</v>
      </c>
      <c r="I1112" s="156" t="str">
        <f t="shared" si="64"/>
        <v>2014</v>
      </c>
      <c r="J1112" s="156">
        <v>2014</v>
      </c>
      <c r="K1112" s="156"/>
      <c r="L1112" s="2" t="s">
        <v>2218</v>
      </c>
      <c r="M1112" s="157" t="str">
        <f t="shared" si="65"/>
        <v>К2360000271</v>
      </c>
      <c r="N1112" s="3" t="s">
        <v>2074</v>
      </c>
      <c r="O1112" s="4" t="s">
        <v>2075</v>
      </c>
      <c r="P1112" s="1"/>
      <c r="U1112" s="1"/>
      <c r="V1112" s="4"/>
      <c r="W1112" s="3"/>
    </row>
    <row r="1113" spans="1:23" x14ac:dyDescent="0.25">
      <c r="A1113" s="154">
        <v>1069</v>
      </c>
      <c r="B1113" s="1"/>
      <c r="C1113" s="1"/>
      <c r="D1113" s="158">
        <v>1077</v>
      </c>
      <c r="E1113" s="3" t="s">
        <v>2323</v>
      </c>
      <c r="F1113" s="3" t="s">
        <v>2167</v>
      </c>
      <c r="G1113" s="2" t="s">
        <v>2202</v>
      </c>
      <c r="H1113" s="2" t="s">
        <v>51</v>
      </c>
      <c r="I1113" s="156" t="str">
        <f t="shared" si="64"/>
        <v>2014</v>
      </c>
      <c r="J1113" s="156">
        <v>2014</v>
      </c>
      <c r="K1113" s="156"/>
      <c r="L1113" s="2"/>
      <c r="M1113" s="157" t="str">
        <f t="shared" si="65"/>
        <v>К</v>
      </c>
      <c r="N1113" s="3" t="s">
        <v>2074</v>
      </c>
      <c r="O1113" s="4" t="s">
        <v>2075</v>
      </c>
      <c r="P1113" s="1"/>
      <c r="U1113" s="1"/>
      <c r="V1113" s="4"/>
      <c r="W1113" s="3"/>
    </row>
    <row r="1114" spans="1:23" x14ac:dyDescent="0.25">
      <c r="A1114" s="158">
        <v>1040</v>
      </c>
      <c r="B1114" s="1"/>
      <c r="C1114" s="1"/>
      <c r="D1114" s="154">
        <v>1087</v>
      </c>
      <c r="E1114" s="468" t="s">
        <v>2369</v>
      </c>
      <c r="F1114" s="468" t="s">
        <v>2225</v>
      </c>
      <c r="G1114" s="2" t="s">
        <v>2227</v>
      </c>
      <c r="H1114" s="2" t="s">
        <v>2226</v>
      </c>
      <c r="I1114" s="156" t="str">
        <f t="shared" si="64"/>
        <v>2014</v>
      </c>
      <c r="J1114" s="156">
        <v>2014</v>
      </c>
      <c r="K1114" s="156"/>
      <c r="L1114" s="2"/>
      <c r="M1114" s="157" t="str">
        <f t="shared" si="65"/>
        <v>К</v>
      </c>
      <c r="N1114" s="3" t="s">
        <v>2074</v>
      </c>
      <c r="O1114" s="4" t="s">
        <v>2075</v>
      </c>
      <c r="P1114" s="1"/>
      <c r="U1114" s="1"/>
      <c r="V1114" s="4"/>
      <c r="W1114" s="3"/>
    </row>
    <row r="1115" spans="1:23" x14ac:dyDescent="0.25">
      <c r="A1115" s="158">
        <v>1070</v>
      </c>
      <c r="B1115" s="1"/>
      <c r="C1115" s="1"/>
      <c r="D1115" s="158">
        <v>1107</v>
      </c>
      <c r="E1115" s="3" t="s">
        <v>24</v>
      </c>
      <c r="F1115" s="3" t="s">
        <v>37</v>
      </c>
      <c r="G1115" s="2" t="s">
        <v>2292</v>
      </c>
      <c r="H1115" s="2" t="s">
        <v>615</v>
      </c>
      <c r="I1115" s="156" t="str">
        <f t="shared" si="64"/>
        <v>2016</v>
      </c>
      <c r="J1115" s="156"/>
      <c r="K1115" s="156"/>
      <c r="L1115" s="2" t="s">
        <v>2291</v>
      </c>
      <c r="M1115" s="157" t="str">
        <f t="shared" si="65"/>
        <v>К7240000729</v>
      </c>
      <c r="N1115" s="3" t="s">
        <v>2074</v>
      </c>
      <c r="O1115" s="4" t="s">
        <v>2083</v>
      </c>
      <c r="P1115" s="1"/>
      <c r="U1115" s="1"/>
      <c r="V1115" s="4"/>
      <c r="W1115" s="3"/>
    </row>
    <row r="1116" spans="1:23" x14ac:dyDescent="0.25">
      <c r="A1116" s="154">
        <v>1071</v>
      </c>
      <c r="B1116" s="1"/>
      <c r="C1116" s="1"/>
      <c r="D1116" s="154">
        <v>1101</v>
      </c>
      <c r="E1116" s="3" t="s">
        <v>24</v>
      </c>
      <c r="F1116" s="3" t="s">
        <v>37</v>
      </c>
      <c r="G1116" s="2" t="s">
        <v>2213</v>
      </c>
      <c r="H1116" s="2" t="s">
        <v>969</v>
      </c>
      <c r="I1116" s="156" t="str">
        <f t="shared" si="64"/>
        <v>2017</v>
      </c>
      <c r="J1116" s="156"/>
      <c r="K1116" s="156"/>
      <c r="L1116" s="2" t="s">
        <v>2212</v>
      </c>
      <c r="M1116" s="157" t="str">
        <f t="shared" si="65"/>
        <v>К7240000721</v>
      </c>
      <c r="N1116" s="3" t="s">
        <v>2074</v>
      </c>
      <c r="O1116" s="4" t="s">
        <v>2075</v>
      </c>
      <c r="P1116" s="1"/>
      <c r="U1116" s="1"/>
      <c r="V1116" s="4"/>
      <c r="W1116" s="3"/>
    </row>
    <row r="1117" spans="1:23" x14ac:dyDescent="0.25">
      <c r="A1117" s="154">
        <v>1057</v>
      </c>
      <c r="B1117" s="1"/>
      <c r="C1117" s="1"/>
      <c r="D1117" s="158">
        <v>1102</v>
      </c>
      <c r="E1117" s="3" t="s">
        <v>24</v>
      </c>
      <c r="F1117" s="3" t="s">
        <v>37</v>
      </c>
      <c r="G1117" s="2" t="s">
        <v>2236</v>
      </c>
      <c r="H1117" s="2" t="s">
        <v>969</v>
      </c>
      <c r="I1117" s="156" t="str">
        <f t="shared" si="64"/>
        <v>2017</v>
      </c>
      <c r="J1117" s="156"/>
      <c r="K1117" s="156"/>
      <c r="L1117" s="2" t="s">
        <v>2235</v>
      </c>
      <c r="M1117" s="157" t="str">
        <f t="shared" si="65"/>
        <v>К7240000722</v>
      </c>
      <c r="N1117" s="3" t="s">
        <v>2074</v>
      </c>
      <c r="O1117" s="4" t="s">
        <v>2075</v>
      </c>
      <c r="P1117" s="1"/>
      <c r="U1117" s="1"/>
      <c r="V1117" s="4"/>
      <c r="W1117" s="3"/>
    </row>
    <row r="1118" spans="1:23" x14ac:dyDescent="0.25">
      <c r="A1118" s="158">
        <v>1072</v>
      </c>
      <c r="B1118" s="1"/>
      <c r="C1118" s="1"/>
      <c r="D1118" s="158">
        <v>1103</v>
      </c>
      <c r="E1118" s="3" t="s">
        <v>24</v>
      </c>
      <c r="F1118" s="3" t="s">
        <v>45</v>
      </c>
      <c r="G1118" s="2" t="s">
        <v>2239</v>
      </c>
      <c r="H1118" s="2" t="s">
        <v>969</v>
      </c>
      <c r="I1118" s="156" t="str">
        <f t="shared" si="64"/>
        <v>2017</v>
      </c>
      <c r="J1118" s="156"/>
      <c r="K1118" s="156"/>
      <c r="L1118" s="2" t="s">
        <v>2238</v>
      </c>
      <c r="M1118" s="157" t="str">
        <f t="shared" si="65"/>
        <v>К7240000730</v>
      </c>
      <c r="N1118" s="3" t="s">
        <v>2074</v>
      </c>
      <c r="O1118" s="4" t="s">
        <v>2075</v>
      </c>
      <c r="P1118" s="1"/>
      <c r="U1118" s="1"/>
      <c r="V1118" s="4"/>
      <c r="W1118" s="3"/>
    </row>
    <row r="1119" spans="1:23" x14ac:dyDescent="0.25">
      <c r="A1119" s="154">
        <v>1041</v>
      </c>
      <c r="B1119" s="1"/>
      <c r="C1119" s="1"/>
      <c r="D1119" s="154">
        <v>1108</v>
      </c>
      <c r="E1119" s="3" t="s">
        <v>24</v>
      </c>
      <c r="F1119" s="3" t="s">
        <v>45</v>
      </c>
      <c r="G1119" s="2" t="s">
        <v>2299</v>
      </c>
      <c r="H1119" s="2" t="s">
        <v>969</v>
      </c>
      <c r="I1119" s="156" t="str">
        <f t="shared" si="64"/>
        <v>2017</v>
      </c>
      <c r="J1119" s="156"/>
      <c r="K1119" s="156"/>
      <c r="L1119" s="2" t="s">
        <v>2298</v>
      </c>
      <c r="M1119" s="157" t="str">
        <f t="shared" si="65"/>
        <v>К7240000731</v>
      </c>
      <c r="N1119" s="3" t="s">
        <v>2074</v>
      </c>
      <c r="O1119" s="4" t="s">
        <v>2083</v>
      </c>
      <c r="P1119" s="1"/>
      <c r="U1119" s="153" t="s">
        <v>3646</v>
      </c>
      <c r="V1119" s="4"/>
      <c r="W1119" s="3"/>
    </row>
    <row r="1120" spans="1:23" x14ac:dyDescent="0.25">
      <c r="A1120" s="158">
        <v>1042</v>
      </c>
      <c r="B1120" s="1"/>
      <c r="C1120" s="1"/>
      <c r="D1120" s="158">
        <v>1100</v>
      </c>
      <c r="E1120" s="3" t="s">
        <v>24</v>
      </c>
      <c r="F1120" s="3" t="s">
        <v>37</v>
      </c>
      <c r="G1120" s="2" t="s">
        <v>2183</v>
      </c>
      <c r="H1120" s="2" t="s">
        <v>124</v>
      </c>
      <c r="I1120" s="156" t="str">
        <f t="shared" si="64"/>
        <v>2018</v>
      </c>
      <c r="J1120" s="156"/>
      <c r="K1120" s="156"/>
      <c r="L1120" s="2" t="s">
        <v>2182</v>
      </c>
      <c r="M1120" s="157" t="str">
        <f t="shared" si="65"/>
        <v>К71012400244</v>
      </c>
      <c r="N1120" s="3" t="s">
        <v>2074</v>
      </c>
      <c r="O1120" s="4" t="s">
        <v>2075</v>
      </c>
      <c r="P1120" s="1"/>
      <c r="U1120" s="153" t="s">
        <v>3646</v>
      </c>
      <c r="V1120" s="4"/>
      <c r="W1120" s="3"/>
    </row>
    <row r="1121" spans="1:23" x14ac:dyDescent="0.25">
      <c r="A1121" s="154">
        <v>1043</v>
      </c>
      <c r="B1121" s="1"/>
      <c r="C1121" s="1"/>
      <c r="D1121" s="158">
        <v>1110</v>
      </c>
      <c r="E1121" s="468" t="s">
        <v>2360</v>
      </c>
      <c r="F1121" s="468" t="s">
        <v>2271</v>
      </c>
      <c r="G1121" s="2" t="s">
        <v>2272</v>
      </c>
      <c r="H1121" s="2" t="s">
        <v>2273</v>
      </c>
      <c r="I1121" s="156" t="str">
        <f t="shared" si="64"/>
        <v>2018</v>
      </c>
      <c r="J1121" s="156">
        <v>2018</v>
      </c>
      <c r="K1121" s="156"/>
      <c r="L1121" s="2" t="s">
        <v>2270</v>
      </c>
      <c r="M1121" s="157" t="str">
        <f t="shared" si="65"/>
        <v>К41012400189</v>
      </c>
      <c r="N1121" s="3" t="s">
        <v>2074</v>
      </c>
      <c r="O1121" s="4" t="s">
        <v>2083</v>
      </c>
      <c r="P1121" s="1"/>
      <c r="U1121" s="153" t="s">
        <v>3646</v>
      </c>
      <c r="V1121" s="4"/>
      <c r="W1121" s="3"/>
    </row>
    <row r="1122" spans="1:23" x14ac:dyDescent="0.25">
      <c r="A1122" s="158">
        <v>1044</v>
      </c>
      <c r="B1122" s="1"/>
      <c r="C1122" s="1"/>
      <c r="D1122" s="154">
        <v>1129</v>
      </c>
      <c r="E1122" s="3" t="s">
        <v>2243</v>
      </c>
      <c r="F1122" s="3" t="s">
        <v>2283</v>
      </c>
      <c r="G1122" s="2" t="s">
        <v>2286</v>
      </c>
      <c r="H1122" s="2" t="s">
        <v>1344</v>
      </c>
      <c r="I1122" s="156" t="str">
        <f t="shared" si="64"/>
        <v>2018</v>
      </c>
      <c r="J1122" s="156">
        <v>2018</v>
      </c>
      <c r="K1122" s="156"/>
      <c r="L1122" s="2" t="s">
        <v>2287</v>
      </c>
      <c r="M1122" s="157" t="str">
        <f t="shared" si="65"/>
        <v>К41012400286</v>
      </c>
      <c r="N1122" s="3" t="s">
        <v>2074</v>
      </c>
      <c r="O1122" s="4" t="s">
        <v>2083</v>
      </c>
      <c r="P1122" s="1"/>
      <c r="U1122" s="153" t="s">
        <v>3646</v>
      </c>
      <c r="V1122" s="4"/>
      <c r="W1122" s="3"/>
    </row>
    <row r="1123" spans="1:23" x14ac:dyDescent="0.25">
      <c r="A1123" s="158">
        <v>1058</v>
      </c>
      <c r="B1123" s="1"/>
      <c r="C1123" s="1"/>
      <c r="D1123" s="158">
        <v>1130</v>
      </c>
      <c r="E1123" s="3" t="s">
        <v>2243</v>
      </c>
      <c r="F1123" s="3" t="s">
        <v>2283</v>
      </c>
      <c r="G1123" s="2" t="s">
        <v>2284</v>
      </c>
      <c r="H1123" s="2" t="s">
        <v>85</v>
      </c>
      <c r="I1123" s="156" t="str">
        <f t="shared" si="64"/>
        <v>2018</v>
      </c>
      <c r="J1123" s="156">
        <v>2018</v>
      </c>
      <c r="K1123" s="156"/>
      <c r="L1123" s="2" t="s">
        <v>2282</v>
      </c>
      <c r="M1123" s="157" t="str">
        <f t="shared" si="65"/>
        <v>К41012400288</v>
      </c>
      <c r="N1123" s="3" t="s">
        <v>2074</v>
      </c>
      <c r="O1123" s="4" t="s">
        <v>2083</v>
      </c>
      <c r="P1123" s="1"/>
      <c r="U1123" s="153" t="s">
        <v>3646</v>
      </c>
      <c r="V1123" s="4"/>
      <c r="W1123" s="3"/>
    </row>
    <row r="1124" spans="1:23" x14ac:dyDescent="0.25">
      <c r="A1124" s="154">
        <v>1059</v>
      </c>
      <c r="B1124" s="1"/>
      <c r="C1124" s="1"/>
      <c r="D1124" s="158">
        <v>1131</v>
      </c>
      <c r="E1124" s="3" t="s">
        <v>2243</v>
      </c>
      <c r="F1124" s="3" t="s">
        <v>2290</v>
      </c>
      <c r="G1124" s="2" t="s">
        <v>2289</v>
      </c>
      <c r="H1124" s="2" t="s">
        <v>1367</v>
      </c>
      <c r="I1124" s="156" t="str">
        <f t="shared" si="64"/>
        <v>2018</v>
      </c>
      <c r="J1124" s="156">
        <v>2018</v>
      </c>
      <c r="K1124" s="156"/>
      <c r="L1124" s="2" t="s">
        <v>2288</v>
      </c>
      <c r="M1124" s="157" t="str">
        <f t="shared" si="65"/>
        <v>К41012400299</v>
      </c>
      <c r="N1124" s="3" t="s">
        <v>2074</v>
      </c>
      <c r="O1124" s="4" t="s">
        <v>2083</v>
      </c>
      <c r="P1124" s="1"/>
      <c r="U1124" s="153" t="s">
        <v>3646</v>
      </c>
      <c r="V1124" s="4"/>
      <c r="W1124" s="3"/>
    </row>
    <row r="1125" spans="1:23" x14ac:dyDescent="0.25">
      <c r="A1125" s="154">
        <v>1073</v>
      </c>
      <c r="B1125" s="1"/>
      <c r="C1125" s="1"/>
      <c r="D1125" s="158">
        <v>1133</v>
      </c>
      <c r="E1125" s="3" t="s">
        <v>2330</v>
      </c>
      <c r="F1125" s="3" t="s">
        <v>2230</v>
      </c>
      <c r="G1125" s="2" t="s">
        <v>2229</v>
      </c>
      <c r="H1125" s="2" t="s">
        <v>2228</v>
      </c>
      <c r="I1125" s="156" t="str">
        <f t="shared" si="64"/>
        <v>2018</v>
      </c>
      <c r="J1125" s="156">
        <v>2018</v>
      </c>
      <c r="K1125" s="156"/>
      <c r="L1125" s="2" t="s">
        <v>2231</v>
      </c>
      <c r="M1125" s="157" t="str">
        <f t="shared" si="65"/>
        <v>К2101240273</v>
      </c>
      <c r="N1125" s="3" t="s">
        <v>2074</v>
      </c>
      <c r="O1125" s="4" t="s">
        <v>2075</v>
      </c>
      <c r="P1125" s="1"/>
      <c r="U1125" s="153" t="s">
        <v>3646</v>
      </c>
      <c r="V1125" s="4"/>
      <c r="W1125" s="3"/>
    </row>
    <row r="1126" spans="1:23" x14ac:dyDescent="0.25">
      <c r="A1126" s="158">
        <v>1074</v>
      </c>
      <c r="B1126" s="1"/>
      <c r="C1126" s="1"/>
      <c r="D1126" s="154">
        <v>1122</v>
      </c>
      <c r="E1126" s="3" t="s">
        <v>2243</v>
      </c>
      <c r="F1126" s="3" t="s">
        <v>2245</v>
      </c>
      <c r="G1126" s="2" t="s">
        <v>2244</v>
      </c>
      <c r="H1126" s="2" t="s">
        <v>1420</v>
      </c>
      <c r="I1126" s="156" t="str">
        <f t="shared" si="64"/>
        <v>2019</v>
      </c>
      <c r="J1126" s="156">
        <v>2019</v>
      </c>
      <c r="K1126" s="156"/>
      <c r="L1126" s="2" t="s">
        <v>2242</v>
      </c>
      <c r="M1126" s="157" t="str">
        <f t="shared" si="65"/>
        <v>К41012400285</v>
      </c>
      <c r="N1126" s="3" t="s">
        <v>2074</v>
      </c>
      <c r="O1126" s="4" t="s">
        <v>2078</v>
      </c>
      <c r="P1126" s="1"/>
      <c r="U1126" s="153" t="s">
        <v>3646</v>
      </c>
      <c r="V1126" s="4"/>
      <c r="W1126" s="3"/>
    </row>
    <row r="1127" spans="1:23" x14ac:dyDescent="0.25">
      <c r="A1127" s="154">
        <v>1075</v>
      </c>
      <c r="B1127" s="1"/>
      <c r="C1127" s="1"/>
      <c r="D1127" s="158">
        <v>1123</v>
      </c>
      <c r="E1127" s="3" t="s">
        <v>2243</v>
      </c>
      <c r="F1127" s="3" t="s">
        <v>2245</v>
      </c>
      <c r="G1127" s="2" t="s">
        <v>2247</v>
      </c>
      <c r="H1127" s="2" t="s">
        <v>1803</v>
      </c>
      <c r="I1127" s="156" t="str">
        <f t="shared" si="64"/>
        <v>2019</v>
      </c>
      <c r="J1127" s="156">
        <v>2019</v>
      </c>
      <c r="K1127" s="156"/>
      <c r="L1127" s="2" t="s">
        <v>2246</v>
      </c>
      <c r="M1127" s="157" t="str">
        <f t="shared" si="65"/>
        <v>К41012400287</v>
      </c>
      <c r="N1127" s="3" t="s">
        <v>2074</v>
      </c>
      <c r="O1127" s="4" t="s">
        <v>2078</v>
      </c>
      <c r="P1127" s="1"/>
      <c r="U1127" s="153" t="s">
        <v>3646</v>
      </c>
      <c r="V1127" s="4"/>
      <c r="W1127" s="3"/>
    </row>
    <row r="1128" spans="1:23" x14ac:dyDescent="0.25">
      <c r="A1128" s="158">
        <v>1076</v>
      </c>
      <c r="B1128" s="1"/>
      <c r="C1128" s="1"/>
      <c r="D1128" s="158">
        <v>1124</v>
      </c>
      <c r="E1128" s="3" t="s">
        <v>2243</v>
      </c>
      <c r="F1128" s="3" t="s">
        <v>2245</v>
      </c>
      <c r="G1128" s="2" t="s">
        <v>2249</v>
      </c>
      <c r="H1128" s="2" t="s">
        <v>1803</v>
      </c>
      <c r="I1128" s="156" t="str">
        <f t="shared" si="64"/>
        <v>2019</v>
      </c>
      <c r="J1128" s="156">
        <v>2019</v>
      </c>
      <c r="K1128" s="156"/>
      <c r="L1128" s="2" t="s">
        <v>2248</v>
      </c>
      <c r="M1128" s="157" t="str">
        <f t="shared" si="65"/>
        <v>К41012400289</v>
      </c>
      <c r="N1128" s="3" t="s">
        <v>2074</v>
      </c>
      <c r="O1128" s="4" t="s">
        <v>2078</v>
      </c>
      <c r="P1128" s="1"/>
      <c r="U1128" s="153" t="s">
        <v>3646</v>
      </c>
      <c r="V1128" s="4"/>
      <c r="W1128" s="3"/>
    </row>
    <row r="1129" spans="1:23" x14ac:dyDescent="0.25">
      <c r="A1129" s="154">
        <v>1077</v>
      </c>
      <c r="B1129" s="1"/>
      <c r="C1129" s="1"/>
      <c r="D1129" s="154">
        <v>1125</v>
      </c>
      <c r="E1129" s="3" t="s">
        <v>2243</v>
      </c>
      <c r="F1129" s="3" t="s">
        <v>2245</v>
      </c>
      <c r="G1129" s="2" t="s">
        <v>2251</v>
      </c>
      <c r="H1129" s="2" t="s">
        <v>66</v>
      </c>
      <c r="I1129" s="156" t="str">
        <f t="shared" si="64"/>
        <v>2019</v>
      </c>
      <c r="J1129" s="156">
        <v>2019</v>
      </c>
      <c r="K1129" s="156"/>
      <c r="L1129" s="2" t="s">
        <v>2250</v>
      </c>
      <c r="M1129" s="157" t="str">
        <f t="shared" si="65"/>
        <v>К41012400290</v>
      </c>
      <c r="N1129" s="3" t="s">
        <v>2074</v>
      </c>
      <c r="O1129" s="4" t="s">
        <v>2078</v>
      </c>
      <c r="P1129" s="1"/>
      <c r="U1129" s="1"/>
      <c r="V1129" s="4"/>
      <c r="W1129" s="3"/>
    </row>
    <row r="1130" spans="1:23" x14ac:dyDescent="0.25">
      <c r="A1130" s="158">
        <v>1060</v>
      </c>
      <c r="B1130" s="1"/>
      <c r="C1130" s="1"/>
      <c r="D1130" s="154">
        <v>1132</v>
      </c>
      <c r="E1130" s="3" t="s">
        <v>2243</v>
      </c>
      <c r="F1130" s="3" t="s">
        <v>2290</v>
      </c>
      <c r="G1130" s="2" t="s">
        <v>2294</v>
      </c>
      <c r="H1130" s="2" t="s">
        <v>1803</v>
      </c>
      <c r="I1130" s="156" t="str">
        <f t="shared" si="64"/>
        <v>2019</v>
      </c>
      <c r="J1130" s="156">
        <v>2019</v>
      </c>
      <c r="K1130" s="156"/>
      <c r="L1130" s="2" t="s">
        <v>2293</v>
      </c>
      <c r="M1130" s="157" t="str">
        <f t="shared" si="65"/>
        <v>К41012400419</v>
      </c>
      <c r="N1130" s="3" t="s">
        <v>2074</v>
      </c>
      <c r="O1130" s="4" t="s">
        <v>2083</v>
      </c>
      <c r="P1130" s="1"/>
      <c r="U1130" s="1"/>
      <c r="V1130" s="4"/>
      <c r="W1130" s="3"/>
    </row>
    <row r="1131" spans="1:23" x14ac:dyDescent="0.25">
      <c r="A1131" s="154">
        <v>1045</v>
      </c>
      <c r="B1131" s="1"/>
      <c r="C1131" s="452" t="s">
        <v>3640</v>
      </c>
      <c r="D1131" s="154">
        <v>1134</v>
      </c>
      <c r="E1131" s="3" t="s">
        <v>2320</v>
      </c>
      <c r="F1131" s="3" t="s">
        <v>2224</v>
      </c>
      <c r="G1131" s="2" t="s">
        <v>2223</v>
      </c>
      <c r="H1131" s="2" t="s">
        <v>1216</v>
      </c>
      <c r="I1131" s="156" t="str">
        <f t="shared" si="64"/>
        <v>2019</v>
      </c>
      <c r="J1131" s="156"/>
      <c r="K1131" s="156"/>
      <c r="L1131" s="2"/>
      <c r="M1131" s="157" t="str">
        <f t="shared" si="65"/>
        <v>К</v>
      </c>
      <c r="N1131" s="3" t="s">
        <v>2074</v>
      </c>
      <c r="O1131" s="4" t="s">
        <v>2075</v>
      </c>
      <c r="P1131" s="1"/>
      <c r="R1131" s="170" t="s">
        <v>3758</v>
      </c>
      <c r="S1131" s="455" t="s">
        <v>3759</v>
      </c>
      <c r="U1131" s="1"/>
      <c r="V1131" s="4"/>
      <c r="W1131" s="3"/>
    </row>
    <row r="1132" spans="1:23" x14ac:dyDescent="0.25">
      <c r="A1132" s="154">
        <v>1061</v>
      </c>
      <c r="B1132" s="1"/>
      <c r="C1132" s="452" t="s">
        <v>3640</v>
      </c>
      <c r="D1132" s="158">
        <v>1135</v>
      </c>
      <c r="E1132" s="3" t="s">
        <v>2320</v>
      </c>
      <c r="F1132" s="166" t="s">
        <v>2224</v>
      </c>
      <c r="G1132" s="2" t="s">
        <v>2257</v>
      </c>
      <c r="H1132" s="2" t="s">
        <v>2258</v>
      </c>
      <c r="I1132" s="156" t="str">
        <f t="shared" si="64"/>
        <v>2019</v>
      </c>
      <c r="J1132" s="156"/>
      <c r="K1132" s="156"/>
      <c r="L1132" s="2"/>
      <c r="M1132" s="157" t="str">
        <f t="shared" si="65"/>
        <v>К</v>
      </c>
      <c r="N1132" s="3" t="s">
        <v>2074</v>
      </c>
      <c r="O1132" s="4" t="s">
        <v>2078</v>
      </c>
      <c r="P1132" s="1"/>
      <c r="R1132" s="170" t="s">
        <v>3758</v>
      </c>
      <c r="S1132" s="455" t="s">
        <v>3759</v>
      </c>
      <c r="U1132" s="1"/>
      <c r="V1132" s="4"/>
      <c r="W1132" s="3"/>
    </row>
    <row r="1133" spans="1:23" x14ac:dyDescent="0.25">
      <c r="A1133" s="158">
        <v>1078</v>
      </c>
      <c r="B1133" s="1"/>
      <c r="C1133" s="1"/>
      <c r="D1133" s="154">
        <v>1069</v>
      </c>
      <c r="E1133" s="3" t="s">
        <v>2328</v>
      </c>
      <c r="F1133" s="3" t="s">
        <v>2189</v>
      </c>
      <c r="G1133" s="2" t="s">
        <v>2187</v>
      </c>
      <c r="H1133" s="2" t="s">
        <v>2188</v>
      </c>
      <c r="I1133" s="156" t="str">
        <f t="shared" si="64"/>
        <v>2020</v>
      </c>
      <c r="J1133" s="156">
        <v>2020</v>
      </c>
      <c r="K1133" s="156"/>
      <c r="L1133" s="2" t="s">
        <v>2184</v>
      </c>
      <c r="M1133" s="157" t="str">
        <f t="shared" si="65"/>
        <v>К08103952</v>
      </c>
      <c r="N1133" s="3" t="s">
        <v>2074</v>
      </c>
      <c r="O1133" s="4" t="s">
        <v>2075</v>
      </c>
      <c r="P1133" s="1"/>
      <c r="U1133" s="1"/>
      <c r="V1133" s="4"/>
      <c r="W1133" s="3"/>
    </row>
    <row r="1134" spans="1:23" x14ac:dyDescent="0.25">
      <c r="A1134" s="158">
        <v>1046</v>
      </c>
      <c r="B1134" s="1"/>
      <c r="C1134" s="1"/>
      <c r="D1134" s="158">
        <v>1070</v>
      </c>
      <c r="E1134" s="3" t="s">
        <v>2328</v>
      </c>
      <c r="F1134" s="3" t="s">
        <v>2189</v>
      </c>
      <c r="G1134" s="2" t="s">
        <v>2222</v>
      </c>
      <c r="H1134" s="2" t="s">
        <v>2188</v>
      </c>
      <c r="I1134" s="156" t="str">
        <f t="shared" si="64"/>
        <v>2020</v>
      </c>
      <c r="J1134" s="156">
        <v>2020</v>
      </c>
      <c r="K1134" s="156"/>
      <c r="L1134" s="2"/>
      <c r="M1134" s="157" t="str">
        <f t="shared" si="65"/>
        <v>К</v>
      </c>
      <c r="N1134" s="3" t="s">
        <v>2074</v>
      </c>
      <c r="O1134" s="4" t="s">
        <v>2075</v>
      </c>
      <c r="P1134" s="1"/>
      <c r="U1134" s="1"/>
      <c r="V1134" s="4"/>
      <c r="W1134" s="3"/>
    </row>
    <row r="1135" spans="1:23" x14ac:dyDescent="0.25">
      <c r="A1135" s="154">
        <v>1047</v>
      </c>
      <c r="B1135" s="1"/>
      <c r="C1135" s="1"/>
      <c r="D1135" s="158">
        <v>1098</v>
      </c>
      <c r="E1135" s="3" t="s">
        <v>880</v>
      </c>
      <c r="F1135" s="3" t="s">
        <v>2256</v>
      </c>
      <c r="G1135" s="2" t="s">
        <v>2255</v>
      </c>
      <c r="H1135" s="2" t="s">
        <v>296</v>
      </c>
      <c r="I1135" s="156" t="str">
        <f t="shared" si="64"/>
        <v>2020</v>
      </c>
      <c r="J1135" s="156"/>
      <c r="K1135" s="156"/>
      <c r="L1135" s="2"/>
      <c r="M1135" s="157" t="str">
        <f t="shared" si="65"/>
        <v>К</v>
      </c>
      <c r="N1135" s="3" t="s">
        <v>2074</v>
      </c>
      <c r="O1135" s="4" t="s">
        <v>2078</v>
      </c>
      <c r="P1135" s="1"/>
      <c r="U1135" s="1"/>
      <c r="V1135" s="4"/>
      <c r="W1135" s="3"/>
    </row>
    <row r="1136" spans="1:23" x14ac:dyDescent="0.25">
      <c r="A1136" s="158">
        <v>1048</v>
      </c>
      <c r="B1136" s="1"/>
      <c r="C1136" s="1"/>
      <c r="D1136" s="154">
        <v>1099</v>
      </c>
      <c r="E1136" s="3" t="s">
        <v>880</v>
      </c>
      <c r="F1136" s="3" t="s">
        <v>2256</v>
      </c>
      <c r="G1136" s="2" t="s">
        <v>2269</v>
      </c>
      <c r="H1136" s="2" t="s">
        <v>296</v>
      </c>
      <c r="I1136" s="156" t="str">
        <f t="shared" si="64"/>
        <v>2020</v>
      </c>
      <c r="J1136" s="156"/>
      <c r="K1136" s="156"/>
      <c r="L1136" s="2"/>
      <c r="M1136" s="157" t="str">
        <f t="shared" si="65"/>
        <v>К</v>
      </c>
      <c r="N1136" s="3" t="s">
        <v>2074</v>
      </c>
      <c r="O1136" s="4" t="s">
        <v>2083</v>
      </c>
      <c r="P1136" s="1"/>
      <c r="U1136" s="1"/>
      <c r="V1136" s="4"/>
      <c r="W1136" s="3"/>
    </row>
    <row r="1137" spans="1:23" x14ac:dyDescent="0.25">
      <c r="A1137" s="154">
        <v>1049</v>
      </c>
      <c r="B1137" s="1"/>
      <c r="C1137" s="1"/>
      <c r="D1137" s="158">
        <v>1105</v>
      </c>
      <c r="E1137" s="3" t="s">
        <v>24</v>
      </c>
      <c r="F1137" s="3" t="s">
        <v>1105</v>
      </c>
      <c r="G1137" s="2" t="s">
        <v>2254</v>
      </c>
      <c r="H1137" s="2" t="s">
        <v>1107</v>
      </c>
      <c r="I1137" s="156" t="str">
        <f t="shared" si="64"/>
        <v>2020</v>
      </c>
      <c r="J1137" s="156"/>
      <c r="K1137" s="156"/>
      <c r="L1137" s="2"/>
      <c r="M1137" s="157" t="str">
        <f t="shared" si="65"/>
        <v>К</v>
      </c>
      <c r="N1137" s="3" t="s">
        <v>2074</v>
      </c>
      <c r="O1137" s="4" t="s">
        <v>2078</v>
      </c>
      <c r="P1137" s="1"/>
      <c r="U1137" s="1"/>
      <c r="V1137" s="4"/>
      <c r="W1137" s="3"/>
    </row>
    <row r="1138" spans="1:23" x14ac:dyDescent="0.25">
      <c r="A1138" s="158">
        <v>1050</v>
      </c>
      <c r="B1138" s="1"/>
      <c r="C1138" s="1"/>
      <c r="D1138" s="158">
        <v>1109</v>
      </c>
      <c r="E1138" s="3" t="s">
        <v>24</v>
      </c>
      <c r="F1138" s="3" t="s">
        <v>1105</v>
      </c>
      <c r="G1138" s="2" t="s">
        <v>2295</v>
      </c>
      <c r="H1138" s="2" t="s">
        <v>1107</v>
      </c>
      <c r="I1138" s="156" t="str">
        <f t="shared" si="64"/>
        <v>2020</v>
      </c>
      <c r="J1138" s="156"/>
      <c r="K1138" s="156"/>
      <c r="L1138" s="2"/>
      <c r="M1138" s="157" t="str">
        <f t="shared" si="65"/>
        <v>К</v>
      </c>
      <c r="N1138" s="3" t="s">
        <v>2074</v>
      </c>
      <c r="O1138" s="4" t="s">
        <v>2083</v>
      </c>
      <c r="P1138" s="1"/>
      <c r="U1138" s="1"/>
      <c r="V1138" s="4"/>
      <c r="W1138" s="3"/>
    </row>
    <row r="1139" spans="1:23" x14ac:dyDescent="0.25">
      <c r="A1139" s="154">
        <v>1051</v>
      </c>
      <c r="B1139" s="1"/>
      <c r="C1139" s="457" t="s">
        <v>3034</v>
      </c>
      <c r="D1139" s="158">
        <v>1112</v>
      </c>
      <c r="E1139" s="486" t="s">
        <v>3677</v>
      </c>
      <c r="F1139" s="3" t="s">
        <v>2071</v>
      </c>
      <c r="G1139" s="2" t="s">
        <v>2072</v>
      </c>
      <c r="H1139" s="2" t="s">
        <v>2073</v>
      </c>
      <c r="I1139" s="156" t="str">
        <f t="shared" si="64"/>
        <v>2021</v>
      </c>
      <c r="J1139" s="156">
        <v>2021</v>
      </c>
      <c r="K1139" s="156"/>
      <c r="L1139" s="2"/>
      <c r="M1139" s="157" t="str">
        <f t="shared" si="65"/>
        <v>К</v>
      </c>
      <c r="N1139" s="3" t="s">
        <v>2074</v>
      </c>
      <c r="O1139" s="4" t="s">
        <v>2075</v>
      </c>
      <c r="P1139" s="1"/>
      <c r="U1139" s="1"/>
      <c r="V1139" s="4"/>
      <c r="W1139" s="3"/>
    </row>
    <row r="1140" spans="1:23" x14ac:dyDescent="0.25">
      <c r="A1140" s="158">
        <v>1052</v>
      </c>
      <c r="B1140" s="1"/>
      <c r="C1140" s="1"/>
      <c r="D1140" s="158">
        <v>1068</v>
      </c>
      <c r="E1140" s="3" t="s">
        <v>2329</v>
      </c>
      <c r="F1140" s="3" t="s">
        <v>2162</v>
      </c>
      <c r="G1140" s="2"/>
      <c r="H1140" s="2"/>
      <c r="I1140" s="156" t="str">
        <f t="shared" si="64"/>
        <v/>
      </c>
      <c r="J1140" s="156"/>
      <c r="K1140" s="156"/>
      <c r="L1140" s="2" t="s">
        <v>2163</v>
      </c>
      <c r="M1140" s="157" t="str">
        <f t="shared" si="65"/>
        <v>К08102620_2</v>
      </c>
      <c r="N1140" s="3" t="s">
        <v>2074</v>
      </c>
      <c r="O1140" s="4" t="s">
        <v>2075</v>
      </c>
      <c r="P1140" s="1"/>
      <c r="U1140" s="1"/>
      <c r="V1140" s="4"/>
      <c r="W1140" s="3"/>
    </row>
    <row r="1141" spans="1:23" x14ac:dyDescent="0.25">
      <c r="A1141" s="158">
        <v>1062</v>
      </c>
      <c r="B1141" s="1"/>
      <c r="C1141" s="1"/>
      <c r="D1141" s="154">
        <v>1071</v>
      </c>
      <c r="E1141" s="3" t="s">
        <v>2323</v>
      </c>
      <c r="F1141" s="3" t="s">
        <v>2175</v>
      </c>
      <c r="G1141" s="2" t="s">
        <v>2176</v>
      </c>
      <c r="H1141" s="2"/>
      <c r="I1141" s="156" t="str">
        <f t="shared" si="64"/>
        <v/>
      </c>
      <c r="J1141" s="156"/>
      <c r="K1141" s="156"/>
      <c r="L1141" s="2" t="s">
        <v>2178</v>
      </c>
      <c r="M1141" s="157" t="str">
        <f t="shared" si="65"/>
        <v>К08104011</v>
      </c>
      <c r="N1141" s="3" t="s">
        <v>2074</v>
      </c>
      <c r="O1141" s="4" t="s">
        <v>2075</v>
      </c>
      <c r="P1141" s="1"/>
      <c r="U1141" s="1"/>
      <c r="V1141" s="4"/>
      <c r="W1141" s="3"/>
    </row>
    <row r="1142" spans="1:23" x14ac:dyDescent="0.25">
      <c r="A1142" s="154">
        <v>1063</v>
      </c>
      <c r="B1142" s="1"/>
      <c r="C1142" s="1"/>
      <c r="D1142" s="158">
        <v>1084</v>
      </c>
      <c r="E1142" s="3" t="s">
        <v>2325</v>
      </c>
      <c r="F1142" s="3" t="s">
        <v>2324</v>
      </c>
      <c r="G1142" s="2" t="s">
        <v>2198</v>
      </c>
      <c r="H1142" s="2"/>
      <c r="I1142" s="156" t="str">
        <f t="shared" si="64"/>
        <v/>
      </c>
      <c r="J1142" s="156"/>
      <c r="K1142" s="156"/>
      <c r="L1142" s="2" t="s">
        <v>2197</v>
      </c>
      <c r="M1142" s="157" t="str">
        <f t="shared" si="65"/>
        <v>К08103973</v>
      </c>
      <c r="N1142" s="3" t="s">
        <v>2074</v>
      </c>
      <c r="O1142" s="4" t="s">
        <v>2075</v>
      </c>
      <c r="P1142" s="1"/>
      <c r="U1142" s="1"/>
      <c r="V1142" s="4"/>
      <c r="W1142" s="3"/>
    </row>
    <row r="1143" spans="1:23" x14ac:dyDescent="0.25">
      <c r="A1143" s="158">
        <v>1064</v>
      </c>
      <c r="B1143" s="1"/>
      <c r="C1143" s="1"/>
      <c r="D1143" s="158">
        <v>1086</v>
      </c>
      <c r="E1143" s="3" t="s">
        <v>2321</v>
      </c>
      <c r="F1143" s="3" t="s">
        <v>2186</v>
      </c>
      <c r="G1143" s="2" t="s">
        <v>2185</v>
      </c>
      <c r="H1143" s="2"/>
      <c r="I1143" s="156" t="str">
        <f t="shared" si="64"/>
        <v/>
      </c>
      <c r="J1143" s="156"/>
      <c r="K1143" s="156"/>
      <c r="L1143" s="2" t="s">
        <v>2184</v>
      </c>
      <c r="M1143" s="157" t="str">
        <f t="shared" si="65"/>
        <v>К08103952</v>
      </c>
      <c r="N1143" s="3" t="s">
        <v>2074</v>
      </c>
      <c r="O1143" s="4" t="s">
        <v>2075</v>
      </c>
      <c r="P1143" s="1"/>
      <c r="U1143" s="1"/>
      <c r="V1143" s="4"/>
      <c r="W1143" s="3"/>
    </row>
    <row r="1144" spans="1:23" x14ac:dyDescent="0.25">
      <c r="A1144" s="154">
        <v>1065</v>
      </c>
      <c r="B1144" s="456" t="s">
        <v>3552</v>
      </c>
      <c r="C1144" s="456"/>
      <c r="D1144" s="158">
        <v>1089</v>
      </c>
      <c r="E1144" s="3" t="s">
        <v>2319</v>
      </c>
      <c r="F1144" s="3" t="s">
        <v>54</v>
      </c>
      <c r="G1144" s="2" t="s">
        <v>2237</v>
      </c>
      <c r="H1144" s="2"/>
      <c r="I1144" s="156" t="str">
        <f t="shared" si="64"/>
        <v/>
      </c>
      <c r="J1144" s="156"/>
      <c r="K1144" s="156"/>
      <c r="L1144" s="2"/>
      <c r="M1144" s="157" t="str">
        <f t="shared" si="65"/>
        <v>К</v>
      </c>
      <c r="N1144" s="3" t="s">
        <v>2074</v>
      </c>
      <c r="O1144" s="4" t="s">
        <v>2075</v>
      </c>
      <c r="P1144" s="1"/>
      <c r="U1144" s="1"/>
      <c r="V1144" s="4"/>
      <c r="W1144" s="3"/>
    </row>
    <row r="1145" spans="1:23" x14ac:dyDescent="0.25">
      <c r="A1145" s="154">
        <v>1079</v>
      </c>
      <c r="B1145" s="1"/>
      <c r="C1145" s="1"/>
      <c r="D1145" s="154">
        <v>1090</v>
      </c>
      <c r="E1145" s="3" t="s">
        <v>91</v>
      </c>
      <c r="F1145" s="3" t="s">
        <v>92</v>
      </c>
      <c r="G1145" s="2"/>
      <c r="H1145" s="2"/>
      <c r="I1145" s="156" t="str">
        <f t="shared" si="64"/>
        <v/>
      </c>
      <c r="J1145" s="156"/>
      <c r="K1145" s="156"/>
      <c r="L1145" s="2" t="s">
        <v>2232</v>
      </c>
      <c r="M1145" s="157" t="str">
        <f t="shared" si="65"/>
        <v>К08102369_3</v>
      </c>
      <c r="N1145" s="3" t="s">
        <v>2074</v>
      </c>
      <c r="O1145" s="4" t="s">
        <v>2075</v>
      </c>
      <c r="P1145" s="1"/>
      <c r="U1145" s="1"/>
      <c r="V1145" s="4"/>
      <c r="W1145" s="3"/>
    </row>
    <row r="1146" spans="1:23" x14ac:dyDescent="0.25">
      <c r="A1146" s="158">
        <v>1080</v>
      </c>
      <c r="B1146" s="1"/>
      <c r="C1146" s="1"/>
      <c r="D1146" s="154">
        <v>1094</v>
      </c>
      <c r="E1146" s="472" t="s">
        <v>2340</v>
      </c>
      <c r="F1146" s="472" t="s">
        <v>2339</v>
      </c>
      <c r="G1146" s="2" t="s">
        <v>2268</v>
      </c>
      <c r="H1146" s="2"/>
      <c r="I1146" s="156" t="str">
        <f t="shared" si="64"/>
        <v/>
      </c>
      <c r="J1146" s="156"/>
      <c r="K1146" s="156"/>
      <c r="L1146" s="2" t="s">
        <v>2267</v>
      </c>
      <c r="M1146" s="157" t="str">
        <f t="shared" si="65"/>
        <v>К01370562</v>
      </c>
      <c r="N1146" s="3" t="s">
        <v>2074</v>
      </c>
      <c r="O1146" s="4" t="s">
        <v>2083</v>
      </c>
      <c r="P1146" s="1"/>
      <c r="U1146" s="1"/>
      <c r="V1146" s="4"/>
      <c r="W1146" s="3"/>
    </row>
    <row r="1147" spans="1:23" x14ac:dyDescent="0.25">
      <c r="A1147" s="154">
        <v>1081</v>
      </c>
      <c r="B1147" s="1"/>
      <c r="C1147" s="457" t="s">
        <v>3034</v>
      </c>
      <c r="D1147" s="158">
        <v>1114</v>
      </c>
      <c r="E1147" s="486" t="s">
        <v>3677</v>
      </c>
      <c r="F1147" s="3" t="s">
        <v>2045</v>
      </c>
      <c r="G1147" s="2" t="s">
        <v>2082</v>
      </c>
      <c r="H1147" s="2"/>
      <c r="I1147" s="156" t="str">
        <f t="shared" si="64"/>
        <v/>
      </c>
      <c r="J1147" s="156"/>
      <c r="K1147" s="156"/>
      <c r="L1147" s="2"/>
      <c r="M1147" s="157" t="str">
        <f t="shared" si="65"/>
        <v>К</v>
      </c>
      <c r="N1147" s="3" t="s">
        <v>2074</v>
      </c>
      <c r="O1147" s="4" t="s">
        <v>2083</v>
      </c>
      <c r="P1147" s="1"/>
      <c r="U1147" s="1"/>
      <c r="V1147" s="4"/>
      <c r="W1147" s="3"/>
    </row>
    <row r="1148" spans="1:23" x14ac:dyDescent="0.25">
      <c r="A1148" s="158">
        <v>1082</v>
      </c>
      <c r="B1148" s="1"/>
      <c r="C1148" s="1"/>
      <c r="D1148" s="154">
        <v>1136</v>
      </c>
      <c r="E1148" s="3"/>
      <c r="F1148" s="3"/>
      <c r="G1148" s="2"/>
      <c r="H1148" s="2"/>
      <c r="I1148" s="156" t="str">
        <f t="shared" si="64"/>
        <v/>
      </c>
      <c r="J1148" s="156"/>
      <c r="K1148" s="156"/>
      <c r="L1148" s="2" t="s">
        <v>2172</v>
      </c>
      <c r="M1148" s="157" t="str">
        <f t="shared" si="65"/>
        <v>К08102179_2</v>
      </c>
      <c r="N1148" s="3" t="s">
        <v>2074</v>
      </c>
      <c r="O1148" s="4" t="s">
        <v>2075</v>
      </c>
      <c r="P1148" s="1"/>
      <c r="U1148" s="1"/>
      <c r="V1148" s="4"/>
      <c r="W1148" s="3"/>
    </row>
    <row r="1149" spans="1:23" ht="30" x14ac:dyDescent="0.25">
      <c r="A1149" s="154">
        <v>1083</v>
      </c>
      <c r="B1149" s="1"/>
      <c r="C1149" s="457" t="s">
        <v>3034</v>
      </c>
      <c r="D1149" s="158">
        <v>1137</v>
      </c>
      <c r="E1149" s="170" t="s">
        <v>3728</v>
      </c>
      <c r="F1149" s="170" t="s">
        <v>3399</v>
      </c>
      <c r="G1149" s="2" t="s">
        <v>2725</v>
      </c>
      <c r="H1149" s="2" t="s">
        <v>2726</v>
      </c>
      <c r="I1149" s="156" t="str">
        <f t="shared" si="64"/>
        <v>2012</v>
      </c>
      <c r="J1149" s="156">
        <v>2012</v>
      </c>
      <c r="K1149" s="156"/>
      <c r="L1149" s="2" t="s">
        <v>2727</v>
      </c>
      <c r="M1149" s="157" t="str">
        <f t="shared" si="65"/>
        <v>К08104302, 08104209</v>
      </c>
      <c r="N1149" s="3" t="s">
        <v>1842</v>
      </c>
      <c r="O1149" s="4" t="s">
        <v>2088</v>
      </c>
      <c r="P1149" s="1"/>
      <c r="R1149" s="170" t="s">
        <v>3729</v>
      </c>
      <c r="S1149" s="455" t="s">
        <v>3730</v>
      </c>
      <c r="U1149" s="1"/>
      <c r="V1149" s="4"/>
      <c r="W1149" s="3"/>
    </row>
    <row r="1150" spans="1:23" x14ac:dyDescent="0.25">
      <c r="A1150" s="158">
        <v>1084</v>
      </c>
      <c r="B1150" s="1"/>
      <c r="C1150" s="1"/>
      <c r="D1150" s="158">
        <v>1138</v>
      </c>
      <c r="E1150" s="3" t="s">
        <v>2944</v>
      </c>
      <c r="F1150" s="43" t="s">
        <v>3396</v>
      </c>
      <c r="G1150" s="2" t="s">
        <v>2693</v>
      </c>
      <c r="H1150" s="2"/>
      <c r="I1150" s="156" t="str">
        <f t="shared" si="64"/>
        <v/>
      </c>
      <c r="J1150" s="156"/>
      <c r="K1150" s="156"/>
      <c r="L1150" s="2" t="s">
        <v>2694</v>
      </c>
      <c r="M1150" s="157" t="str">
        <f t="shared" si="65"/>
        <v>К08103935</v>
      </c>
      <c r="N1150" s="3" t="s">
        <v>1842</v>
      </c>
      <c r="O1150" s="4" t="s">
        <v>2088</v>
      </c>
      <c r="P1150" s="1"/>
      <c r="U1150" s="1"/>
      <c r="V1150" s="4"/>
      <c r="W1150" s="3"/>
    </row>
    <row r="1151" spans="1:23" x14ac:dyDescent="0.25">
      <c r="A1151" s="154">
        <v>1085</v>
      </c>
      <c r="B1151" s="1"/>
      <c r="C1151" s="1"/>
      <c r="D1151" s="154">
        <v>1139</v>
      </c>
      <c r="E1151" s="3" t="s">
        <v>2944</v>
      </c>
      <c r="F1151" s="43" t="s">
        <v>3396</v>
      </c>
      <c r="G1151" s="2" t="s">
        <v>2695</v>
      </c>
      <c r="H1151" s="2"/>
      <c r="I1151" s="156" t="str">
        <f t="shared" si="64"/>
        <v/>
      </c>
      <c r="J1151" s="156"/>
      <c r="K1151" s="156"/>
      <c r="L1151" s="2" t="s">
        <v>2696</v>
      </c>
      <c r="M1151" s="157" t="str">
        <f t="shared" si="65"/>
        <v>К08103937</v>
      </c>
      <c r="N1151" s="3" t="s">
        <v>1842</v>
      </c>
      <c r="O1151" s="4" t="s">
        <v>2088</v>
      </c>
      <c r="P1151" s="1"/>
      <c r="U1151" s="1"/>
      <c r="V1151" s="4"/>
      <c r="W1151" s="3"/>
    </row>
    <row r="1152" spans="1:23" x14ac:dyDescent="0.25">
      <c r="A1152" s="154">
        <v>1053</v>
      </c>
      <c r="B1152" s="1"/>
      <c r="C1152" s="1"/>
      <c r="D1152" s="158">
        <v>1140</v>
      </c>
      <c r="E1152" s="3" t="s">
        <v>2944</v>
      </c>
      <c r="F1152" s="43" t="s">
        <v>3396</v>
      </c>
      <c r="G1152" s="2" t="s">
        <v>2697</v>
      </c>
      <c r="H1152" s="2"/>
      <c r="I1152" s="156" t="str">
        <f t="shared" si="64"/>
        <v/>
      </c>
      <c r="J1152" s="156"/>
      <c r="K1152" s="156"/>
      <c r="L1152" s="2" t="s">
        <v>2698</v>
      </c>
      <c r="M1152" s="157" t="str">
        <f t="shared" si="65"/>
        <v>К08103938</v>
      </c>
      <c r="N1152" s="3" t="s">
        <v>1842</v>
      </c>
      <c r="O1152" s="4" t="s">
        <v>2088</v>
      </c>
      <c r="P1152" s="1"/>
      <c r="U1152" s="1"/>
      <c r="V1152" s="4"/>
      <c r="W1152" s="3"/>
    </row>
    <row r="1153" spans="1:23" x14ac:dyDescent="0.25">
      <c r="A1153" s="158">
        <v>1054</v>
      </c>
      <c r="B1153" s="1"/>
      <c r="C1153" s="1"/>
      <c r="D1153" s="154">
        <v>1141</v>
      </c>
      <c r="E1153" s="3" t="s">
        <v>2944</v>
      </c>
      <c r="F1153" s="43" t="s">
        <v>3002</v>
      </c>
      <c r="G1153" s="2" t="s">
        <v>2691</v>
      </c>
      <c r="H1153" s="2"/>
      <c r="I1153" s="156" t="str">
        <f t="shared" si="64"/>
        <v/>
      </c>
      <c r="J1153" s="156"/>
      <c r="K1153" s="156"/>
      <c r="L1153" s="2" t="s">
        <v>2692</v>
      </c>
      <c r="M1153" s="157" t="str">
        <f t="shared" si="65"/>
        <v>К71012400211</v>
      </c>
      <c r="N1153" s="3" t="s">
        <v>1842</v>
      </c>
      <c r="O1153" s="4" t="s">
        <v>2088</v>
      </c>
      <c r="P1153" s="1"/>
      <c r="U1153" s="153" t="s">
        <v>3640</v>
      </c>
      <c r="V1153" s="4"/>
      <c r="W1153" s="3"/>
    </row>
    <row r="1154" spans="1:23" x14ac:dyDescent="0.25">
      <c r="A1154" s="158">
        <v>1066</v>
      </c>
      <c r="B1154" s="1"/>
      <c r="C1154" s="1"/>
      <c r="D1154" s="158">
        <v>1142</v>
      </c>
      <c r="E1154" s="3" t="s">
        <v>2944</v>
      </c>
      <c r="F1154" s="43" t="s">
        <v>3002</v>
      </c>
      <c r="G1154" s="2" t="s">
        <v>2689</v>
      </c>
      <c r="H1154" s="2"/>
      <c r="I1154" s="156" t="str">
        <f t="shared" si="64"/>
        <v/>
      </c>
      <c r="J1154" s="156"/>
      <c r="K1154" s="156"/>
      <c r="L1154" s="2" t="s">
        <v>2690</v>
      </c>
      <c r="M1154" s="157" t="str">
        <f t="shared" si="65"/>
        <v>К71012400212</v>
      </c>
      <c r="N1154" s="3" t="s">
        <v>1842</v>
      </c>
      <c r="O1154" s="4" t="s">
        <v>2088</v>
      </c>
      <c r="P1154" s="1"/>
      <c r="U1154" s="153" t="s">
        <v>3640</v>
      </c>
      <c r="V1154" s="4"/>
      <c r="W1154" s="3"/>
    </row>
    <row r="1155" spans="1:23" x14ac:dyDescent="0.25">
      <c r="A1155" s="154">
        <v>1055</v>
      </c>
      <c r="B1155" s="136" t="s">
        <v>3552</v>
      </c>
      <c r="C1155" s="136"/>
      <c r="D1155" s="154">
        <v>1143</v>
      </c>
      <c r="E1155" s="138" t="s">
        <v>3555</v>
      </c>
      <c r="F1155" s="43" t="s">
        <v>455</v>
      </c>
      <c r="G1155" s="2" t="s">
        <v>2699</v>
      </c>
      <c r="H1155" s="2" t="s">
        <v>59</v>
      </c>
      <c r="I1155" s="156" t="str">
        <f t="shared" si="64"/>
        <v>2013</v>
      </c>
      <c r="J1155" s="156"/>
      <c r="K1155" s="156"/>
      <c r="L1155" s="2" t="s">
        <v>2700</v>
      </c>
      <c r="M1155" s="157" t="str">
        <f t="shared" si="65"/>
        <v>К08105935</v>
      </c>
      <c r="N1155" s="3" t="s">
        <v>1842</v>
      </c>
      <c r="O1155" s="4" t="s">
        <v>2088</v>
      </c>
      <c r="P1155" s="1"/>
      <c r="U1155" s="1"/>
      <c r="V1155" s="4"/>
      <c r="W1155" s="3"/>
    </row>
    <row r="1156" spans="1:23" x14ac:dyDescent="0.25">
      <c r="A1156" s="154">
        <v>1109</v>
      </c>
      <c r="B1156" s="1"/>
      <c r="C1156" s="1"/>
      <c r="D1156" s="158">
        <v>1144</v>
      </c>
      <c r="E1156" s="3" t="s">
        <v>18</v>
      </c>
      <c r="F1156" s="43" t="s">
        <v>3397</v>
      </c>
      <c r="G1156" s="2" t="s">
        <v>2701</v>
      </c>
      <c r="H1156" s="2"/>
      <c r="I1156" s="156" t="str">
        <f t="shared" si="64"/>
        <v/>
      </c>
      <c r="J1156" s="156"/>
      <c r="K1156" s="156"/>
      <c r="L1156" s="2"/>
      <c r="M1156" s="157" t="str">
        <f t="shared" si="65"/>
        <v>К</v>
      </c>
      <c r="N1156" s="3" t="s">
        <v>1842</v>
      </c>
      <c r="O1156" s="4" t="s">
        <v>2088</v>
      </c>
      <c r="P1156" s="1"/>
      <c r="U1156" s="1"/>
      <c r="V1156" s="4"/>
      <c r="W1156" s="3"/>
    </row>
    <row r="1157" spans="1:23" x14ac:dyDescent="0.25">
      <c r="A1157" s="154">
        <v>1087</v>
      </c>
      <c r="B1157" s="1"/>
      <c r="C1157" s="1"/>
      <c r="D1157" s="158">
        <v>1145</v>
      </c>
      <c r="E1157" s="3" t="s">
        <v>91</v>
      </c>
      <c r="F1157" s="43" t="s">
        <v>92</v>
      </c>
      <c r="G1157" s="2" t="s">
        <v>2702</v>
      </c>
      <c r="H1157" s="2" t="s">
        <v>327</v>
      </c>
      <c r="I1157" s="156" t="str">
        <f t="shared" si="64"/>
        <v>2003</v>
      </c>
      <c r="J1157" s="156"/>
      <c r="K1157" s="156"/>
      <c r="L1157" s="2" t="s">
        <v>2703</v>
      </c>
      <c r="M1157" s="157" t="str">
        <f t="shared" si="65"/>
        <v>К01370905_1</v>
      </c>
      <c r="N1157" s="3" t="s">
        <v>1842</v>
      </c>
      <c r="O1157" s="4" t="s">
        <v>2088</v>
      </c>
      <c r="P1157" s="1"/>
      <c r="U1157" s="1"/>
      <c r="V1157" s="4"/>
      <c r="W1157" s="3"/>
    </row>
    <row r="1158" spans="1:23" x14ac:dyDescent="0.25">
      <c r="A1158" s="158">
        <v>1088</v>
      </c>
      <c r="B1158" s="1"/>
      <c r="C1158" s="1"/>
      <c r="D1158" s="154">
        <v>1146</v>
      </c>
      <c r="E1158" s="3" t="s">
        <v>91</v>
      </c>
      <c r="F1158" s="43" t="s">
        <v>613</v>
      </c>
      <c r="G1158" s="2" t="s">
        <v>2706</v>
      </c>
      <c r="H1158" s="2" t="s">
        <v>90</v>
      </c>
      <c r="I1158" s="156" t="str">
        <f t="shared" ref="I1158:I1193" si="66">RIGHT(H1158,4)</f>
        <v>2008</v>
      </c>
      <c r="J1158" s="156"/>
      <c r="K1158" s="156"/>
      <c r="L1158" s="2" t="s">
        <v>2707</v>
      </c>
      <c r="M1158" s="157" t="str">
        <f t="shared" ref="M1158:M1221" si="67">CONCATENATE("К",L1158)</f>
        <v>К08102632</v>
      </c>
      <c r="N1158" s="3" t="s">
        <v>1842</v>
      </c>
      <c r="O1158" s="4" t="s">
        <v>2088</v>
      </c>
      <c r="P1158" s="1"/>
      <c r="U1158" s="1"/>
      <c r="V1158" s="4"/>
      <c r="W1158" s="3"/>
    </row>
    <row r="1159" spans="1:23" x14ac:dyDescent="0.25">
      <c r="A1159" s="154">
        <v>1089</v>
      </c>
      <c r="B1159" s="1"/>
      <c r="C1159" s="1"/>
      <c r="D1159" s="158">
        <v>1147</v>
      </c>
      <c r="E1159" s="3" t="s">
        <v>91</v>
      </c>
      <c r="F1159" s="43" t="s">
        <v>92</v>
      </c>
      <c r="G1159" s="2" t="s">
        <v>2704</v>
      </c>
      <c r="H1159" s="2" t="s">
        <v>66</v>
      </c>
      <c r="I1159" s="156" t="str">
        <f t="shared" si="66"/>
        <v>2019</v>
      </c>
      <c r="J1159" s="156"/>
      <c r="K1159" s="156"/>
      <c r="L1159" s="2" t="s">
        <v>2705</v>
      </c>
      <c r="M1159" s="157" t="str">
        <f t="shared" si="67"/>
        <v>К71012400221</v>
      </c>
      <c r="N1159" s="3" t="s">
        <v>1842</v>
      </c>
      <c r="O1159" s="4" t="s">
        <v>2088</v>
      </c>
      <c r="P1159" s="1"/>
      <c r="U1159" s="1"/>
      <c r="V1159" s="4"/>
      <c r="W1159" s="3"/>
    </row>
    <row r="1160" spans="1:23" x14ac:dyDescent="0.25">
      <c r="A1160" s="158">
        <v>1090</v>
      </c>
      <c r="B1160" s="1"/>
      <c r="C1160" s="1"/>
      <c r="D1160" s="154">
        <v>1148</v>
      </c>
      <c r="E1160" s="3" t="s">
        <v>91</v>
      </c>
      <c r="F1160" s="43" t="s">
        <v>613</v>
      </c>
      <c r="G1160" s="2" t="s">
        <v>2710</v>
      </c>
      <c r="H1160" s="2" t="s">
        <v>615</v>
      </c>
      <c r="I1160" s="156" t="str">
        <f t="shared" si="66"/>
        <v>2016</v>
      </c>
      <c r="J1160" s="156"/>
      <c r="K1160" s="156"/>
      <c r="L1160" s="2" t="s">
        <v>2711</v>
      </c>
      <c r="M1160" s="157" t="str">
        <f t="shared" si="67"/>
        <v>К7240000471</v>
      </c>
      <c r="N1160" s="3" t="s">
        <v>1842</v>
      </c>
      <c r="O1160" s="4" t="s">
        <v>2088</v>
      </c>
      <c r="P1160" s="1"/>
      <c r="U1160" s="1"/>
      <c r="V1160" s="4"/>
      <c r="W1160" s="3"/>
    </row>
    <row r="1161" spans="1:23" x14ac:dyDescent="0.25">
      <c r="A1161" s="154">
        <v>1091</v>
      </c>
      <c r="B1161" s="1"/>
      <c r="C1161" s="1"/>
      <c r="D1161" s="158">
        <v>1149</v>
      </c>
      <c r="E1161" s="3" t="s">
        <v>91</v>
      </c>
      <c r="F1161" s="43" t="s">
        <v>613</v>
      </c>
      <c r="G1161" s="2" t="s">
        <v>2708</v>
      </c>
      <c r="H1161" s="2" t="s">
        <v>615</v>
      </c>
      <c r="I1161" s="156" t="str">
        <f t="shared" si="66"/>
        <v>2016</v>
      </c>
      <c r="J1161" s="156"/>
      <c r="K1161" s="156"/>
      <c r="L1161" s="2" t="s">
        <v>2709</v>
      </c>
      <c r="M1161" s="157" t="str">
        <f t="shared" si="67"/>
        <v>К7240000472</v>
      </c>
      <c r="N1161" s="3" t="s">
        <v>1842</v>
      </c>
      <c r="O1161" s="4" t="s">
        <v>2088</v>
      </c>
      <c r="P1161" s="1"/>
      <c r="U1161" s="1"/>
      <c r="V1161" s="4"/>
      <c r="W1161" s="3"/>
    </row>
    <row r="1162" spans="1:23" x14ac:dyDescent="0.25">
      <c r="A1162" s="158">
        <v>1092</v>
      </c>
      <c r="B1162" s="1"/>
      <c r="C1162" s="1"/>
      <c r="D1162" s="154">
        <v>1150</v>
      </c>
      <c r="E1162" s="3" t="s">
        <v>2945</v>
      </c>
      <c r="F1162" s="43" t="s">
        <v>3398</v>
      </c>
      <c r="G1162" s="2" t="s">
        <v>2712</v>
      </c>
      <c r="H1162" s="2" t="s">
        <v>2713</v>
      </c>
      <c r="I1162" s="156" t="str">
        <f t="shared" si="66"/>
        <v>2015</v>
      </c>
      <c r="J1162" s="156">
        <v>2015</v>
      </c>
      <c r="K1162" s="156"/>
      <c r="L1162" s="2" t="s">
        <v>2714</v>
      </c>
      <c r="M1162" s="157" t="str">
        <f t="shared" si="67"/>
        <v>К01370619_1</v>
      </c>
      <c r="N1162" s="3" t="s">
        <v>1842</v>
      </c>
      <c r="O1162" s="4" t="s">
        <v>2088</v>
      </c>
      <c r="P1162" s="1"/>
      <c r="U1162" s="1"/>
      <c r="V1162" s="4"/>
      <c r="W1162" s="3"/>
    </row>
    <row r="1163" spans="1:23" x14ac:dyDescent="0.25">
      <c r="A1163" s="154">
        <v>1093</v>
      </c>
      <c r="B1163" s="1"/>
      <c r="C1163" s="1"/>
      <c r="D1163" s="158">
        <v>1151</v>
      </c>
      <c r="E1163" s="3" t="s">
        <v>2945</v>
      </c>
      <c r="F1163" s="43" t="s">
        <v>3398</v>
      </c>
      <c r="G1163" s="2"/>
      <c r="H1163" s="2"/>
      <c r="I1163" s="156" t="str">
        <f t="shared" si="66"/>
        <v/>
      </c>
      <c r="J1163" s="156"/>
      <c r="K1163" s="156"/>
      <c r="L1163" s="2" t="s">
        <v>2715</v>
      </c>
      <c r="M1163" s="157" t="str">
        <f t="shared" si="67"/>
        <v>К01370764_1</v>
      </c>
      <c r="N1163" s="3" t="s">
        <v>1842</v>
      </c>
      <c r="O1163" s="4" t="s">
        <v>2088</v>
      </c>
      <c r="P1163" s="1"/>
      <c r="U1163" s="1"/>
      <c r="V1163" s="4"/>
      <c r="W1163" s="3"/>
    </row>
    <row r="1164" spans="1:23" x14ac:dyDescent="0.25">
      <c r="A1164" s="158">
        <v>1094</v>
      </c>
      <c r="B1164" s="1"/>
      <c r="C1164" s="1"/>
      <c r="D1164" s="158">
        <v>1152</v>
      </c>
      <c r="E1164" s="3" t="s">
        <v>2945</v>
      </c>
      <c r="F1164" s="43" t="s">
        <v>3398</v>
      </c>
      <c r="G1164" s="2"/>
      <c r="H1164" s="2" t="s">
        <v>5614</v>
      </c>
      <c r="I1164" s="156" t="str">
        <f t="shared" si="66"/>
        <v>2021</v>
      </c>
      <c r="J1164" s="156">
        <v>2021</v>
      </c>
      <c r="K1164" s="156"/>
      <c r="L1164" s="2" t="s">
        <v>2716</v>
      </c>
      <c r="M1164" s="157" t="str">
        <f t="shared" si="67"/>
        <v>К08102616</v>
      </c>
      <c r="N1164" s="3" t="s">
        <v>1842</v>
      </c>
      <c r="O1164" s="4" t="s">
        <v>2088</v>
      </c>
      <c r="P1164" s="1"/>
      <c r="U1164" s="1"/>
      <c r="V1164" s="4"/>
      <c r="W1164" s="3"/>
    </row>
    <row r="1165" spans="1:23" x14ac:dyDescent="0.25">
      <c r="A1165" s="154">
        <v>1095</v>
      </c>
      <c r="B1165" s="1"/>
      <c r="C1165" s="1"/>
      <c r="D1165" s="154">
        <v>1153</v>
      </c>
      <c r="E1165" s="3" t="s">
        <v>2945</v>
      </c>
      <c r="F1165" s="43" t="s">
        <v>3398</v>
      </c>
      <c r="G1165" s="2"/>
      <c r="H1165" s="2" t="s">
        <v>5615</v>
      </c>
      <c r="I1165" s="156" t="str">
        <f t="shared" si="66"/>
        <v>2022</v>
      </c>
      <c r="J1165" s="156">
        <v>2022</v>
      </c>
      <c r="K1165" s="156"/>
      <c r="L1165" s="2" t="s">
        <v>2717</v>
      </c>
      <c r="M1165" s="157" t="str">
        <f t="shared" si="67"/>
        <v>К08102617</v>
      </c>
      <c r="N1165" s="3" t="s">
        <v>1842</v>
      </c>
      <c r="O1165" s="4" t="s">
        <v>2088</v>
      </c>
      <c r="P1165" s="1"/>
      <c r="U1165" s="1"/>
      <c r="V1165" s="4"/>
      <c r="W1165" s="3"/>
    </row>
    <row r="1166" spans="1:23" x14ac:dyDescent="0.25">
      <c r="A1166" s="158">
        <v>1096</v>
      </c>
      <c r="B1166" s="1"/>
      <c r="C1166" s="1"/>
      <c r="D1166" s="158">
        <v>1154</v>
      </c>
      <c r="E1166" s="3" t="s">
        <v>2945</v>
      </c>
      <c r="F1166" s="43" t="s">
        <v>3398</v>
      </c>
      <c r="G1166" s="2"/>
      <c r="H1166" s="2" t="s">
        <v>5616</v>
      </c>
      <c r="I1166" s="156" t="str">
        <f t="shared" si="66"/>
        <v>2023</v>
      </c>
      <c r="J1166" s="156">
        <v>2023</v>
      </c>
      <c r="K1166" s="156"/>
      <c r="L1166" s="2" t="s">
        <v>2718</v>
      </c>
      <c r="M1166" s="157" t="str">
        <f t="shared" si="67"/>
        <v>К08102619</v>
      </c>
      <c r="N1166" s="3" t="s">
        <v>1842</v>
      </c>
      <c r="O1166" s="4" t="s">
        <v>2088</v>
      </c>
      <c r="P1166" s="1"/>
      <c r="U1166" s="1"/>
      <c r="V1166" s="4"/>
      <c r="W1166" s="3"/>
    </row>
    <row r="1167" spans="1:23" x14ac:dyDescent="0.25">
      <c r="A1167" s="154">
        <v>1097</v>
      </c>
      <c r="B1167" s="1"/>
      <c r="C1167" s="1"/>
      <c r="D1167" s="154">
        <v>1155</v>
      </c>
      <c r="E1167" s="3" t="s">
        <v>141</v>
      </c>
      <c r="F1167" s="43" t="s">
        <v>2679</v>
      </c>
      <c r="G1167" s="2"/>
      <c r="H1167" s="2"/>
      <c r="I1167" s="156" t="str">
        <f t="shared" si="66"/>
        <v/>
      </c>
      <c r="J1167" s="156"/>
      <c r="K1167" s="156"/>
      <c r="L1167" s="2" t="s">
        <v>2719</v>
      </c>
      <c r="M1167" s="157" t="str">
        <f t="shared" si="67"/>
        <v>К08104773</v>
      </c>
      <c r="N1167" s="3" t="s">
        <v>1842</v>
      </c>
      <c r="O1167" s="4" t="s">
        <v>2088</v>
      </c>
      <c r="P1167" s="1"/>
      <c r="U1167" s="1"/>
      <c r="V1167" s="4"/>
      <c r="W1167" s="3"/>
    </row>
    <row r="1168" spans="1:23" x14ac:dyDescent="0.25">
      <c r="A1168" s="158">
        <v>1098</v>
      </c>
      <c r="B1168" s="1"/>
      <c r="C1168" s="1"/>
      <c r="D1168" s="158">
        <v>1156</v>
      </c>
      <c r="E1168" s="3" t="s">
        <v>24</v>
      </c>
      <c r="F1168" s="43" t="s">
        <v>2678</v>
      </c>
      <c r="G1168" s="2"/>
      <c r="H1168" s="589" t="s">
        <v>283</v>
      </c>
      <c r="I1168" s="156" t="str">
        <f t="shared" si="66"/>
        <v>2011</v>
      </c>
      <c r="J1168" s="156"/>
      <c r="K1168" s="156"/>
      <c r="L1168" s="2" t="s">
        <v>2723</v>
      </c>
      <c r="M1168" s="157" t="str">
        <f t="shared" si="67"/>
        <v>К08102976</v>
      </c>
      <c r="N1168" s="3" t="s">
        <v>1842</v>
      </c>
      <c r="O1168" s="4" t="s">
        <v>2088</v>
      </c>
      <c r="P1168" s="1"/>
      <c r="U1168" s="1"/>
      <c r="V1168" s="4"/>
      <c r="W1168" s="3"/>
    </row>
    <row r="1169" spans="1:23" x14ac:dyDescent="0.25">
      <c r="A1169" s="154">
        <v>1099</v>
      </c>
      <c r="B1169" s="1"/>
      <c r="C1169" s="1"/>
      <c r="D1169" s="154">
        <v>1157</v>
      </c>
      <c r="E1169" s="3" t="s">
        <v>24</v>
      </c>
      <c r="F1169" s="43" t="s">
        <v>2678</v>
      </c>
      <c r="G1169" s="2"/>
      <c r="H1169" s="2"/>
      <c r="I1169" s="156" t="str">
        <f t="shared" si="66"/>
        <v/>
      </c>
      <c r="J1169" s="156"/>
      <c r="K1169" s="156"/>
      <c r="L1169" s="2" t="s">
        <v>2724</v>
      </c>
      <c r="M1169" s="157" t="str">
        <f t="shared" si="67"/>
        <v>К08104826</v>
      </c>
      <c r="N1169" s="3" t="s">
        <v>1842</v>
      </c>
      <c r="O1169" s="4" t="s">
        <v>2088</v>
      </c>
      <c r="P1169" s="1"/>
      <c r="U1169" s="1"/>
      <c r="V1169" s="4"/>
      <c r="W1169" s="3"/>
    </row>
    <row r="1170" spans="1:23" x14ac:dyDescent="0.25">
      <c r="A1170" s="158">
        <v>1100</v>
      </c>
      <c r="B1170" s="1"/>
      <c r="C1170" s="1"/>
      <c r="D1170" s="158">
        <v>1158</v>
      </c>
      <c r="E1170" s="3" t="s">
        <v>24</v>
      </c>
      <c r="F1170" s="3" t="s">
        <v>37</v>
      </c>
      <c r="G1170" s="2"/>
      <c r="H1170" s="2"/>
      <c r="I1170" s="156" t="str">
        <f t="shared" si="66"/>
        <v/>
      </c>
      <c r="J1170" s="156"/>
      <c r="K1170" s="156"/>
      <c r="L1170" s="2" t="s">
        <v>2722</v>
      </c>
      <c r="M1170" s="157" t="str">
        <f t="shared" si="67"/>
        <v>К08107866</v>
      </c>
      <c r="N1170" s="3" t="s">
        <v>1842</v>
      </c>
      <c r="O1170" s="4" t="s">
        <v>2088</v>
      </c>
      <c r="P1170" s="1"/>
      <c r="U1170" s="1"/>
      <c r="V1170" s="4"/>
      <c r="W1170" s="3"/>
    </row>
    <row r="1171" spans="1:23" x14ac:dyDescent="0.25">
      <c r="A1171" s="154">
        <v>1101</v>
      </c>
      <c r="B1171" s="1"/>
      <c r="C1171" s="1"/>
      <c r="D1171" s="158">
        <v>1159</v>
      </c>
      <c r="E1171" s="3" t="s">
        <v>24</v>
      </c>
      <c r="F1171" s="3" t="s">
        <v>37</v>
      </c>
      <c r="G1171" s="2" t="s">
        <v>2720</v>
      </c>
      <c r="H1171" s="2" t="s">
        <v>66</v>
      </c>
      <c r="I1171" s="156" t="str">
        <f t="shared" si="66"/>
        <v>2019</v>
      </c>
      <c r="J1171" s="156"/>
      <c r="K1171" s="156"/>
      <c r="L1171" s="2" t="s">
        <v>2721</v>
      </c>
      <c r="M1171" s="157" t="str">
        <f t="shared" si="67"/>
        <v>К71012400243</v>
      </c>
      <c r="N1171" s="3" t="s">
        <v>1842</v>
      </c>
      <c r="O1171" s="4" t="s">
        <v>2088</v>
      </c>
      <c r="P1171" s="1"/>
      <c r="U1171" s="1"/>
      <c r="V1171" s="4"/>
      <c r="W1171" s="3"/>
    </row>
    <row r="1172" spans="1:23" x14ac:dyDescent="0.25">
      <c r="A1172" s="158">
        <v>1102</v>
      </c>
      <c r="B1172" s="136" t="s">
        <v>3552</v>
      </c>
      <c r="C1172" s="136"/>
      <c r="D1172" s="154">
        <v>1160</v>
      </c>
      <c r="E1172" s="3" t="s">
        <v>28</v>
      </c>
      <c r="F1172" s="43" t="s">
        <v>29</v>
      </c>
      <c r="G1172" s="2" t="s">
        <v>2728</v>
      </c>
      <c r="H1172" s="2"/>
      <c r="I1172" s="156" t="str">
        <f t="shared" si="66"/>
        <v/>
      </c>
      <c r="J1172" s="156"/>
      <c r="K1172" s="156"/>
      <c r="L1172" s="2" t="s">
        <v>2729</v>
      </c>
      <c r="M1172" s="157" t="str">
        <f t="shared" si="67"/>
        <v>К08103492</v>
      </c>
      <c r="N1172" s="3" t="s">
        <v>1842</v>
      </c>
      <c r="O1172" s="4" t="s">
        <v>2088</v>
      </c>
      <c r="P1172" s="1"/>
      <c r="U1172" s="1"/>
      <c r="V1172" s="4"/>
      <c r="W1172" s="3"/>
    </row>
    <row r="1173" spans="1:23" x14ac:dyDescent="0.25">
      <c r="A1173" s="154">
        <v>1103</v>
      </c>
      <c r="B1173" s="1"/>
      <c r="C1173" s="1"/>
      <c r="D1173" s="158">
        <v>1161</v>
      </c>
      <c r="E1173" s="3" t="s">
        <v>2946</v>
      </c>
      <c r="F1173" s="43" t="s">
        <v>3400</v>
      </c>
      <c r="G1173" s="2" t="s">
        <v>2732</v>
      </c>
      <c r="H1173" s="2"/>
      <c r="I1173" s="156" t="str">
        <f t="shared" si="66"/>
        <v/>
      </c>
      <c r="J1173" s="156"/>
      <c r="K1173" s="156"/>
      <c r="L1173" s="2" t="s">
        <v>2733</v>
      </c>
      <c r="M1173" s="157" t="str">
        <f t="shared" si="67"/>
        <v>К21012400265</v>
      </c>
      <c r="N1173" s="3" t="s">
        <v>1842</v>
      </c>
      <c r="O1173" s="4" t="s">
        <v>2088</v>
      </c>
      <c r="P1173" s="1"/>
      <c r="U1173" s="1"/>
      <c r="V1173" s="4"/>
      <c r="W1173" s="3"/>
    </row>
    <row r="1174" spans="1:23" x14ac:dyDescent="0.25">
      <c r="A1174" s="158">
        <v>1104</v>
      </c>
      <c r="B1174" s="1"/>
      <c r="C1174" s="1"/>
      <c r="D1174" s="154">
        <v>1162</v>
      </c>
      <c r="E1174" s="3" t="s">
        <v>2946</v>
      </c>
      <c r="F1174" s="43" t="s">
        <v>3400</v>
      </c>
      <c r="G1174" s="2" t="s">
        <v>2730</v>
      </c>
      <c r="H1174" s="2"/>
      <c r="I1174" s="156" t="str">
        <f t="shared" si="66"/>
        <v/>
      </c>
      <c r="J1174" s="156"/>
      <c r="K1174" s="156"/>
      <c r="L1174" s="2" t="s">
        <v>2731</v>
      </c>
      <c r="M1174" s="157" t="str">
        <f t="shared" si="67"/>
        <v>К71012400214</v>
      </c>
      <c r="N1174" s="3" t="s">
        <v>1842</v>
      </c>
      <c r="O1174" s="4" t="s">
        <v>2088</v>
      </c>
      <c r="P1174" s="1"/>
      <c r="U1174" s="1"/>
      <c r="V1174" s="4"/>
      <c r="W1174" s="3"/>
    </row>
    <row r="1175" spans="1:23" x14ac:dyDescent="0.25">
      <c r="A1175" s="154">
        <v>1105</v>
      </c>
      <c r="B1175" s="1"/>
      <c r="C1175" s="1"/>
      <c r="D1175" s="158">
        <v>1163</v>
      </c>
      <c r="E1175" s="3" t="s">
        <v>2947</v>
      </c>
      <c r="F1175" s="43" t="s">
        <v>3401</v>
      </c>
      <c r="G1175" s="2" t="s">
        <v>2734</v>
      </c>
      <c r="H1175" s="2"/>
      <c r="I1175" s="156" t="str">
        <f t="shared" si="66"/>
        <v/>
      </c>
      <c r="J1175" s="156"/>
      <c r="K1175" s="156"/>
      <c r="L1175" s="2" t="s">
        <v>2735</v>
      </c>
      <c r="M1175" s="157" t="str">
        <f t="shared" si="67"/>
        <v>К08103489</v>
      </c>
      <c r="N1175" s="3" t="s">
        <v>1842</v>
      </c>
      <c r="O1175" s="4" t="s">
        <v>2088</v>
      </c>
      <c r="P1175" s="1"/>
      <c r="U1175" s="153" t="s">
        <v>3646</v>
      </c>
      <c r="V1175" s="4"/>
      <c r="W1175" s="3"/>
    </row>
    <row r="1176" spans="1:23" x14ac:dyDescent="0.25">
      <c r="A1176" s="158">
        <v>1106</v>
      </c>
      <c r="B1176" s="1"/>
      <c r="C1176" s="1"/>
      <c r="D1176" s="154">
        <v>1164</v>
      </c>
      <c r="E1176" s="3" t="s">
        <v>2947</v>
      </c>
      <c r="F1176" s="43" t="s">
        <v>3401</v>
      </c>
      <c r="G1176" s="2" t="s">
        <v>2737</v>
      </c>
      <c r="H1176" s="2"/>
      <c r="I1176" s="156" t="str">
        <f t="shared" si="66"/>
        <v/>
      </c>
      <c r="J1176" s="156"/>
      <c r="K1176" s="156"/>
      <c r="L1176" s="2" t="s">
        <v>2738</v>
      </c>
      <c r="M1176" s="157" t="str">
        <f t="shared" si="67"/>
        <v>К08103491</v>
      </c>
      <c r="N1176" s="3" t="s">
        <v>1842</v>
      </c>
      <c r="O1176" s="4" t="s">
        <v>2088</v>
      </c>
      <c r="P1176" s="1"/>
      <c r="U1176" s="153" t="s">
        <v>3646</v>
      </c>
      <c r="V1176" s="4"/>
      <c r="W1176" s="3"/>
    </row>
    <row r="1177" spans="1:23" x14ac:dyDescent="0.25">
      <c r="A1177" s="154">
        <v>1107</v>
      </c>
      <c r="B1177" s="1"/>
      <c r="C1177" s="1"/>
      <c r="D1177" s="158">
        <v>1165</v>
      </c>
      <c r="E1177" s="3" t="s">
        <v>2947</v>
      </c>
      <c r="F1177" s="43" t="s">
        <v>3401</v>
      </c>
      <c r="G1177" s="2" t="s">
        <v>2736</v>
      </c>
      <c r="H1177" s="2"/>
      <c r="I1177" s="156" t="str">
        <f t="shared" si="66"/>
        <v/>
      </c>
      <c r="J1177" s="156"/>
      <c r="K1177" s="156"/>
      <c r="L1177" s="2"/>
      <c r="M1177" s="157" t="str">
        <f t="shared" si="67"/>
        <v>К</v>
      </c>
      <c r="N1177" s="3" t="s">
        <v>1842</v>
      </c>
      <c r="O1177" s="4" t="s">
        <v>2088</v>
      </c>
      <c r="P1177" s="1"/>
      <c r="U1177" s="153" t="s">
        <v>3646</v>
      </c>
      <c r="V1177" s="4"/>
      <c r="W1177" s="3"/>
    </row>
    <row r="1178" spans="1:23" x14ac:dyDescent="0.25">
      <c r="A1178" s="158">
        <v>1108</v>
      </c>
      <c r="B1178" s="1"/>
      <c r="C1178" s="455" t="s">
        <v>3034</v>
      </c>
      <c r="D1178" s="158">
        <v>1166</v>
      </c>
      <c r="E1178" s="170" t="s">
        <v>499</v>
      </c>
      <c r="F1178" s="43" t="s">
        <v>2089</v>
      </c>
      <c r="G1178" s="2"/>
      <c r="H1178" s="178" t="s">
        <v>159</v>
      </c>
      <c r="I1178" s="156" t="str">
        <f t="shared" si="66"/>
        <v>2012</v>
      </c>
      <c r="J1178" s="156">
        <v>2012</v>
      </c>
      <c r="K1178" s="156"/>
      <c r="L1178" s="2" t="s">
        <v>2688</v>
      </c>
      <c r="M1178" s="157" t="str">
        <f t="shared" si="67"/>
        <v>К08106172</v>
      </c>
      <c r="N1178" s="3" t="s">
        <v>1842</v>
      </c>
      <c r="O1178" s="4" t="s">
        <v>2088</v>
      </c>
      <c r="P1178" s="1"/>
      <c r="U1178" s="153" t="s">
        <v>3646</v>
      </c>
      <c r="V1178" s="4"/>
      <c r="W1178" s="3"/>
    </row>
    <row r="1179" spans="1:23" x14ac:dyDescent="0.25">
      <c r="A1179" s="158">
        <v>1110</v>
      </c>
      <c r="B1179" s="1"/>
      <c r="C1179" s="457" t="s">
        <v>3034</v>
      </c>
      <c r="D1179" s="154">
        <v>1167</v>
      </c>
      <c r="E1179" s="3" t="s">
        <v>499</v>
      </c>
      <c r="F1179" s="43" t="s">
        <v>2085</v>
      </c>
      <c r="G1179" s="2" t="s">
        <v>2086</v>
      </c>
      <c r="H1179" s="178" t="s">
        <v>90</v>
      </c>
      <c r="I1179" s="156" t="str">
        <f t="shared" si="66"/>
        <v>2008</v>
      </c>
      <c r="J1179" s="156">
        <v>2008</v>
      </c>
      <c r="K1179" s="156"/>
      <c r="L1179" s="2" t="s">
        <v>2087</v>
      </c>
      <c r="M1179" s="157" t="str">
        <f t="shared" si="67"/>
        <v>К08102634</v>
      </c>
      <c r="N1179" s="3" t="s">
        <v>1842</v>
      </c>
      <c r="O1179" s="4" t="s">
        <v>2088</v>
      </c>
      <c r="P1179" s="1"/>
      <c r="U1179" s="1"/>
      <c r="V1179" s="4"/>
      <c r="W1179" s="3"/>
    </row>
    <row r="1180" spans="1:23" x14ac:dyDescent="0.25">
      <c r="A1180" s="154">
        <v>1111</v>
      </c>
      <c r="B1180" s="1"/>
      <c r="C1180" s="457" t="s">
        <v>3034</v>
      </c>
      <c r="D1180" s="158">
        <v>1168</v>
      </c>
      <c r="E1180" s="486" t="s">
        <v>3677</v>
      </c>
      <c r="F1180" s="43" t="s">
        <v>3462</v>
      </c>
      <c r="G1180" s="2"/>
      <c r="H1180" s="2"/>
      <c r="I1180" s="156" t="str">
        <f t="shared" si="66"/>
        <v/>
      </c>
      <c r="J1180" s="156"/>
      <c r="K1180" s="156"/>
      <c r="L1180" s="2"/>
      <c r="M1180" s="157" t="str">
        <f t="shared" si="67"/>
        <v>К</v>
      </c>
      <c r="N1180" s="3" t="s">
        <v>1842</v>
      </c>
      <c r="O1180" s="4" t="s">
        <v>2088</v>
      </c>
      <c r="P1180" s="1"/>
      <c r="U1180" s="1"/>
      <c r="V1180" s="4"/>
      <c r="W1180" s="3"/>
    </row>
    <row r="1181" spans="1:23" x14ac:dyDescent="0.25">
      <c r="A1181" s="158">
        <v>1112</v>
      </c>
      <c r="B1181" s="1"/>
      <c r="C1181" s="457" t="s">
        <v>3034</v>
      </c>
      <c r="D1181" s="154">
        <v>1169</v>
      </c>
      <c r="E1181" s="486" t="s">
        <v>3677</v>
      </c>
      <c r="F1181" s="43" t="s">
        <v>3461</v>
      </c>
      <c r="G1181" s="2" t="s">
        <v>2092</v>
      </c>
      <c r="H1181" s="2" t="s">
        <v>2058</v>
      </c>
      <c r="I1181" s="156" t="str">
        <f t="shared" si="66"/>
        <v>2017</v>
      </c>
      <c r="J1181" s="156">
        <v>2017</v>
      </c>
      <c r="K1181" s="156"/>
      <c r="L1181" s="2"/>
      <c r="M1181" s="157" t="str">
        <f t="shared" si="67"/>
        <v>К</v>
      </c>
      <c r="N1181" s="3" t="s">
        <v>1842</v>
      </c>
      <c r="O1181" s="181" t="s">
        <v>3738</v>
      </c>
      <c r="P1181" s="1"/>
      <c r="U1181" s="1"/>
      <c r="V1181" s="4"/>
      <c r="W1181" s="3"/>
    </row>
    <row r="1182" spans="1:23" x14ac:dyDescent="0.25">
      <c r="A1182" s="154">
        <v>1113</v>
      </c>
      <c r="B1182" s="456" t="s">
        <v>3552</v>
      </c>
      <c r="C1182" s="456"/>
      <c r="D1182" s="158">
        <v>1170</v>
      </c>
      <c r="E1182" s="3" t="s">
        <v>61</v>
      </c>
      <c r="F1182" s="43" t="s">
        <v>2990</v>
      </c>
      <c r="G1182" s="2" t="s">
        <v>2739</v>
      </c>
      <c r="H1182" s="2"/>
      <c r="I1182" s="156" t="str">
        <f t="shared" si="66"/>
        <v/>
      </c>
      <c r="J1182" s="156"/>
      <c r="K1182" s="156"/>
      <c r="L1182" s="2"/>
      <c r="M1182" s="157" t="str">
        <f t="shared" si="67"/>
        <v>К</v>
      </c>
      <c r="N1182" s="3" t="s">
        <v>1842</v>
      </c>
      <c r="O1182" s="4" t="s">
        <v>2088</v>
      </c>
      <c r="P1182" s="1"/>
      <c r="U1182" s="1"/>
      <c r="V1182" s="4"/>
      <c r="W1182" s="3"/>
    </row>
    <row r="1183" spans="1:23" x14ac:dyDescent="0.25">
      <c r="A1183" s="158">
        <v>1114</v>
      </c>
      <c r="B1183" s="1"/>
      <c r="C1183" s="1"/>
      <c r="D1183" s="154">
        <v>1171</v>
      </c>
      <c r="E1183" s="3" t="s">
        <v>2243</v>
      </c>
      <c r="F1183" s="43" t="s">
        <v>3402</v>
      </c>
      <c r="G1183" s="2" t="s">
        <v>2740</v>
      </c>
      <c r="H1183" s="2" t="s">
        <v>2741</v>
      </c>
      <c r="I1183" s="156" t="str">
        <f t="shared" si="66"/>
        <v>2008</v>
      </c>
      <c r="J1183" s="156">
        <v>2008</v>
      </c>
      <c r="K1183" s="156"/>
      <c r="L1183" s="2" t="s">
        <v>2742</v>
      </c>
      <c r="M1183" s="157" t="str">
        <f t="shared" si="67"/>
        <v>К08102612</v>
      </c>
      <c r="N1183" s="3" t="s">
        <v>1842</v>
      </c>
      <c r="O1183" s="4" t="s">
        <v>2088</v>
      </c>
      <c r="P1183" s="1"/>
      <c r="U1183" s="1"/>
      <c r="V1183" s="4"/>
      <c r="W1183" s="3"/>
    </row>
    <row r="1184" spans="1:23" x14ac:dyDescent="0.25">
      <c r="A1184" s="154">
        <v>1115</v>
      </c>
      <c r="B1184" s="1"/>
      <c r="C1184" s="1"/>
      <c r="D1184" s="158">
        <v>1172</v>
      </c>
      <c r="E1184" s="3" t="s">
        <v>2243</v>
      </c>
      <c r="F1184" s="43" t="s">
        <v>3403</v>
      </c>
      <c r="G1184" s="2" t="s">
        <v>2743</v>
      </c>
      <c r="H1184" s="2" t="s">
        <v>2744</v>
      </c>
      <c r="I1184" s="156" t="str">
        <f t="shared" si="66"/>
        <v>2019</v>
      </c>
      <c r="J1184" s="156">
        <v>2019</v>
      </c>
      <c r="K1184" s="156"/>
      <c r="L1184" s="2" t="s">
        <v>2745</v>
      </c>
      <c r="M1184" s="157" t="str">
        <f t="shared" si="67"/>
        <v>К08102613</v>
      </c>
      <c r="N1184" s="3" t="s">
        <v>1842</v>
      </c>
      <c r="O1184" s="4" t="s">
        <v>2088</v>
      </c>
      <c r="P1184" s="1"/>
      <c r="U1184" s="1"/>
      <c r="V1184" s="4"/>
      <c r="W1184" s="3"/>
    </row>
    <row r="1185" spans="1:23" x14ac:dyDescent="0.25">
      <c r="A1185" s="158">
        <v>1086</v>
      </c>
      <c r="B1185" s="1"/>
      <c r="C1185" s="1"/>
      <c r="D1185" s="158">
        <v>1173</v>
      </c>
      <c r="E1185" s="3" t="s">
        <v>2948</v>
      </c>
      <c r="F1185" s="43" t="s">
        <v>2994</v>
      </c>
      <c r="G1185" s="2" t="s">
        <v>2746</v>
      </c>
      <c r="H1185" s="2" t="s">
        <v>2139</v>
      </c>
      <c r="I1185" s="156" t="str">
        <f t="shared" si="66"/>
        <v>2019</v>
      </c>
      <c r="J1185" s="156">
        <v>2019</v>
      </c>
      <c r="K1185" s="156"/>
      <c r="L1185" s="2">
        <v>71012400291</v>
      </c>
      <c r="M1185" s="157" t="str">
        <f t="shared" si="67"/>
        <v>К71012400291</v>
      </c>
      <c r="N1185" s="3" t="s">
        <v>1842</v>
      </c>
      <c r="O1185" s="4" t="s">
        <v>2088</v>
      </c>
      <c r="P1185" s="1"/>
      <c r="U1185" s="1"/>
      <c r="V1185" s="4"/>
      <c r="W1185" s="3"/>
    </row>
    <row r="1186" spans="1:23" x14ac:dyDescent="0.25">
      <c r="A1186" s="158">
        <v>1116</v>
      </c>
      <c r="B1186" s="1"/>
      <c r="C1186" s="1"/>
      <c r="D1186" s="154">
        <v>1174</v>
      </c>
      <c r="E1186" s="3" t="s">
        <v>2949</v>
      </c>
      <c r="F1186" s="43" t="s">
        <v>3404</v>
      </c>
      <c r="G1186" s="2" t="s">
        <v>2747</v>
      </c>
      <c r="H1186" s="2"/>
      <c r="I1186" s="156" t="str">
        <f t="shared" si="66"/>
        <v/>
      </c>
      <c r="J1186" s="156"/>
      <c r="K1186" s="156"/>
      <c r="L1186" s="2" t="s">
        <v>2748</v>
      </c>
      <c r="M1186" s="157" t="str">
        <f t="shared" si="67"/>
        <v>К08102566</v>
      </c>
      <c r="N1186" s="3" t="s">
        <v>1842</v>
      </c>
      <c r="O1186" s="4" t="s">
        <v>2088</v>
      </c>
      <c r="P1186" s="1"/>
      <c r="U1186" s="1"/>
      <c r="V1186" s="4"/>
      <c r="W1186" s="3"/>
    </row>
    <row r="1187" spans="1:23" x14ac:dyDescent="0.25">
      <c r="A1187" s="154">
        <v>1117</v>
      </c>
      <c r="B1187" s="1"/>
      <c r="C1187" s="1"/>
      <c r="D1187" s="158">
        <v>1175</v>
      </c>
      <c r="E1187" s="3"/>
      <c r="F1187" s="3"/>
      <c r="G1187" s="2"/>
      <c r="H1187" s="2"/>
      <c r="I1187" s="156" t="str">
        <f t="shared" si="66"/>
        <v/>
      </c>
      <c r="J1187" s="156"/>
      <c r="K1187" s="156"/>
      <c r="L1187" s="2" t="s">
        <v>2749</v>
      </c>
      <c r="M1187" s="157" t="str">
        <f t="shared" si="67"/>
        <v>К08104775</v>
      </c>
      <c r="N1187" s="3" t="s">
        <v>1842</v>
      </c>
      <c r="O1187" s="4" t="s">
        <v>2088</v>
      </c>
      <c r="P1187" s="1"/>
      <c r="U1187" s="1"/>
      <c r="V1187" s="4"/>
      <c r="W1187" s="3"/>
    </row>
    <row r="1188" spans="1:23" x14ac:dyDescent="0.25">
      <c r="A1188" s="158">
        <v>1118</v>
      </c>
      <c r="B1188" s="456" t="s">
        <v>3552</v>
      </c>
      <c r="C1188" s="452" t="s">
        <v>3034</v>
      </c>
      <c r="D1188" s="154">
        <v>1178</v>
      </c>
      <c r="E1188" s="3" t="s">
        <v>2973</v>
      </c>
      <c r="F1188" s="43" t="s">
        <v>2987</v>
      </c>
      <c r="G1188" s="2" t="s">
        <v>2909</v>
      </c>
      <c r="H1188" s="2" t="s">
        <v>2910</v>
      </c>
      <c r="I1188" s="156" t="str">
        <f t="shared" si="66"/>
        <v>1990</v>
      </c>
      <c r="J1188" s="156">
        <v>1990</v>
      </c>
      <c r="K1188" s="156"/>
      <c r="L1188" s="2" t="s">
        <v>2911</v>
      </c>
      <c r="M1188" s="157" t="str">
        <f t="shared" si="67"/>
        <v>К01370010</v>
      </c>
      <c r="N1188" s="174" t="s">
        <v>3481</v>
      </c>
      <c r="O1188" s="4" t="s">
        <v>1263</v>
      </c>
      <c r="P1188" s="1"/>
      <c r="S1188" s="3"/>
      <c r="U1188" s="1"/>
      <c r="V1188" s="4"/>
      <c r="W1188" s="3"/>
    </row>
    <row r="1189" spans="1:23" x14ac:dyDescent="0.25">
      <c r="A1189" s="154">
        <v>1119</v>
      </c>
      <c r="B1189" s="456" t="s">
        <v>3552</v>
      </c>
      <c r="C1189" s="452" t="s">
        <v>3034</v>
      </c>
      <c r="D1189" s="158">
        <v>1182</v>
      </c>
      <c r="E1189" s="3" t="s">
        <v>1266</v>
      </c>
      <c r="F1189" s="43" t="s">
        <v>2984</v>
      </c>
      <c r="G1189" s="2" t="s">
        <v>2918</v>
      </c>
      <c r="H1189" s="2" t="s">
        <v>1370</v>
      </c>
      <c r="I1189" s="156" t="str">
        <f t="shared" si="66"/>
        <v>2001</v>
      </c>
      <c r="J1189" s="156">
        <v>2001</v>
      </c>
      <c r="K1189" s="156"/>
      <c r="L1189" s="2" t="s">
        <v>2919</v>
      </c>
      <c r="M1189" s="157" t="str">
        <f t="shared" si="67"/>
        <v>К01370643</v>
      </c>
      <c r="N1189" s="174" t="s">
        <v>3481</v>
      </c>
      <c r="O1189" s="4" t="s">
        <v>1263</v>
      </c>
      <c r="P1189" s="1"/>
      <c r="S1189" s="3"/>
      <c r="U1189" s="1"/>
      <c r="V1189" s="4"/>
      <c r="W1189" s="3"/>
    </row>
    <row r="1190" spans="1:23" x14ac:dyDescent="0.25">
      <c r="A1190" s="158">
        <v>1120</v>
      </c>
      <c r="B1190" s="1"/>
      <c r="C1190" s="1"/>
      <c r="D1190" s="158">
        <v>1235</v>
      </c>
      <c r="E1190" s="3" t="s">
        <v>2958</v>
      </c>
      <c r="F1190" s="43" t="s">
        <v>2791</v>
      </c>
      <c r="G1190" s="2" t="s">
        <v>1307</v>
      </c>
      <c r="H1190" s="2" t="s">
        <v>1355</v>
      </c>
      <c r="I1190" s="156" t="str">
        <f t="shared" si="66"/>
        <v>2002</v>
      </c>
      <c r="J1190" s="156">
        <v>2002</v>
      </c>
      <c r="K1190" s="156"/>
      <c r="L1190" s="2" t="s">
        <v>2792</v>
      </c>
      <c r="M1190" s="157" t="str">
        <f t="shared" si="67"/>
        <v>К01370670</v>
      </c>
      <c r="N1190" s="174" t="s">
        <v>3481</v>
      </c>
      <c r="O1190" s="4" t="s">
        <v>766</v>
      </c>
      <c r="P1190" s="1"/>
      <c r="U1190" s="1"/>
      <c r="V1190" s="4"/>
      <c r="W1190" s="3"/>
    </row>
    <row r="1191" spans="1:23" x14ac:dyDescent="0.25">
      <c r="A1191" s="154">
        <v>1121</v>
      </c>
      <c r="B1191" s="1"/>
      <c r="C1191" s="1"/>
      <c r="D1191" s="158">
        <v>1236</v>
      </c>
      <c r="E1191" s="3" t="s">
        <v>2958</v>
      </c>
      <c r="F1191" s="43" t="s">
        <v>3416</v>
      </c>
      <c r="G1191" s="2" t="s">
        <v>2790</v>
      </c>
      <c r="H1191" s="2" t="s">
        <v>1355</v>
      </c>
      <c r="I1191" s="156" t="str">
        <f t="shared" si="66"/>
        <v>2002</v>
      </c>
      <c r="J1191" s="156">
        <v>2002</v>
      </c>
      <c r="K1191" s="156"/>
      <c r="L1191" s="2"/>
      <c r="M1191" s="157" t="str">
        <f t="shared" si="67"/>
        <v>К</v>
      </c>
      <c r="N1191" s="174" t="s">
        <v>3481</v>
      </c>
      <c r="O1191" s="4" t="s">
        <v>766</v>
      </c>
      <c r="P1191" s="1"/>
      <c r="U1191" s="1"/>
      <c r="V1191" s="4"/>
      <c r="W1191" s="3"/>
    </row>
    <row r="1192" spans="1:23" x14ac:dyDescent="0.25">
      <c r="A1192" s="158">
        <v>1122</v>
      </c>
      <c r="B1192" s="1"/>
      <c r="C1192" s="1"/>
      <c r="D1192" s="154">
        <v>1265</v>
      </c>
      <c r="E1192" s="3" t="s">
        <v>141</v>
      </c>
      <c r="F1192" s="3"/>
      <c r="G1192" s="2"/>
      <c r="H1192" s="589" t="s">
        <v>550</v>
      </c>
      <c r="I1192" s="156" t="str">
        <f t="shared" si="66"/>
        <v>2005</v>
      </c>
      <c r="J1192" s="156">
        <v>2005</v>
      </c>
      <c r="K1192" s="156"/>
      <c r="L1192" s="2" t="s">
        <v>1887</v>
      </c>
      <c r="M1192" s="157" t="str">
        <f t="shared" si="67"/>
        <v>К04700133</v>
      </c>
      <c r="N1192" s="174" t="s">
        <v>3481</v>
      </c>
      <c r="O1192" s="4" t="s">
        <v>1888</v>
      </c>
      <c r="P1192" s="1"/>
      <c r="U1192" s="1"/>
      <c r="V1192" s="4"/>
      <c r="W1192" s="3"/>
    </row>
    <row r="1193" spans="1:23" x14ac:dyDescent="0.25">
      <c r="A1193" s="154">
        <v>1123</v>
      </c>
      <c r="B1193" s="1"/>
      <c r="C1193" s="452"/>
      <c r="D1193" s="158">
        <v>1191</v>
      </c>
      <c r="E1193" s="3" t="s">
        <v>512</v>
      </c>
      <c r="F1193" s="43" t="s">
        <v>350</v>
      </c>
      <c r="G1193" s="2" t="s">
        <v>2830</v>
      </c>
      <c r="H1193" s="2" t="s">
        <v>464</v>
      </c>
      <c r="I1193" s="156" t="str">
        <f t="shared" si="66"/>
        <v>2006</v>
      </c>
      <c r="J1193" s="156">
        <v>2006</v>
      </c>
      <c r="K1193" s="156"/>
      <c r="L1193" s="2" t="s">
        <v>728</v>
      </c>
      <c r="M1193" s="157" t="str">
        <f t="shared" si="67"/>
        <v>К04700005</v>
      </c>
      <c r="N1193" s="174" t="s">
        <v>3481</v>
      </c>
      <c r="O1193" s="4" t="s">
        <v>2831</v>
      </c>
      <c r="P1193" s="1"/>
      <c r="R1193" s="295" t="s">
        <v>3971</v>
      </c>
      <c r="S1193" s="310">
        <v>40525</v>
      </c>
      <c r="U1193" s="1"/>
      <c r="V1193" s="4"/>
      <c r="W1193" s="3"/>
    </row>
    <row r="1194" spans="1:23" x14ac:dyDescent="0.25">
      <c r="A1194" s="158">
        <v>1124</v>
      </c>
      <c r="B1194" s="1"/>
      <c r="C1194" s="1"/>
      <c r="D1194" s="154">
        <v>1255</v>
      </c>
      <c r="E1194" s="3" t="s">
        <v>2970</v>
      </c>
      <c r="F1194" s="43" t="s">
        <v>2991</v>
      </c>
      <c r="G1194" s="2" t="s">
        <v>2883</v>
      </c>
      <c r="H1194" s="178" t="s">
        <v>464</v>
      </c>
      <c r="I1194" s="156">
        <v>2006</v>
      </c>
      <c r="J1194" s="156">
        <v>2006</v>
      </c>
      <c r="K1194" s="156"/>
      <c r="L1194" s="2" t="s">
        <v>2884</v>
      </c>
      <c r="M1194" s="157" t="str">
        <f t="shared" si="67"/>
        <v>К04101965</v>
      </c>
      <c r="N1194" s="174" t="s">
        <v>3481</v>
      </c>
      <c r="O1194" s="4" t="s">
        <v>706</v>
      </c>
      <c r="P1194" s="1"/>
      <c r="U1194" s="1"/>
      <c r="V1194" s="4"/>
      <c r="W1194" s="3"/>
    </row>
    <row r="1195" spans="1:23" x14ac:dyDescent="0.25">
      <c r="A1195" s="154">
        <v>1261</v>
      </c>
      <c r="B1195" s="1"/>
      <c r="C1195" s="457" t="s">
        <v>3693</v>
      </c>
      <c r="D1195" s="154">
        <v>1514</v>
      </c>
      <c r="E1195" s="3" t="s">
        <v>512</v>
      </c>
      <c r="F1195" s="3" t="s">
        <v>726</v>
      </c>
      <c r="G1195" s="463" t="s">
        <v>727</v>
      </c>
      <c r="H1195" s="469" t="s">
        <v>464</v>
      </c>
      <c r="I1195" s="156" t="str">
        <f t="shared" ref="I1195:I1226" si="68">RIGHT(H1195,4)</f>
        <v>2006</v>
      </c>
      <c r="J1195" s="156">
        <v>2006</v>
      </c>
      <c r="K1195" s="156"/>
      <c r="L1195" s="2" t="s">
        <v>728</v>
      </c>
      <c r="M1195" s="157" t="str">
        <f t="shared" si="67"/>
        <v>К04700005</v>
      </c>
      <c r="N1195" s="482" t="s">
        <v>5309</v>
      </c>
      <c r="O1195" s="483" t="s">
        <v>515</v>
      </c>
      <c r="P1195" s="1"/>
      <c r="R1195" s="295" t="s">
        <v>3971</v>
      </c>
      <c r="S1195" s="310">
        <v>40525</v>
      </c>
      <c r="U1195" s="1"/>
      <c r="V1195" s="4"/>
      <c r="W1195" s="3"/>
    </row>
    <row r="1196" spans="1:23" x14ac:dyDescent="0.25">
      <c r="A1196" s="158">
        <v>1262</v>
      </c>
      <c r="B1196" s="1"/>
      <c r="C1196" s="452" t="s">
        <v>3693</v>
      </c>
      <c r="D1196" s="154">
        <v>1192</v>
      </c>
      <c r="E1196" s="3" t="s">
        <v>512</v>
      </c>
      <c r="F1196" s="43" t="s">
        <v>3001</v>
      </c>
      <c r="G1196" s="463" t="s">
        <v>2832</v>
      </c>
      <c r="H1196" s="2" t="s">
        <v>232</v>
      </c>
      <c r="I1196" s="156" t="str">
        <f t="shared" si="68"/>
        <v>2007</v>
      </c>
      <c r="J1196" s="156">
        <v>2007</v>
      </c>
      <c r="K1196" s="156"/>
      <c r="L1196" s="2" t="s">
        <v>2833</v>
      </c>
      <c r="M1196" s="157" t="str">
        <f t="shared" si="67"/>
        <v>К04700280</v>
      </c>
      <c r="N1196" s="174" t="s">
        <v>3481</v>
      </c>
      <c r="O1196" s="4" t="s">
        <v>2831</v>
      </c>
      <c r="P1196" s="1"/>
      <c r="R1196" s="262" t="s">
        <v>3971</v>
      </c>
      <c r="S1196" s="263">
        <v>40525</v>
      </c>
      <c r="U1196" s="1"/>
      <c r="V1196" s="4"/>
      <c r="W1196" s="3"/>
    </row>
    <row r="1197" spans="1:23" x14ac:dyDescent="0.25">
      <c r="A1197" s="154">
        <v>1263</v>
      </c>
      <c r="B1197" s="1"/>
      <c r="C1197" s="452" t="s">
        <v>3034</v>
      </c>
      <c r="D1197" s="154">
        <v>1199</v>
      </c>
      <c r="E1197" s="170" t="s">
        <v>3728</v>
      </c>
      <c r="F1197" s="170" t="s">
        <v>2996</v>
      </c>
      <c r="G1197" s="2" t="s">
        <v>2863</v>
      </c>
      <c r="H1197" s="2" t="s">
        <v>2864</v>
      </c>
      <c r="I1197" s="156" t="str">
        <f t="shared" si="68"/>
        <v>2007</v>
      </c>
      <c r="J1197" s="156">
        <v>2007</v>
      </c>
      <c r="K1197" s="156"/>
      <c r="L1197" s="2" t="s">
        <v>2865</v>
      </c>
      <c r="M1197" s="157" t="str">
        <f t="shared" si="67"/>
        <v>К04700269</v>
      </c>
      <c r="N1197" s="174" t="s">
        <v>3481</v>
      </c>
      <c r="O1197" s="4" t="s">
        <v>2028</v>
      </c>
      <c r="P1197" s="1"/>
      <c r="R1197" s="594" t="s">
        <v>3726</v>
      </c>
      <c r="S1197" s="595" t="s">
        <v>3727</v>
      </c>
      <c r="U1197" s="1"/>
      <c r="V1197" s="4"/>
      <c r="W1197" s="3"/>
    </row>
    <row r="1198" spans="1:23" x14ac:dyDescent="0.25">
      <c r="A1198" s="158">
        <v>1264</v>
      </c>
      <c r="B1198" s="1"/>
      <c r="C1198" s="452" t="s">
        <v>3693</v>
      </c>
      <c r="D1198" s="154">
        <v>1234</v>
      </c>
      <c r="E1198" s="3" t="s">
        <v>531</v>
      </c>
      <c r="F1198" s="3" t="s">
        <v>532</v>
      </c>
      <c r="G1198" s="2" t="s">
        <v>2835</v>
      </c>
      <c r="H1198" s="2" t="s">
        <v>232</v>
      </c>
      <c r="I1198" s="156" t="str">
        <f t="shared" si="68"/>
        <v>2007</v>
      </c>
      <c r="J1198" s="156">
        <v>2007</v>
      </c>
      <c r="K1198" s="156"/>
      <c r="L1198" s="2" t="s">
        <v>2833</v>
      </c>
      <c r="M1198" s="157" t="str">
        <f t="shared" si="67"/>
        <v>К04700280</v>
      </c>
      <c r="N1198" s="174" t="s">
        <v>3481</v>
      </c>
      <c r="O1198" s="4" t="s">
        <v>2831</v>
      </c>
      <c r="P1198" s="1"/>
      <c r="U1198" s="1"/>
      <c r="V1198" s="4"/>
      <c r="W1198" s="3"/>
    </row>
    <row r="1199" spans="1:23" x14ac:dyDescent="0.25">
      <c r="A1199" s="154">
        <v>1265</v>
      </c>
      <c r="B1199" s="456" t="s">
        <v>3552</v>
      </c>
      <c r="C1199" s="452" t="s">
        <v>3693</v>
      </c>
      <c r="D1199" s="154">
        <v>1258</v>
      </c>
      <c r="E1199" s="3" t="s">
        <v>444</v>
      </c>
      <c r="F1199" s="459" t="s">
        <v>445</v>
      </c>
      <c r="G1199" s="2" t="s">
        <v>752</v>
      </c>
      <c r="H1199" s="2" t="s">
        <v>232</v>
      </c>
      <c r="I1199" s="156" t="str">
        <f t="shared" si="68"/>
        <v>2007</v>
      </c>
      <c r="J1199" s="156">
        <v>2007</v>
      </c>
      <c r="K1199" s="156"/>
      <c r="L1199" s="2" t="s">
        <v>753</v>
      </c>
      <c r="M1199" s="157" t="str">
        <f t="shared" si="67"/>
        <v>К04700277</v>
      </c>
      <c r="N1199" s="174" t="s">
        <v>3481</v>
      </c>
      <c r="O1199" s="527" t="s">
        <v>5505</v>
      </c>
      <c r="P1199" s="1"/>
      <c r="R1199" s="170" t="s">
        <v>3740</v>
      </c>
      <c r="S1199" s="455" t="s">
        <v>3741</v>
      </c>
      <c r="U1199" s="1"/>
      <c r="V1199" s="4"/>
      <c r="W1199" s="3"/>
    </row>
    <row r="1200" spans="1:23" x14ac:dyDescent="0.25">
      <c r="A1200" s="158">
        <v>1266</v>
      </c>
      <c r="B1200" s="456" t="s">
        <v>3552</v>
      </c>
      <c r="C1200" s="452" t="s">
        <v>3693</v>
      </c>
      <c r="D1200" s="158">
        <v>1259</v>
      </c>
      <c r="E1200" s="3" t="s">
        <v>444</v>
      </c>
      <c r="F1200" s="459" t="s">
        <v>445</v>
      </c>
      <c r="G1200" s="2" t="s">
        <v>2841</v>
      </c>
      <c r="H1200" s="2" t="s">
        <v>232</v>
      </c>
      <c r="I1200" s="156" t="str">
        <f t="shared" si="68"/>
        <v>2007</v>
      </c>
      <c r="J1200" s="156">
        <v>2007</v>
      </c>
      <c r="K1200" s="156"/>
      <c r="L1200" s="2" t="s">
        <v>2842</v>
      </c>
      <c r="M1200" s="157" t="str">
        <f t="shared" si="67"/>
        <v>К08102709</v>
      </c>
      <c r="N1200" s="174" t="s">
        <v>3481</v>
      </c>
      <c r="O1200" s="4" t="s">
        <v>2831</v>
      </c>
      <c r="P1200" s="1"/>
      <c r="R1200" s="170" t="s">
        <v>3740</v>
      </c>
      <c r="S1200" s="455" t="s">
        <v>3741</v>
      </c>
      <c r="U1200" s="1"/>
      <c r="V1200" s="4"/>
      <c r="W1200" s="3"/>
    </row>
    <row r="1201" spans="1:23" x14ac:dyDescent="0.25">
      <c r="A1201" s="154">
        <v>1267</v>
      </c>
      <c r="B1201" s="1"/>
      <c r="C1201" s="452" t="s">
        <v>3034</v>
      </c>
      <c r="D1201" s="158">
        <v>1310</v>
      </c>
      <c r="E1201" s="3" t="s">
        <v>897</v>
      </c>
      <c r="F1201" s="43" t="s">
        <v>3407</v>
      </c>
      <c r="G1201" s="2" t="s">
        <v>2756</v>
      </c>
      <c r="H1201" s="2" t="s">
        <v>232</v>
      </c>
      <c r="I1201" s="156" t="str">
        <f t="shared" si="68"/>
        <v>2007</v>
      </c>
      <c r="J1201" s="156">
        <v>2007</v>
      </c>
      <c r="K1201" s="156"/>
      <c r="L1201" s="2" t="s">
        <v>2757</v>
      </c>
      <c r="M1201" s="157" t="str">
        <f t="shared" si="67"/>
        <v>К04700254</v>
      </c>
      <c r="N1201" s="174" t="s">
        <v>3481</v>
      </c>
      <c r="O1201" s="4" t="s">
        <v>766</v>
      </c>
      <c r="P1201" s="1">
        <v>3</v>
      </c>
      <c r="U1201" s="1"/>
      <c r="V1201" s="4"/>
      <c r="W1201" s="3"/>
    </row>
    <row r="1202" spans="1:23" x14ac:dyDescent="0.25">
      <c r="A1202" s="158">
        <v>1268</v>
      </c>
      <c r="B1202" s="456" t="s">
        <v>3552</v>
      </c>
      <c r="C1202" s="452" t="s">
        <v>3034</v>
      </c>
      <c r="D1202" s="158">
        <v>1329</v>
      </c>
      <c r="E1202" s="3" t="s">
        <v>325</v>
      </c>
      <c r="F1202" s="43" t="s">
        <v>1936</v>
      </c>
      <c r="G1202" s="2" t="s">
        <v>2878</v>
      </c>
      <c r="H1202" s="2" t="s">
        <v>232</v>
      </c>
      <c r="I1202" s="156" t="str">
        <f t="shared" si="68"/>
        <v>2007</v>
      </c>
      <c r="J1202" s="156">
        <v>2007</v>
      </c>
      <c r="K1202" s="156"/>
      <c r="L1202" s="2" t="s">
        <v>2879</v>
      </c>
      <c r="M1202" s="157" t="str">
        <f t="shared" si="67"/>
        <v>К04700331</v>
      </c>
      <c r="N1202" s="174" t="s">
        <v>3481</v>
      </c>
      <c r="O1202" s="4" t="s">
        <v>1076</v>
      </c>
      <c r="P1202" s="1"/>
      <c r="U1202" s="1"/>
      <c r="V1202" s="4"/>
      <c r="W1202" s="3"/>
    </row>
    <row r="1203" spans="1:23" x14ac:dyDescent="0.25">
      <c r="A1203" s="158">
        <v>1126</v>
      </c>
      <c r="B1203" s="1"/>
      <c r="C1203" s="457" t="s">
        <v>3034</v>
      </c>
      <c r="D1203" s="154">
        <v>1197</v>
      </c>
      <c r="E1203" s="170" t="s">
        <v>3728</v>
      </c>
      <c r="F1203" s="43" t="s">
        <v>3399</v>
      </c>
      <c r="G1203" s="2" t="s">
        <v>2807</v>
      </c>
      <c r="H1203" s="2" t="s">
        <v>2808</v>
      </c>
      <c r="I1203" s="156" t="str">
        <f t="shared" si="68"/>
        <v>2008</v>
      </c>
      <c r="J1203" s="156">
        <v>2008</v>
      </c>
      <c r="K1203" s="156"/>
      <c r="L1203" s="2" t="s">
        <v>2809</v>
      </c>
      <c r="M1203" s="157" t="str">
        <f t="shared" si="67"/>
        <v>К08104140</v>
      </c>
      <c r="N1203" s="174" t="s">
        <v>3481</v>
      </c>
      <c r="O1203" s="4" t="s">
        <v>766</v>
      </c>
      <c r="P1203" s="1"/>
      <c r="R1203" s="170" t="s">
        <v>3729</v>
      </c>
      <c r="S1203" s="455" t="s">
        <v>3730</v>
      </c>
      <c r="U1203" s="1"/>
      <c r="V1203" s="4"/>
      <c r="W1203" s="3"/>
    </row>
    <row r="1204" spans="1:23" x14ac:dyDescent="0.25">
      <c r="A1204" s="154">
        <v>1127</v>
      </c>
      <c r="B1204" s="1"/>
      <c r="C1204" s="457" t="s">
        <v>3034</v>
      </c>
      <c r="D1204" s="158">
        <v>1198</v>
      </c>
      <c r="E1204" s="170" t="s">
        <v>3728</v>
      </c>
      <c r="F1204" s="43" t="s">
        <v>3399</v>
      </c>
      <c r="G1204" s="2" t="s">
        <v>2805</v>
      </c>
      <c r="H1204" s="2" t="s">
        <v>2808</v>
      </c>
      <c r="I1204" s="156" t="str">
        <f t="shared" si="68"/>
        <v>2008</v>
      </c>
      <c r="J1204" s="156">
        <v>2008</v>
      </c>
      <c r="K1204" s="156"/>
      <c r="L1204" s="2" t="s">
        <v>2806</v>
      </c>
      <c r="M1204" s="157" t="str">
        <f t="shared" si="67"/>
        <v>К08104339</v>
      </c>
      <c r="N1204" s="174" t="s">
        <v>3481</v>
      </c>
      <c r="O1204" s="4" t="s">
        <v>766</v>
      </c>
      <c r="P1204" s="1"/>
      <c r="R1204" s="170" t="s">
        <v>3729</v>
      </c>
      <c r="S1204" s="455" t="s">
        <v>3730</v>
      </c>
      <c r="U1204" s="1"/>
      <c r="V1204" s="4"/>
      <c r="W1204" s="3"/>
    </row>
    <row r="1205" spans="1:23" x14ac:dyDescent="0.25">
      <c r="A1205" s="158">
        <v>1128</v>
      </c>
      <c r="B1205" s="1"/>
      <c r="C1205" s="452"/>
      <c r="D1205" s="158">
        <v>1256</v>
      </c>
      <c r="E1205" s="3" t="s">
        <v>516</v>
      </c>
      <c r="F1205" s="3" t="s">
        <v>544</v>
      </c>
      <c r="G1205" s="2" t="s">
        <v>2838</v>
      </c>
      <c r="H1205" s="2" t="s">
        <v>90</v>
      </c>
      <c r="I1205" s="156" t="str">
        <f t="shared" si="68"/>
        <v>2008</v>
      </c>
      <c r="J1205" s="156">
        <v>2008</v>
      </c>
      <c r="K1205" s="156"/>
      <c r="L1205" s="2" t="s">
        <v>758</v>
      </c>
      <c r="M1205" s="157" t="str">
        <f t="shared" si="67"/>
        <v>К08103941</v>
      </c>
      <c r="N1205" s="174" t="s">
        <v>3481</v>
      </c>
      <c r="O1205" s="4" t="s">
        <v>2831</v>
      </c>
      <c r="P1205" s="1"/>
      <c r="R1205" s="170" t="s">
        <v>3746</v>
      </c>
      <c r="S1205" s="455" t="s">
        <v>3747</v>
      </c>
      <c r="U1205" s="1"/>
      <c r="V1205" s="4"/>
      <c r="W1205" s="3"/>
    </row>
    <row r="1206" spans="1:23" x14ac:dyDescent="0.25">
      <c r="A1206" s="154">
        <v>1129</v>
      </c>
      <c r="B1206" s="1"/>
      <c r="C1206" s="1"/>
      <c r="D1206" s="154">
        <v>1269</v>
      </c>
      <c r="E1206" s="3" t="s">
        <v>24</v>
      </c>
      <c r="F1206" s="3" t="s">
        <v>1084</v>
      </c>
      <c r="G1206" s="2"/>
      <c r="H1206" s="2" t="s">
        <v>90</v>
      </c>
      <c r="I1206" s="156" t="str">
        <f t="shared" si="68"/>
        <v>2008</v>
      </c>
      <c r="J1206" s="156"/>
      <c r="K1206" s="156"/>
      <c r="L1206" s="2" t="s">
        <v>2800</v>
      </c>
      <c r="M1206" s="157" t="str">
        <f t="shared" si="67"/>
        <v>К08102437_3</v>
      </c>
      <c r="N1206" s="174" t="s">
        <v>3481</v>
      </c>
      <c r="O1206" s="4" t="s">
        <v>766</v>
      </c>
      <c r="P1206" s="1"/>
      <c r="U1206" s="1"/>
      <c r="V1206" s="4"/>
      <c r="W1206" s="3"/>
    </row>
    <row r="1207" spans="1:23" x14ac:dyDescent="0.25">
      <c r="A1207" s="154">
        <v>1269</v>
      </c>
      <c r="B1207" s="1"/>
      <c r="C1207" s="1"/>
      <c r="D1207" s="158">
        <v>1326</v>
      </c>
      <c r="E1207" s="3" t="s">
        <v>503</v>
      </c>
      <c r="F1207" s="43" t="s">
        <v>3428</v>
      </c>
      <c r="G1207" s="2" t="s">
        <v>2823</v>
      </c>
      <c r="H1207" s="2" t="s">
        <v>90</v>
      </c>
      <c r="I1207" s="156" t="str">
        <f t="shared" si="68"/>
        <v>2008</v>
      </c>
      <c r="J1207" s="156">
        <v>2008</v>
      </c>
      <c r="K1207" s="156"/>
      <c r="L1207" s="2" t="s">
        <v>2824</v>
      </c>
      <c r="M1207" s="157" t="str">
        <f t="shared" si="67"/>
        <v>К08102451_3</v>
      </c>
      <c r="N1207" s="174" t="s">
        <v>3481</v>
      </c>
      <c r="O1207" s="4" t="s">
        <v>766</v>
      </c>
      <c r="P1207" s="1"/>
      <c r="U1207" s="1"/>
      <c r="V1207" s="4"/>
      <c r="W1207" s="3"/>
    </row>
    <row r="1208" spans="1:23" x14ac:dyDescent="0.25">
      <c r="A1208" s="158">
        <v>1270</v>
      </c>
      <c r="B1208" s="456" t="s">
        <v>3552</v>
      </c>
      <c r="C1208" s="452" t="s">
        <v>3034</v>
      </c>
      <c r="D1208" s="154">
        <v>1188</v>
      </c>
      <c r="E1208" s="3" t="s">
        <v>2977</v>
      </c>
      <c r="F1208" s="3" t="s">
        <v>1288</v>
      </c>
      <c r="G1208" s="2" t="s">
        <v>2922</v>
      </c>
      <c r="H1208" s="2" t="s">
        <v>79</v>
      </c>
      <c r="I1208" s="156" t="str">
        <f t="shared" si="68"/>
        <v>2009</v>
      </c>
      <c r="J1208" s="156">
        <v>2009</v>
      </c>
      <c r="K1208" s="156"/>
      <c r="L1208" s="2" t="s">
        <v>2923</v>
      </c>
      <c r="M1208" s="157" t="str">
        <f t="shared" si="67"/>
        <v>К08102682</v>
      </c>
      <c r="N1208" s="174" t="s">
        <v>3481</v>
      </c>
      <c r="O1208" s="4" t="s">
        <v>1263</v>
      </c>
      <c r="P1208" s="1"/>
      <c r="S1208" s="3"/>
      <c r="U1208" s="1"/>
      <c r="V1208" s="4"/>
      <c r="W1208" s="3"/>
    </row>
    <row r="1209" spans="1:23" x14ac:dyDescent="0.25">
      <c r="A1209" s="158">
        <v>1130</v>
      </c>
      <c r="B1209" s="136" t="s">
        <v>3552</v>
      </c>
      <c r="C1209" s="136"/>
      <c r="D1209" s="158">
        <v>1215</v>
      </c>
      <c r="E1209" s="138" t="s">
        <v>3555</v>
      </c>
      <c r="F1209" s="43" t="s">
        <v>2151</v>
      </c>
      <c r="G1209" s="2" t="s">
        <v>2897</v>
      </c>
      <c r="H1209" s="2" t="s">
        <v>2898</v>
      </c>
      <c r="I1209" s="156" t="str">
        <f t="shared" si="68"/>
        <v>2009</v>
      </c>
      <c r="J1209" s="156"/>
      <c r="K1209" s="156"/>
      <c r="L1209" s="2" t="s">
        <v>2899</v>
      </c>
      <c r="M1209" s="157" t="str">
        <f t="shared" si="67"/>
        <v>К08102124</v>
      </c>
      <c r="N1209" s="174" t="s">
        <v>3481</v>
      </c>
      <c r="O1209" s="4" t="s">
        <v>1081</v>
      </c>
      <c r="P1209" s="1"/>
      <c r="U1209" s="1"/>
      <c r="V1209" s="4"/>
      <c r="W1209" s="3"/>
    </row>
    <row r="1210" spans="1:23" x14ac:dyDescent="0.25">
      <c r="A1210" s="158">
        <v>544</v>
      </c>
      <c r="B1210" s="456" t="s">
        <v>3552</v>
      </c>
      <c r="C1210" s="452" t="s">
        <v>3693</v>
      </c>
      <c r="D1210" s="158">
        <v>1222</v>
      </c>
      <c r="E1210" s="3" t="s">
        <v>370</v>
      </c>
      <c r="F1210" s="3" t="s">
        <v>459</v>
      </c>
      <c r="G1210" s="469" t="s">
        <v>5343</v>
      </c>
      <c r="H1210" s="469" t="s">
        <v>79</v>
      </c>
      <c r="I1210" s="156" t="str">
        <f t="shared" si="68"/>
        <v>2009</v>
      </c>
      <c r="J1210" s="156">
        <v>2009</v>
      </c>
      <c r="K1210" s="156"/>
      <c r="L1210" s="2"/>
      <c r="M1210" s="157" t="str">
        <f t="shared" si="67"/>
        <v>К</v>
      </c>
      <c r="N1210" s="174" t="s">
        <v>3481</v>
      </c>
      <c r="O1210" s="4" t="s">
        <v>515</v>
      </c>
      <c r="P1210" s="1"/>
      <c r="U1210" s="1"/>
      <c r="V1210" s="4"/>
      <c r="W1210" s="3"/>
    </row>
    <row r="1211" spans="1:23" x14ac:dyDescent="0.25">
      <c r="A1211" s="158">
        <v>742</v>
      </c>
      <c r="B1211" s="1"/>
      <c r="C1211" s="452" t="s">
        <v>3640</v>
      </c>
      <c r="D1211" s="154">
        <v>1325</v>
      </c>
      <c r="E1211" s="3" t="s">
        <v>2320</v>
      </c>
      <c r="F1211" s="3" t="s">
        <v>1874</v>
      </c>
      <c r="G1211" s="2" t="s">
        <v>1875</v>
      </c>
      <c r="H1211" s="2" t="s">
        <v>1876</v>
      </c>
      <c r="I1211" s="156" t="str">
        <f t="shared" si="68"/>
        <v>2009</v>
      </c>
      <c r="J1211" s="156"/>
      <c r="K1211" s="156"/>
      <c r="L1211" s="2"/>
      <c r="M1211" s="157" t="str">
        <f t="shared" si="67"/>
        <v>К</v>
      </c>
      <c r="N1211" s="174" t="s">
        <v>3481</v>
      </c>
      <c r="O1211" s="4" t="s">
        <v>1877</v>
      </c>
      <c r="P1211" s="1"/>
      <c r="U1211" s="1"/>
      <c r="V1211" s="4"/>
      <c r="W1211" s="3"/>
    </row>
    <row r="1212" spans="1:23" x14ac:dyDescent="0.25">
      <c r="A1212" s="154">
        <v>1131</v>
      </c>
      <c r="B1212" s="1"/>
      <c r="C1212" s="452" t="s">
        <v>3034</v>
      </c>
      <c r="D1212" s="158">
        <v>1196</v>
      </c>
      <c r="E1212" s="3" t="s">
        <v>352</v>
      </c>
      <c r="F1212" s="43" t="s">
        <v>3406</v>
      </c>
      <c r="G1212" s="2" t="s">
        <v>2754</v>
      </c>
      <c r="H1212" s="2" t="s">
        <v>1749</v>
      </c>
      <c r="I1212" s="156" t="str">
        <f t="shared" si="68"/>
        <v>2011</v>
      </c>
      <c r="J1212" s="156">
        <v>2011</v>
      </c>
      <c r="K1212" s="156"/>
      <c r="L1212" s="2" t="s">
        <v>2755</v>
      </c>
      <c r="M1212" s="157" t="str">
        <f t="shared" si="67"/>
        <v>К08103545</v>
      </c>
      <c r="N1212" s="174" t="s">
        <v>3481</v>
      </c>
      <c r="O1212" s="4" t="s">
        <v>766</v>
      </c>
      <c r="P1212" s="1">
        <v>3</v>
      </c>
      <c r="U1212" s="1"/>
      <c r="V1212" s="4"/>
      <c r="W1212" s="3"/>
    </row>
    <row r="1213" spans="1:23" x14ac:dyDescent="0.25">
      <c r="A1213" s="158">
        <v>1132</v>
      </c>
      <c r="B1213" s="1"/>
      <c r="C1213" s="1"/>
      <c r="D1213" s="154">
        <v>1209</v>
      </c>
      <c r="E1213" s="3" t="s">
        <v>2956</v>
      </c>
      <c r="F1213" s="43" t="s">
        <v>3414</v>
      </c>
      <c r="G1213" s="2" t="s">
        <v>2779</v>
      </c>
      <c r="H1213" s="2" t="s">
        <v>895</v>
      </c>
      <c r="I1213" s="156" t="str">
        <f t="shared" si="68"/>
        <v>2011</v>
      </c>
      <c r="J1213" s="156">
        <v>2011</v>
      </c>
      <c r="K1213" s="156"/>
      <c r="L1213" s="2" t="s">
        <v>2758</v>
      </c>
      <c r="M1213" s="157" t="str">
        <f t="shared" si="67"/>
        <v>К08106006</v>
      </c>
      <c r="N1213" s="174" t="s">
        <v>3481</v>
      </c>
      <c r="O1213" s="4" t="s">
        <v>766</v>
      </c>
      <c r="P1213" s="1"/>
      <c r="U1213" s="1"/>
      <c r="V1213" s="4"/>
      <c r="W1213" s="3"/>
    </row>
    <row r="1214" spans="1:23" x14ac:dyDescent="0.25">
      <c r="A1214" s="154">
        <v>1133</v>
      </c>
      <c r="B1214" s="1"/>
      <c r="C1214" s="1"/>
      <c r="D1214" s="158">
        <v>1219</v>
      </c>
      <c r="E1214" s="170" t="s">
        <v>3739</v>
      </c>
      <c r="F1214" s="43" t="s">
        <v>848</v>
      </c>
      <c r="G1214" s="2" t="s">
        <v>2786</v>
      </c>
      <c r="H1214" s="2" t="s">
        <v>2787</v>
      </c>
      <c r="I1214" s="156" t="str">
        <f t="shared" si="68"/>
        <v>2011</v>
      </c>
      <c r="J1214" s="156">
        <v>2011</v>
      </c>
      <c r="K1214" s="156"/>
      <c r="L1214" s="2" t="s">
        <v>2758</v>
      </c>
      <c r="M1214" s="157" t="str">
        <f t="shared" si="67"/>
        <v>К08106006</v>
      </c>
      <c r="N1214" s="174" t="s">
        <v>3481</v>
      </c>
      <c r="O1214" s="4" t="s">
        <v>766</v>
      </c>
      <c r="P1214" s="1"/>
      <c r="U1214" s="1"/>
      <c r="V1214" s="4"/>
      <c r="W1214" s="3"/>
    </row>
    <row r="1215" spans="1:23" x14ac:dyDescent="0.25">
      <c r="A1215" s="158">
        <v>1134</v>
      </c>
      <c r="B1215" s="1"/>
      <c r="C1215" s="1"/>
      <c r="D1215" s="158">
        <v>1270</v>
      </c>
      <c r="E1215" s="3" t="s">
        <v>24</v>
      </c>
      <c r="F1215" s="43" t="s">
        <v>157</v>
      </c>
      <c r="G1215" s="2" t="s">
        <v>2802</v>
      </c>
      <c r="H1215" s="2" t="s">
        <v>283</v>
      </c>
      <c r="I1215" s="156" t="str">
        <f t="shared" si="68"/>
        <v>2011</v>
      </c>
      <c r="J1215" s="156"/>
      <c r="K1215" s="156"/>
      <c r="L1215" s="2" t="s">
        <v>2803</v>
      </c>
      <c r="M1215" s="157" t="str">
        <f t="shared" si="67"/>
        <v>К08102999_2</v>
      </c>
      <c r="N1215" s="174" t="s">
        <v>3481</v>
      </c>
      <c r="O1215" s="4" t="s">
        <v>766</v>
      </c>
      <c r="P1215" s="1"/>
      <c r="U1215" s="1"/>
      <c r="V1215" s="4"/>
      <c r="W1215" s="3"/>
    </row>
    <row r="1216" spans="1:23" x14ac:dyDescent="0.25">
      <c r="A1216" s="154">
        <v>1169</v>
      </c>
      <c r="B1216" s="1"/>
      <c r="C1216" s="452" t="s">
        <v>3034</v>
      </c>
      <c r="D1216" s="158">
        <v>1287</v>
      </c>
      <c r="E1216" s="3" t="s">
        <v>24</v>
      </c>
      <c r="F1216" s="3" t="s">
        <v>104</v>
      </c>
      <c r="G1216" s="2" t="s">
        <v>2886</v>
      </c>
      <c r="H1216" s="2" t="s">
        <v>283</v>
      </c>
      <c r="I1216" s="156" t="str">
        <f t="shared" si="68"/>
        <v>2011</v>
      </c>
      <c r="J1216" s="156"/>
      <c r="K1216" s="156"/>
      <c r="L1216" s="2" t="s">
        <v>2887</v>
      </c>
      <c r="M1216" s="157" t="str">
        <f t="shared" si="67"/>
        <v>К0810297</v>
      </c>
      <c r="N1216" s="174" t="s">
        <v>3481</v>
      </c>
      <c r="O1216" s="4" t="s">
        <v>706</v>
      </c>
      <c r="P1216" s="1"/>
      <c r="U1216" s="1"/>
      <c r="V1216" s="4"/>
      <c r="W1216" s="3"/>
    </row>
    <row r="1217" spans="1:23" x14ac:dyDescent="0.25">
      <c r="A1217" s="158">
        <v>1170</v>
      </c>
      <c r="B1217" s="1"/>
      <c r="C1217" s="452" t="s">
        <v>3034</v>
      </c>
      <c r="D1217" s="154">
        <v>1288</v>
      </c>
      <c r="E1217" s="3" t="s">
        <v>24</v>
      </c>
      <c r="F1217" s="3" t="s">
        <v>104</v>
      </c>
      <c r="G1217" s="2" t="s">
        <v>343</v>
      </c>
      <c r="H1217" s="2" t="s">
        <v>283</v>
      </c>
      <c r="I1217" s="156" t="str">
        <f t="shared" si="68"/>
        <v>2011</v>
      </c>
      <c r="J1217" s="156"/>
      <c r="K1217" s="156"/>
      <c r="L1217" s="2" t="s">
        <v>2888</v>
      </c>
      <c r="M1217" s="157" t="str">
        <f t="shared" si="67"/>
        <v>К08102977</v>
      </c>
      <c r="N1217" s="174" t="s">
        <v>3481</v>
      </c>
      <c r="O1217" s="4" t="s">
        <v>706</v>
      </c>
      <c r="P1217" s="1"/>
      <c r="U1217" s="1"/>
      <c r="V1217" s="4"/>
      <c r="W1217" s="3"/>
    </row>
    <row r="1218" spans="1:23" x14ac:dyDescent="0.25">
      <c r="A1218" s="158">
        <v>1224</v>
      </c>
      <c r="B1218" s="1"/>
      <c r="C1218" s="452" t="s">
        <v>3034</v>
      </c>
      <c r="D1218" s="158">
        <v>1289</v>
      </c>
      <c r="E1218" s="3" t="s">
        <v>24</v>
      </c>
      <c r="F1218" s="3" t="s">
        <v>104</v>
      </c>
      <c r="G1218" s="2" t="s">
        <v>2889</v>
      </c>
      <c r="H1218" s="2" t="s">
        <v>283</v>
      </c>
      <c r="I1218" s="156" t="str">
        <f t="shared" si="68"/>
        <v>2011</v>
      </c>
      <c r="J1218" s="156"/>
      <c r="K1218" s="156"/>
      <c r="L1218" s="2" t="s">
        <v>2890</v>
      </c>
      <c r="M1218" s="157" t="str">
        <f t="shared" si="67"/>
        <v>К08102978</v>
      </c>
      <c r="N1218" s="174" t="s">
        <v>3481</v>
      </c>
      <c r="O1218" s="4" t="s">
        <v>706</v>
      </c>
      <c r="P1218" s="1"/>
      <c r="S1218" s="3"/>
      <c r="U1218" s="1"/>
      <c r="V1218" s="4"/>
      <c r="W1218" s="3"/>
    </row>
    <row r="1219" spans="1:23" x14ac:dyDescent="0.25">
      <c r="A1219" s="154">
        <v>1135</v>
      </c>
      <c r="B1219" s="1"/>
      <c r="C1219" s="457" t="s">
        <v>3693</v>
      </c>
      <c r="D1219" s="158">
        <v>1515</v>
      </c>
      <c r="E1219" s="3" t="s">
        <v>561</v>
      </c>
      <c r="F1219" s="3" t="s">
        <v>562</v>
      </c>
      <c r="G1219" s="463" t="s">
        <v>757</v>
      </c>
      <c r="H1219" s="2" t="s">
        <v>283</v>
      </c>
      <c r="I1219" s="156" t="str">
        <f t="shared" si="68"/>
        <v>2011</v>
      </c>
      <c r="J1219" s="156">
        <v>2011</v>
      </c>
      <c r="K1219" s="156"/>
      <c r="L1219" s="2" t="s">
        <v>758</v>
      </c>
      <c r="M1219" s="157" t="str">
        <f t="shared" si="67"/>
        <v>К08103941</v>
      </c>
      <c r="N1219" s="482" t="s">
        <v>5309</v>
      </c>
      <c r="O1219" s="4" t="s">
        <v>515</v>
      </c>
      <c r="P1219" s="1"/>
      <c r="S1219" s="3"/>
      <c r="U1219" s="1"/>
      <c r="V1219" s="4"/>
      <c r="W1219" s="3"/>
    </row>
    <row r="1220" spans="1:23" x14ac:dyDescent="0.25">
      <c r="A1220" s="158">
        <v>1136</v>
      </c>
      <c r="B1220" s="456" t="s">
        <v>3552</v>
      </c>
      <c r="C1220" s="452" t="s">
        <v>3034</v>
      </c>
      <c r="D1220" s="158">
        <v>1179</v>
      </c>
      <c r="E1220" s="3" t="s">
        <v>2974</v>
      </c>
      <c r="F1220" s="43" t="s">
        <v>2986</v>
      </c>
      <c r="G1220" s="2" t="s">
        <v>2912</v>
      </c>
      <c r="H1220" s="2" t="s">
        <v>159</v>
      </c>
      <c r="I1220" s="156" t="str">
        <f t="shared" si="68"/>
        <v>2012</v>
      </c>
      <c r="J1220" s="156">
        <v>2012</v>
      </c>
      <c r="K1220" s="156"/>
      <c r="L1220" s="2" t="s">
        <v>2913</v>
      </c>
      <c r="M1220" s="157" t="str">
        <f t="shared" si="67"/>
        <v>К08104249</v>
      </c>
      <c r="N1220" s="174" t="s">
        <v>3481</v>
      </c>
      <c r="O1220" s="4" t="s">
        <v>1263</v>
      </c>
      <c r="P1220" s="1"/>
      <c r="S1220" s="3"/>
      <c r="U1220" s="1"/>
      <c r="V1220" s="4"/>
      <c r="W1220" s="3"/>
    </row>
    <row r="1221" spans="1:23" x14ac:dyDescent="0.25">
      <c r="A1221" s="154">
        <v>1137</v>
      </c>
      <c r="B1221" s="1"/>
      <c r="C1221" s="452" t="s">
        <v>3693</v>
      </c>
      <c r="D1221" s="158">
        <v>1217</v>
      </c>
      <c r="E1221" s="3" t="s">
        <v>526</v>
      </c>
      <c r="F1221" s="170" t="s">
        <v>3000</v>
      </c>
      <c r="G1221" s="2" t="s">
        <v>2834</v>
      </c>
      <c r="H1221" s="469" t="s">
        <v>159</v>
      </c>
      <c r="I1221" s="156" t="str">
        <f t="shared" si="68"/>
        <v>2012</v>
      </c>
      <c r="J1221" s="156">
        <v>2012</v>
      </c>
      <c r="K1221" s="156"/>
      <c r="L1221" s="2">
        <v>8102893</v>
      </c>
      <c r="M1221" s="157" t="str">
        <f t="shared" si="67"/>
        <v>К8102893</v>
      </c>
      <c r="N1221" s="174" t="s">
        <v>3481</v>
      </c>
      <c r="O1221" s="4" t="s">
        <v>2831</v>
      </c>
      <c r="P1221" s="1"/>
      <c r="U1221" s="1"/>
      <c r="V1221" s="4"/>
      <c r="W1221" s="3"/>
    </row>
    <row r="1222" spans="1:23" x14ac:dyDescent="0.25">
      <c r="A1222" s="158">
        <v>1138</v>
      </c>
      <c r="B1222" s="1"/>
      <c r="C1222" s="457" t="s">
        <v>3693</v>
      </c>
      <c r="D1222" s="154">
        <v>1218</v>
      </c>
      <c r="E1222" s="3" t="s">
        <v>526</v>
      </c>
      <c r="F1222" s="170" t="s">
        <v>3725</v>
      </c>
      <c r="G1222" s="539" t="s">
        <v>737</v>
      </c>
      <c r="H1222" s="482" t="s">
        <v>159</v>
      </c>
      <c r="I1222" s="1" t="str">
        <f t="shared" si="68"/>
        <v>2012</v>
      </c>
      <c r="J1222" s="1" t="s">
        <v>159</v>
      </c>
      <c r="K1222" s="173"/>
      <c r="L1222" s="529" t="s">
        <v>738</v>
      </c>
      <c r="M1222" s="157" t="str">
        <f t="shared" ref="M1222:M1285" si="69">CONCATENATE("К",L1222)</f>
        <v>К08104897</v>
      </c>
      <c r="N1222" s="174" t="s">
        <v>3481</v>
      </c>
      <c r="O1222" s="4" t="s">
        <v>515</v>
      </c>
      <c r="P1222" s="1"/>
      <c r="U1222" s="1"/>
      <c r="V1222" s="4"/>
      <c r="W1222" s="3"/>
    </row>
    <row r="1223" spans="1:23" x14ac:dyDescent="0.25">
      <c r="A1223" s="154">
        <v>1139</v>
      </c>
      <c r="B1223" s="1"/>
      <c r="C1223" s="1"/>
      <c r="D1223" s="154">
        <v>1237</v>
      </c>
      <c r="E1223" s="3" t="s">
        <v>380</v>
      </c>
      <c r="F1223" s="43" t="s">
        <v>3417</v>
      </c>
      <c r="G1223" s="2" t="s">
        <v>2793</v>
      </c>
      <c r="H1223" s="589" t="s">
        <v>159</v>
      </c>
      <c r="I1223" s="156" t="str">
        <f t="shared" si="68"/>
        <v>2012</v>
      </c>
      <c r="J1223" s="156">
        <v>2012</v>
      </c>
      <c r="K1223" s="156"/>
      <c r="L1223" s="2" t="s">
        <v>2794</v>
      </c>
      <c r="M1223" s="157" t="str">
        <f t="shared" si="69"/>
        <v>К08102893</v>
      </c>
      <c r="N1223" s="174" t="s">
        <v>3481</v>
      </c>
      <c r="O1223" s="4" t="s">
        <v>766</v>
      </c>
      <c r="P1223" s="1"/>
      <c r="U1223" s="1"/>
      <c r="V1223" s="4"/>
      <c r="W1223" s="3"/>
    </row>
    <row r="1224" spans="1:23" x14ac:dyDescent="0.25">
      <c r="A1224" s="158">
        <v>1142</v>
      </c>
      <c r="B1224" s="1"/>
      <c r="C1224" s="1"/>
      <c r="D1224" s="154">
        <v>1244</v>
      </c>
      <c r="E1224" s="3" t="s">
        <v>95</v>
      </c>
      <c r="F1224" s="43" t="s">
        <v>3418</v>
      </c>
      <c r="G1224" s="2" t="s">
        <v>2796</v>
      </c>
      <c r="H1224" s="589" t="s">
        <v>159</v>
      </c>
      <c r="I1224" s="156" t="str">
        <f t="shared" si="68"/>
        <v>2012</v>
      </c>
      <c r="J1224" s="156">
        <v>2012</v>
      </c>
      <c r="K1224" s="156"/>
      <c r="L1224" s="2" t="s">
        <v>2794</v>
      </c>
      <c r="M1224" s="157" t="str">
        <f t="shared" si="69"/>
        <v>К08102893</v>
      </c>
      <c r="N1224" s="174" t="s">
        <v>3481</v>
      </c>
      <c r="O1224" s="4" t="s">
        <v>766</v>
      </c>
      <c r="P1224" s="1"/>
      <c r="U1224" s="1"/>
      <c r="V1224" s="4"/>
      <c r="W1224" s="3"/>
    </row>
    <row r="1225" spans="1:23" x14ac:dyDescent="0.25">
      <c r="A1225" s="158">
        <v>1140</v>
      </c>
      <c r="B1225" s="1"/>
      <c r="C1225" s="452" t="s">
        <v>3693</v>
      </c>
      <c r="D1225" s="158">
        <v>1257</v>
      </c>
      <c r="E1225" s="3" t="s">
        <v>516</v>
      </c>
      <c r="F1225" s="3" t="s">
        <v>544</v>
      </c>
      <c r="G1225" s="2" t="s">
        <v>2839</v>
      </c>
      <c r="H1225" s="2" t="s">
        <v>159</v>
      </c>
      <c r="I1225" s="156" t="str">
        <f t="shared" si="68"/>
        <v>2012</v>
      </c>
      <c r="J1225" s="156">
        <v>2012</v>
      </c>
      <c r="K1225" s="156"/>
      <c r="L1225" s="2" t="s">
        <v>2840</v>
      </c>
      <c r="M1225" s="157" t="str">
        <f t="shared" si="69"/>
        <v>К08105189</v>
      </c>
      <c r="N1225" s="174" t="s">
        <v>3481</v>
      </c>
      <c r="O1225" s="4" t="s">
        <v>2831</v>
      </c>
      <c r="P1225" s="1"/>
      <c r="R1225" s="170" t="s">
        <v>3746</v>
      </c>
      <c r="S1225" s="455" t="s">
        <v>3747</v>
      </c>
      <c r="U1225" s="1"/>
      <c r="V1225" s="4"/>
      <c r="W1225" s="3"/>
    </row>
    <row r="1226" spans="1:23" x14ac:dyDescent="0.25">
      <c r="A1226" s="154">
        <v>1141</v>
      </c>
      <c r="B1226" s="1"/>
      <c r="C1226" s="1"/>
      <c r="D1226" s="158">
        <v>1261</v>
      </c>
      <c r="E1226" s="472" t="s">
        <v>2333</v>
      </c>
      <c r="F1226" s="459" t="s">
        <v>3468</v>
      </c>
      <c r="G1226" s="2"/>
      <c r="H1226" s="589" t="s">
        <v>159</v>
      </c>
      <c r="I1226" s="156" t="str">
        <f t="shared" si="68"/>
        <v>2012</v>
      </c>
      <c r="J1226" s="156">
        <v>2012</v>
      </c>
      <c r="K1226" s="156"/>
      <c r="L1226" s="590" t="s">
        <v>2334</v>
      </c>
      <c r="M1226" s="157" t="str">
        <f t="shared" si="69"/>
        <v>К08104212</v>
      </c>
      <c r="N1226" s="174" t="s">
        <v>3481</v>
      </c>
      <c r="O1226" s="4" t="s">
        <v>766</v>
      </c>
      <c r="P1226" s="1"/>
      <c r="U1226" s="1"/>
      <c r="V1226" s="4"/>
      <c r="W1226" s="3"/>
    </row>
    <row r="1227" spans="1:23" x14ac:dyDescent="0.25">
      <c r="A1227" s="158">
        <v>1218</v>
      </c>
      <c r="B1227" s="456"/>
      <c r="C1227" s="452" t="s">
        <v>3034</v>
      </c>
      <c r="D1227" s="158">
        <v>1294</v>
      </c>
      <c r="E1227" s="3" t="s">
        <v>24</v>
      </c>
      <c r="F1227" s="3" t="s">
        <v>37</v>
      </c>
      <c r="G1227" s="2" t="s">
        <v>2933</v>
      </c>
      <c r="H1227" s="2" t="s">
        <v>159</v>
      </c>
      <c r="I1227" s="156" t="str">
        <f t="shared" ref="I1227:I1258" si="70">RIGHT(H1227,4)</f>
        <v>2012</v>
      </c>
      <c r="J1227" s="156"/>
      <c r="K1227" s="156"/>
      <c r="L1227" s="2" t="s">
        <v>2934</v>
      </c>
      <c r="M1227" s="157" t="str">
        <f t="shared" si="69"/>
        <v>К08104838</v>
      </c>
      <c r="N1227" s="174" t="s">
        <v>3481</v>
      </c>
      <c r="O1227" s="4" t="s">
        <v>1263</v>
      </c>
      <c r="P1227" s="1"/>
      <c r="S1227" s="3"/>
      <c r="U1227" s="1"/>
      <c r="V1227" s="4"/>
      <c r="W1227" s="3"/>
    </row>
    <row r="1228" spans="1:23" x14ac:dyDescent="0.25">
      <c r="A1228" s="154">
        <v>1143</v>
      </c>
      <c r="B1228" s="1"/>
      <c r="C1228" s="452" t="s">
        <v>3034</v>
      </c>
      <c r="D1228" s="154">
        <v>1295</v>
      </c>
      <c r="E1228" s="3" t="s">
        <v>24</v>
      </c>
      <c r="F1228" s="3" t="s">
        <v>37</v>
      </c>
      <c r="G1228" s="2" t="s">
        <v>2940</v>
      </c>
      <c r="H1228" s="2" t="s">
        <v>159</v>
      </c>
      <c r="I1228" s="156" t="str">
        <f t="shared" si="70"/>
        <v>2012</v>
      </c>
      <c r="J1228" s="156"/>
      <c r="K1228" s="156"/>
      <c r="L1228" s="2" t="s">
        <v>2941</v>
      </c>
      <c r="M1228" s="157" t="str">
        <f t="shared" si="69"/>
        <v>К08104830</v>
      </c>
      <c r="N1228" s="174" t="s">
        <v>3481</v>
      </c>
      <c r="O1228" s="4" t="s">
        <v>2939</v>
      </c>
      <c r="P1228" s="1"/>
      <c r="U1228" s="1"/>
      <c r="V1228" s="4"/>
      <c r="W1228" s="3"/>
    </row>
    <row r="1229" spans="1:23" x14ac:dyDescent="0.25">
      <c r="A1229" s="158">
        <v>1144</v>
      </c>
      <c r="B1229" s="1"/>
      <c r="C1229" s="1"/>
      <c r="D1229" s="154">
        <v>1297</v>
      </c>
      <c r="E1229" s="3" t="s">
        <v>2961</v>
      </c>
      <c r="F1229" s="459" t="s">
        <v>3468</v>
      </c>
      <c r="G1229" s="2"/>
      <c r="H1229" s="589" t="s">
        <v>159</v>
      </c>
      <c r="I1229" s="156" t="str">
        <f t="shared" si="70"/>
        <v>2012</v>
      </c>
      <c r="J1229" s="156">
        <v>2012</v>
      </c>
      <c r="K1229" s="156"/>
      <c r="L1229" s="2" t="s">
        <v>2804</v>
      </c>
      <c r="M1229" s="157" t="str">
        <f t="shared" si="69"/>
        <v>К8104210</v>
      </c>
      <c r="N1229" s="174" t="s">
        <v>3481</v>
      </c>
      <c r="O1229" s="4" t="s">
        <v>766</v>
      </c>
      <c r="P1229" s="1"/>
      <c r="U1229" s="1"/>
      <c r="V1229" s="4"/>
      <c r="W1229" s="3"/>
    </row>
    <row r="1230" spans="1:23" x14ac:dyDescent="0.25">
      <c r="A1230" s="154">
        <v>1145</v>
      </c>
      <c r="B1230" s="1"/>
      <c r="C1230" s="1"/>
      <c r="D1230" s="158">
        <v>1299</v>
      </c>
      <c r="E1230" s="3" t="s">
        <v>2677</v>
      </c>
      <c r="F1230" s="43" t="s">
        <v>3421</v>
      </c>
      <c r="G1230" s="2"/>
      <c r="H1230" s="589" t="s">
        <v>159</v>
      </c>
      <c r="I1230" s="156" t="str">
        <f t="shared" si="70"/>
        <v>2012</v>
      </c>
      <c r="J1230" s="156">
        <v>2012</v>
      </c>
      <c r="K1230" s="156"/>
      <c r="L1230" s="2" t="s">
        <v>2794</v>
      </c>
      <c r="M1230" s="157" t="str">
        <f t="shared" si="69"/>
        <v>К08102893</v>
      </c>
      <c r="N1230" s="174" t="s">
        <v>3481</v>
      </c>
      <c r="O1230" s="4" t="s">
        <v>766</v>
      </c>
      <c r="P1230" s="1"/>
      <c r="U1230" s="1"/>
      <c r="V1230" s="4"/>
      <c r="W1230" s="3"/>
    </row>
    <row r="1231" spans="1:23" x14ac:dyDescent="0.25">
      <c r="A1231" s="158">
        <v>1146</v>
      </c>
      <c r="B1231" s="1"/>
      <c r="C1231" s="1"/>
      <c r="D1231" s="154">
        <v>1309</v>
      </c>
      <c r="E1231" s="3" t="s">
        <v>2963</v>
      </c>
      <c r="F1231" s="43" t="s">
        <v>3424</v>
      </c>
      <c r="G1231" s="2" t="s">
        <v>2815</v>
      </c>
      <c r="H1231" s="589" t="s">
        <v>159</v>
      </c>
      <c r="I1231" s="156" t="str">
        <f t="shared" si="70"/>
        <v>2012</v>
      </c>
      <c r="J1231" s="156">
        <v>2012</v>
      </c>
      <c r="K1231" s="156"/>
      <c r="L1231" s="2" t="s">
        <v>2794</v>
      </c>
      <c r="M1231" s="157" t="str">
        <f t="shared" si="69"/>
        <v>К08102893</v>
      </c>
      <c r="N1231" s="174" t="s">
        <v>3481</v>
      </c>
      <c r="O1231" s="4" t="s">
        <v>766</v>
      </c>
      <c r="P1231" s="1"/>
      <c r="U1231" s="1"/>
      <c r="V1231" s="4"/>
      <c r="W1231" s="3"/>
    </row>
    <row r="1232" spans="1:23" x14ac:dyDescent="0.25">
      <c r="A1232" s="154">
        <v>1277</v>
      </c>
      <c r="B1232" s="136" t="s">
        <v>3552</v>
      </c>
      <c r="C1232" s="136"/>
      <c r="D1232" s="158">
        <v>1214</v>
      </c>
      <c r="E1232" s="138" t="s">
        <v>3555</v>
      </c>
      <c r="F1232" s="43" t="s">
        <v>455</v>
      </c>
      <c r="G1232" s="2" t="s">
        <v>2869</v>
      </c>
      <c r="H1232" s="2" t="s">
        <v>59</v>
      </c>
      <c r="I1232" s="156" t="str">
        <f t="shared" si="70"/>
        <v>2013</v>
      </c>
      <c r="J1232" s="156"/>
      <c r="K1232" s="156"/>
      <c r="L1232" s="2" t="s">
        <v>2870</v>
      </c>
      <c r="M1232" s="157" t="str">
        <f t="shared" si="69"/>
        <v>К08105934</v>
      </c>
      <c r="N1232" s="174" t="s">
        <v>3481</v>
      </c>
      <c r="O1232" s="4" t="s">
        <v>1076</v>
      </c>
      <c r="P1232" s="1"/>
      <c r="U1232" s="1"/>
      <c r="V1232" s="4"/>
      <c r="W1232" s="3"/>
    </row>
    <row r="1233" spans="1:23" x14ac:dyDescent="0.25">
      <c r="A1233" s="154">
        <v>1233</v>
      </c>
      <c r="B1233" s="1"/>
      <c r="C1233" s="1"/>
      <c r="D1233" s="158">
        <v>1240</v>
      </c>
      <c r="E1233" s="3" t="s">
        <v>91</v>
      </c>
      <c r="F1233" s="3" t="s">
        <v>92</v>
      </c>
      <c r="G1233" s="515" t="s">
        <v>2683</v>
      </c>
      <c r="H1233" s="2" t="s">
        <v>59</v>
      </c>
      <c r="I1233" s="156" t="str">
        <f t="shared" si="70"/>
        <v>2013</v>
      </c>
      <c r="J1233" s="156"/>
      <c r="K1233" s="156"/>
      <c r="L1233" s="2" t="s">
        <v>1853</v>
      </c>
      <c r="M1233" s="157" t="str">
        <f t="shared" si="69"/>
        <v>К08102800_2</v>
      </c>
      <c r="N1233" s="174" t="s">
        <v>3481</v>
      </c>
      <c r="O1233" s="4" t="s">
        <v>766</v>
      </c>
      <c r="P1233" s="1"/>
      <c r="U1233" s="1"/>
      <c r="V1233" s="4"/>
      <c r="W1233" s="3"/>
    </row>
    <row r="1234" spans="1:23" x14ac:dyDescent="0.25">
      <c r="A1234" s="158">
        <v>1258</v>
      </c>
      <c r="B1234" s="1"/>
      <c r="C1234" s="452" t="s">
        <v>3034</v>
      </c>
      <c r="D1234" s="158">
        <v>1275</v>
      </c>
      <c r="E1234" s="3" t="s">
        <v>24</v>
      </c>
      <c r="F1234" s="3" t="s">
        <v>37</v>
      </c>
      <c r="G1234" s="2" t="s">
        <v>2845</v>
      </c>
      <c r="H1234" s="2" t="s">
        <v>59</v>
      </c>
      <c r="I1234" s="156" t="str">
        <f t="shared" si="70"/>
        <v>2013</v>
      </c>
      <c r="J1234" s="156"/>
      <c r="K1234" s="156"/>
      <c r="L1234" s="2" t="s">
        <v>2846</v>
      </c>
      <c r="M1234" s="157" t="str">
        <f t="shared" si="69"/>
        <v>К08105152</v>
      </c>
      <c r="N1234" s="174" t="s">
        <v>3481</v>
      </c>
      <c r="O1234" s="4" t="s">
        <v>1160</v>
      </c>
      <c r="P1234" s="1"/>
      <c r="U1234" s="1"/>
      <c r="V1234" s="4"/>
      <c r="W1234" s="3"/>
    </row>
    <row r="1235" spans="1:23" x14ac:dyDescent="0.25">
      <c r="A1235" s="154">
        <v>1259</v>
      </c>
      <c r="B1235" s="1"/>
      <c r="C1235" s="452" t="s">
        <v>3034</v>
      </c>
      <c r="D1235" s="158">
        <v>1277</v>
      </c>
      <c r="E1235" s="3" t="s">
        <v>24</v>
      </c>
      <c r="F1235" s="3" t="s">
        <v>37</v>
      </c>
      <c r="G1235" s="2" t="s">
        <v>2847</v>
      </c>
      <c r="H1235" s="2" t="s">
        <v>59</v>
      </c>
      <c r="I1235" s="156" t="str">
        <f t="shared" si="70"/>
        <v>2013</v>
      </c>
      <c r="J1235" s="156"/>
      <c r="K1235" s="156"/>
      <c r="L1235" s="2" t="s">
        <v>2848</v>
      </c>
      <c r="M1235" s="157" t="str">
        <f t="shared" si="69"/>
        <v>К08105151</v>
      </c>
      <c r="N1235" s="174" t="s">
        <v>3481</v>
      </c>
      <c r="O1235" s="4" t="s">
        <v>1164</v>
      </c>
      <c r="P1235" s="1"/>
      <c r="U1235" s="1"/>
      <c r="V1235" s="4"/>
      <c r="W1235" s="3"/>
    </row>
    <row r="1236" spans="1:23" x14ac:dyDescent="0.25">
      <c r="A1236" s="154">
        <v>785</v>
      </c>
      <c r="B1236" s="1"/>
      <c r="C1236" s="452" t="s">
        <v>3034</v>
      </c>
      <c r="D1236" s="154">
        <v>1279</v>
      </c>
      <c r="E1236" s="3" t="s">
        <v>24</v>
      </c>
      <c r="F1236" s="3" t="s">
        <v>37</v>
      </c>
      <c r="G1236" s="2" t="s">
        <v>2849</v>
      </c>
      <c r="H1236" s="2" t="s">
        <v>59</v>
      </c>
      <c r="I1236" s="156" t="str">
        <f t="shared" si="70"/>
        <v>2013</v>
      </c>
      <c r="J1236" s="156"/>
      <c r="K1236" s="156"/>
      <c r="L1236" s="2" t="s">
        <v>2850</v>
      </c>
      <c r="M1236" s="157" t="str">
        <f t="shared" si="69"/>
        <v>К08105149</v>
      </c>
      <c r="N1236" s="174" t="s">
        <v>3481</v>
      </c>
      <c r="O1236" s="4" t="s">
        <v>1167</v>
      </c>
      <c r="P1236" s="1"/>
      <c r="U1236" s="1"/>
      <c r="V1236" s="4"/>
      <c r="W1236" s="3"/>
    </row>
    <row r="1237" spans="1:23" x14ac:dyDescent="0.25">
      <c r="A1237" s="158">
        <v>1502</v>
      </c>
      <c r="B1237" s="1"/>
      <c r="C1237" s="452" t="s">
        <v>3034</v>
      </c>
      <c r="D1237" s="158">
        <v>1280</v>
      </c>
      <c r="E1237" s="3" t="s">
        <v>24</v>
      </c>
      <c r="F1237" s="3" t="s">
        <v>37</v>
      </c>
      <c r="G1237" s="2" t="s">
        <v>2851</v>
      </c>
      <c r="H1237" s="2" t="s">
        <v>59</v>
      </c>
      <c r="I1237" s="156" t="str">
        <f t="shared" si="70"/>
        <v>2013</v>
      </c>
      <c r="J1237" s="156"/>
      <c r="K1237" s="156"/>
      <c r="L1237" s="2" t="s">
        <v>2852</v>
      </c>
      <c r="M1237" s="157" t="str">
        <f t="shared" si="69"/>
        <v>К08105153</v>
      </c>
      <c r="N1237" s="174" t="s">
        <v>3481</v>
      </c>
      <c r="O1237" s="4" t="s">
        <v>2134</v>
      </c>
      <c r="P1237" s="1"/>
    </row>
    <row r="1238" spans="1:23" x14ac:dyDescent="0.25">
      <c r="A1238" s="154">
        <v>1147</v>
      </c>
      <c r="B1238" s="1"/>
      <c r="C1238" s="452" t="s">
        <v>3034</v>
      </c>
      <c r="D1238" s="158">
        <v>1282</v>
      </c>
      <c r="E1238" s="3" t="s">
        <v>24</v>
      </c>
      <c r="F1238" s="3" t="s">
        <v>37</v>
      </c>
      <c r="G1238" s="2" t="s">
        <v>2853</v>
      </c>
      <c r="H1238" s="2" t="s">
        <v>59</v>
      </c>
      <c r="I1238" s="156" t="str">
        <f t="shared" si="70"/>
        <v>2013</v>
      </c>
      <c r="J1238" s="156"/>
      <c r="K1238" s="156"/>
      <c r="L1238" s="2" t="s">
        <v>2854</v>
      </c>
      <c r="M1238" s="157" t="str">
        <f t="shared" si="69"/>
        <v>К08107154</v>
      </c>
      <c r="N1238" s="174" t="s">
        <v>3481</v>
      </c>
      <c r="O1238" s="4" t="s">
        <v>1859</v>
      </c>
      <c r="P1238" s="1"/>
      <c r="U1238" s="1"/>
      <c r="V1238" s="4"/>
      <c r="W1238" s="3"/>
    </row>
    <row r="1239" spans="1:23" x14ac:dyDescent="0.25">
      <c r="A1239" s="154">
        <v>1271</v>
      </c>
      <c r="B1239" s="1"/>
      <c r="C1239" s="457" t="s">
        <v>3034</v>
      </c>
      <c r="D1239" s="158">
        <v>1315</v>
      </c>
      <c r="E1239" s="486" t="s">
        <v>3677</v>
      </c>
      <c r="F1239" s="43" t="s">
        <v>2037</v>
      </c>
      <c r="G1239" s="2" t="s">
        <v>2096</v>
      </c>
      <c r="H1239" s="2" t="s">
        <v>59</v>
      </c>
      <c r="I1239" s="156" t="str">
        <f t="shared" si="70"/>
        <v>2013</v>
      </c>
      <c r="J1239" s="156">
        <v>2013</v>
      </c>
      <c r="K1239" s="156"/>
      <c r="L1239" s="2"/>
      <c r="M1239" s="157" t="str">
        <f t="shared" si="69"/>
        <v>К</v>
      </c>
      <c r="N1239" s="174" t="s">
        <v>3481</v>
      </c>
      <c r="O1239" s="4" t="s">
        <v>766</v>
      </c>
      <c r="P1239" s="1"/>
      <c r="U1239" s="1"/>
      <c r="V1239" s="4"/>
      <c r="W1239" s="3"/>
    </row>
    <row r="1240" spans="1:23" x14ac:dyDescent="0.25">
      <c r="A1240" s="158">
        <v>1234</v>
      </c>
      <c r="B1240" s="1"/>
      <c r="C1240" s="1"/>
      <c r="D1240" s="158">
        <v>1224</v>
      </c>
      <c r="E1240" s="3" t="s">
        <v>2957</v>
      </c>
      <c r="F1240" s="43" t="s">
        <v>3415</v>
      </c>
      <c r="G1240" s="2" t="s">
        <v>2788</v>
      </c>
      <c r="H1240" s="2" t="s">
        <v>51</v>
      </c>
      <c r="I1240" s="156" t="str">
        <f t="shared" si="70"/>
        <v>2014</v>
      </c>
      <c r="J1240" s="156">
        <v>2014</v>
      </c>
      <c r="K1240" s="156"/>
      <c r="L1240" s="2" t="s">
        <v>2789</v>
      </c>
      <c r="M1240" s="157" t="str">
        <f t="shared" si="69"/>
        <v>К2360000482</v>
      </c>
      <c r="N1240" s="174" t="s">
        <v>3481</v>
      </c>
      <c r="O1240" s="4" t="s">
        <v>766</v>
      </c>
      <c r="P1240" s="1"/>
      <c r="U1240" s="1"/>
      <c r="V1240" s="4"/>
      <c r="W1240" s="3"/>
    </row>
    <row r="1241" spans="1:23" x14ac:dyDescent="0.25">
      <c r="A1241" s="158">
        <v>864</v>
      </c>
      <c r="B1241" s="1"/>
      <c r="C1241" s="457" t="s">
        <v>3034</v>
      </c>
      <c r="D1241" s="154">
        <v>1311</v>
      </c>
      <c r="E1241" s="3" t="s">
        <v>499</v>
      </c>
      <c r="F1241" s="43" t="s">
        <v>2093</v>
      </c>
      <c r="G1241" s="2" t="s">
        <v>2094</v>
      </c>
      <c r="H1241" s="2" t="s">
        <v>51</v>
      </c>
      <c r="I1241" s="156" t="str">
        <f t="shared" si="70"/>
        <v>2014</v>
      </c>
      <c r="J1241" s="156">
        <v>2014</v>
      </c>
      <c r="K1241" s="156"/>
      <c r="L1241" s="2" t="s">
        <v>2095</v>
      </c>
      <c r="M1241" s="157" t="str">
        <f t="shared" si="69"/>
        <v>К7240000054</v>
      </c>
      <c r="N1241" s="174" t="s">
        <v>3481</v>
      </c>
      <c r="O1241" s="4" t="s">
        <v>766</v>
      </c>
      <c r="P1241" s="1"/>
      <c r="W1241" s="3"/>
    </row>
    <row r="1242" spans="1:23" x14ac:dyDescent="0.25">
      <c r="A1242" s="154">
        <v>1255</v>
      </c>
      <c r="B1242" s="1"/>
      <c r="C1242" s="457" t="s">
        <v>3034</v>
      </c>
      <c r="D1242" s="158">
        <v>1312</v>
      </c>
      <c r="E1242" s="3" t="s">
        <v>499</v>
      </c>
      <c r="F1242" s="459" t="s">
        <v>2097</v>
      </c>
      <c r="G1242" s="2" t="s">
        <v>2098</v>
      </c>
      <c r="H1242" s="2" t="s">
        <v>51</v>
      </c>
      <c r="I1242" s="156" t="str">
        <f t="shared" si="70"/>
        <v>2014</v>
      </c>
      <c r="J1242" s="156">
        <v>2014</v>
      </c>
      <c r="K1242" s="156"/>
      <c r="L1242" s="2" t="s">
        <v>2099</v>
      </c>
      <c r="M1242" s="157" t="str">
        <f t="shared" si="69"/>
        <v>К2360000542</v>
      </c>
      <c r="N1242" s="174" t="s">
        <v>3481</v>
      </c>
      <c r="O1242" s="4" t="s">
        <v>2028</v>
      </c>
      <c r="P1242" s="1"/>
      <c r="U1242" s="1"/>
      <c r="V1242" s="4"/>
      <c r="W1242" s="3"/>
    </row>
    <row r="1243" spans="1:23" x14ac:dyDescent="0.25">
      <c r="A1243" s="158">
        <v>1148</v>
      </c>
      <c r="B1243" s="456" t="s">
        <v>3552</v>
      </c>
      <c r="C1243" s="452" t="s">
        <v>3034</v>
      </c>
      <c r="D1243" s="154">
        <v>1183</v>
      </c>
      <c r="E1243" s="3" t="s">
        <v>2976</v>
      </c>
      <c r="F1243" s="43" t="s">
        <v>2983</v>
      </c>
      <c r="G1243" s="2" t="s">
        <v>2920</v>
      </c>
      <c r="H1243" s="2" t="s">
        <v>41</v>
      </c>
      <c r="I1243" s="156" t="str">
        <f t="shared" si="70"/>
        <v>2015</v>
      </c>
      <c r="J1243" s="156">
        <v>2015</v>
      </c>
      <c r="K1243" s="156"/>
      <c r="L1243" s="2" t="s">
        <v>2921</v>
      </c>
      <c r="M1243" s="157" t="str">
        <f t="shared" si="69"/>
        <v>К7240000290</v>
      </c>
      <c r="N1243" s="174" t="s">
        <v>3481</v>
      </c>
      <c r="O1243" s="4" t="s">
        <v>1263</v>
      </c>
      <c r="P1243" s="1"/>
      <c r="S1243" s="3"/>
      <c r="U1243" s="1"/>
      <c r="V1243" s="4"/>
      <c r="W1243" s="3"/>
    </row>
    <row r="1244" spans="1:23" x14ac:dyDescent="0.25">
      <c r="A1244" s="154">
        <v>1235</v>
      </c>
      <c r="B1244" s="456" t="s">
        <v>3552</v>
      </c>
      <c r="C1244" s="452" t="s">
        <v>3034</v>
      </c>
      <c r="D1244" s="158">
        <v>1189</v>
      </c>
      <c r="E1244" s="3" t="s">
        <v>2977</v>
      </c>
      <c r="F1244" s="3" t="s">
        <v>1288</v>
      </c>
      <c r="G1244" s="2" t="s">
        <v>2924</v>
      </c>
      <c r="H1244" s="2" t="s">
        <v>41</v>
      </c>
      <c r="I1244" s="156" t="str">
        <f t="shared" si="70"/>
        <v>2015</v>
      </c>
      <c r="J1244" s="156">
        <v>2015</v>
      </c>
      <c r="K1244" s="156"/>
      <c r="L1244" s="2" t="s">
        <v>2925</v>
      </c>
      <c r="M1244" s="157" t="str">
        <f t="shared" si="69"/>
        <v>К7240000289</v>
      </c>
      <c r="N1244" s="174" t="s">
        <v>3481</v>
      </c>
      <c r="O1244" s="4" t="s">
        <v>1263</v>
      </c>
      <c r="P1244" s="1"/>
      <c r="S1244" s="3"/>
      <c r="U1244" s="1"/>
      <c r="V1244" s="4"/>
      <c r="W1244" s="3"/>
    </row>
    <row r="1245" spans="1:23" x14ac:dyDescent="0.25">
      <c r="A1245" s="158">
        <v>1240</v>
      </c>
      <c r="B1245" s="1"/>
      <c r="C1245" s="1"/>
      <c r="D1245" s="158">
        <v>1193</v>
      </c>
      <c r="E1245" s="472" t="s">
        <v>2337</v>
      </c>
      <c r="F1245" s="472" t="s">
        <v>2335</v>
      </c>
      <c r="G1245" s="2" t="s">
        <v>1844</v>
      </c>
      <c r="H1245" s="2" t="s">
        <v>1845</v>
      </c>
      <c r="I1245" s="156" t="str">
        <f t="shared" si="70"/>
        <v>2015</v>
      </c>
      <c r="J1245" s="156">
        <v>2015</v>
      </c>
      <c r="K1245" s="156"/>
      <c r="L1245" s="2" t="s">
        <v>1846</v>
      </c>
      <c r="M1245" s="157" t="str">
        <f t="shared" si="69"/>
        <v>К08104772</v>
      </c>
      <c r="N1245" s="174" t="s">
        <v>3481</v>
      </c>
      <c r="O1245" s="4" t="s">
        <v>766</v>
      </c>
      <c r="P1245" s="1"/>
      <c r="U1245" s="1"/>
      <c r="V1245" s="4"/>
      <c r="W1245" s="3"/>
    </row>
    <row r="1246" spans="1:23" x14ac:dyDescent="0.25">
      <c r="A1246" s="154">
        <v>1241</v>
      </c>
      <c r="B1246" s="456" t="s">
        <v>3552</v>
      </c>
      <c r="C1246" s="452" t="s">
        <v>3034</v>
      </c>
      <c r="D1246" s="154">
        <v>1267</v>
      </c>
      <c r="E1246" s="3" t="s">
        <v>1399</v>
      </c>
      <c r="F1246" s="459" t="s">
        <v>2980</v>
      </c>
      <c r="G1246" s="2" t="s">
        <v>2931</v>
      </c>
      <c r="H1246" s="2" t="s">
        <v>41</v>
      </c>
      <c r="I1246" s="156" t="str">
        <f t="shared" si="70"/>
        <v>2015</v>
      </c>
      <c r="J1246" s="156">
        <v>2015</v>
      </c>
      <c r="K1246" s="156"/>
      <c r="L1246" s="2" t="s">
        <v>2932</v>
      </c>
      <c r="M1246" s="157" t="str">
        <f t="shared" si="69"/>
        <v>К7360000057</v>
      </c>
      <c r="N1246" s="174" t="s">
        <v>3481</v>
      </c>
      <c r="O1246" s="4" t="s">
        <v>1263</v>
      </c>
      <c r="P1246" s="1"/>
      <c r="S1246" s="3"/>
      <c r="U1246" s="1"/>
      <c r="V1246" s="4"/>
      <c r="W1246" s="3"/>
    </row>
    <row r="1247" spans="1:23" x14ac:dyDescent="0.25">
      <c r="A1247" s="158">
        <v>1242</v>
      </c>
      <c r="B1247" s="1"/>
      <c r="C1247" s="452" t="s">
        <v>3034</v>
      </c>
      <c r="D1247" s="154">
        <v>1286</v>
      </c>
      <c r="E1247" s="3" t="s">
        <v>24</v>
      </c>
      <c r="F1247" s="3" t="s">
        <v>37</v>
      </c>
      <c r="G1247" s="2" t="s">
        <v>2885</v>
      </c>
      <c r="H1247" s="2" t="s">
        <v>41</v>
      </c>
      <c r="I1247" s="156" t="str">
        <f t="shared" si="70"/>
        <v>2015</v>
      </c>
      <c r="J1247" s="156"/>
      <c r="K1247" s="156"/>
      <c r="L1247" s="2">
        <v>8107948</v>
      </c>
      <c r="M1247" s="157" t="str">
        <f t="shared" si="69"/>
        <v>К8107948</v>
      </c>
      <c r="N1247" s="174" t="s">
        <v>3481</v>
      </c>
      <c r="O1247" s="4" t="s">
        <v>706</v>
      </c>
      <c r="P1247" s="1"/>
      <c r="U1247" s="1"/>
      <c r="V1247" s="4"/>
      <c r="W1247" s="3"/>
    </row>
    <row r="1248" spans="1:23" x14ac:dyDescent="0.25">
      <c r="A1248" s="154">
        <v>1149</v>
      </c>
      <c r="B1248" s="1"/>
      <c r="C1248" s="457" t="s">
        <v>3034</v>
      </c>
      <c r="D1248" s="154">
        <v>1316</v>
      </c>
      <c r="E1248" s="486" t="s">
        <v>3677</v>
      </c>
      <c r="F1248" s="43" t="s">
        <v>2100</v>
      </c>
      <c r="G1248" s="2" t="s">
        <v>2101</v>
      </c>
      <c r="H1248" s="2" t="s">
        <v>41</v>
      </c>
      <c r="I1248" s="156" t="str">
        <f t="shared" si="70"/>
        <v>2015</v>
      </c>
      <c r="J1248" s="156">
        <v>2015</v>
      </c>
      <c r="K1248" s="156"/>
      <c r="L1248" s="2">
        <v>2240000015</v>
      </c>
      <c r="M1248" s="157" t="str">
        <f t="shared" si="69"/>
        <v>К2240000015</v>
      </c>
      <c r="N1248" s="174" t="s">
        <v>3481</v>
      </c>
      <c r="O1248" s="4" t="s">
        <v>706</v>
      </c>
      <c r="P1248" s="1"/>
      <c r="S1248" s="3"/>
      <c r="U1248" s="1"/>
      <c r="V1248" s="4"/>
      <c r="W1248" s="3"/>
    </row>
    <row r="1249" spans="1:23" x14ac:dyDescent="0.25">
      <c r="A1249" s="154">
        <v>1205</v>
      </c>
      <c r="B1249" s="456" t="s">
        <v>3552</v>
      </c>
      <c r="C1249" s="452" t="s">
        <v>3034</v>
      </c>
      <c r="D1249" s="154">
        <v>1181</v>
      </c>
      <c r="E1249" s="3" t="s">
        <v>1264</v>
      </c>
      <c r="F1249" s="459" t="s">
        <v>1270</v>
      </c>
      <c r="G1249" s="2" t="s">
        <v>2916</v>
      </c>
      <c r="H1249" s="2" t="s">
        <v>194</v>
      </c>
      <c r="I1249" s="156" t="str">
        <f t="shared" si="70"/>
        <v>2016</v>
      </c>
      <c r="J1249" s="156">
        <v>2016</v>
      </c>
      <c r="K1249" s="156"/>
      <c r="L1249" s="2" t="s">
        <v>2917</v>
      </c>
      <c r="M1249" s="157" t="str">
        <f t="shared" si="69"/>
        <v>К7240000014</v>
      </c>
      <c r="N1249" s="174" t="s">
        <v>3481</v>
      </c>
      <c r="O1249" s="4" t="s">
        <v>1263</v>
      </c>
      <c r="P1249" s="1"/>
      <c r="S1249" s="3"/>
      <c r="U1249" s="1"/>
      <c r="V1249" s="4"/>
      <c r="W1249" s="3"/>
    </row>
    <row r="1250" spans="1:23" x14ac:dyDescent="0.25">
      <c r="A1250" s="154">
        <v>1251</v>
      </c>
      <c r="B1250" s="1"/>
      <c r="C1250" s="1"/>
      <c r="D1250" s="158">
        <v>1233</v>
      </c>
      <c r="E1250" s="3" t="s">
        <v>2969</v>
      </c>
      <c r="F1250" s="43" t="s">
        <v>2992</v>
      </c>
      <c r="G1250" s="2" t="s">
        <v>2875</v>
      </c>
      <c r="H1250" s="2" t="s">
        <v>615</v>
      </c>
      <c r="I1250" s="156" t="str">
        <f t="shared" si="70"/>
        <v>2016</v>
      </c>
      <c r="J1250" s="156">
        <v>2016</v>
      </c>
      <c r="K1250" s="156"/>
      <c r="L1250" s="2" t="s">
        <v>2876</v>
      </c>
      <c r="M1250" s="157" t="str">
        <f t="shared" si="69"/>
        <v>К7360000237</v>
      </c>
      <c r="N1250" s="174" t="s">
        <v>3481</v>
      </c>
      <c r="O1250" s="4" t="s">
        <v>1076</v>
      </c>
      <c r="P1250" s="1"/>
      <c r="U1250" s="1"/>
      <c r="V1250" s="4"/>
      <c r="W1250" s="3"/>
    </row>
    <row r="1251" spans="1:23" x14ac:dyDescent="0.25">
      <c r="A1251" s="158">
        <v>1236</v>
      </c>
      <c r="B1251" s="1"/>
      <c r="C1251" s="1"/>
      <c r="D1251" s="154">
        <v>1241</v>
      </c>
      <c r="E1251" s="3" t="s">
        <v>91</v>
      </c>
      <c r="F1251" s="43" t="s">
        <v>92</v>
      </c>
      <c r="G1251" s="2">
        <v>49503</v>
      </c>
      <c r="H1251" s="2" t="s">
        <v>615</v>
      </c>
      <c r="I1251" s="156" t="str">
        <f t="shared" si="70"/>
        <v>2016</v>
      </c>
      <c r="J1251" s="156"/>
      <c r="K1251" s="156"/>
      <c r="L1251" s="2" t="s">
        <v>1853</v>
      </c>
      <c r="M1251" s="157" t="str">
        <f t="shared" si="69"/>
        <v>К08102800_2</v>
      </c>
      <c r="N1251" s="174" t="s">
        <v>3481</v>
      </c>
      <c r="O1251" s="4" t="s">
        <v>766</v>
      </c>
      <c r="P1251" s="1"/>
      <c r="U1251" s="1"/>
      <c r="V1251" s="4"/>
      <c r="W1251" s="3"/>
    </row>
    <row r="1252" spans="1:23" x14ac:dyDescent="0.25">
      <c r="A1252" s="154">
        <v>1237</v>
      </c>
      <c r="B1252" s="1"/>
      <c r="C1252" s="481" t="s">
        <v>3693</v>
      </c>
      <c r="D1252" s="154">
        <v>1262</v>
      </c>
      <c r="E1252" s="3" t="s">
        <v>2965</v>
      </c>
      <c r="F1252" s="43" t="s">
        <v>648</v>
      </c>
      <c r="G1252" s="2" t="s">
        <v>2843</v>
      </c>
      <c r="H1252" s="2" t="s">
        <v>615</v>
      </c>
      <c r="I1252" s="156" t="str">
        <f t="shared" si="70"/>
        <v>2016</v>
      </c>
      <c r="J1252" s="156">
        <v>2016</v>
      </c>
      <c r="K1252" s="156"/>
      <c r="L1252" s="2" t="s">
        <v>2844</v>
      </c>
      <c r="M1252" s="157" t="str">
        <f t="shared" si="69"/>
        <v>К7360000196</v>
      </c>
      <c r="N1252" s="174" t="s">
        <v>3481</v>
      </c>
      <c r="O1252" s="4" t="s">
        <v>2831</v>
      </c>
      <c r="P1252" s="1"/>
      <c r="R1252" s="170" t="s">
        <v>3766</v>
      </c>
      <c r="S1252" s="455" t="s">
        <v>3768</v>
      </c>
      <c r="U1252" s="1"/>
      <c r="V1252" s="4"/>
      <c r="W1252" s="3"/>
    </row>
    <row r="1253" spans="1:23" x14ac:dyDescent="0.25">
      <c r="A1253" s="154">
        <v>769</v>
      </c>
      <c r="B1253" s="1"/>
      <c r="C1253" s="1"/>
      <c r="D1253" s="158">
        <v>1266</v>
      </c>
      <c r="E1253" s="3" t="s">
        <v>141</v>
      </c>
      <c r="F1253" s="459" t="s">
        <v>2998</v>
      </c>
      <c r="G1253" s="2" t="s">
        <v>2858</v>
      </c>
      <c r="H1253" s="2" t="s">
        <v>194</v>
      </c>
      <c r="I1253" s="156" t="str">
        <f t="shared" si="70"/>
        <v>2016</v>
      </c>
      <c r="J1253" s="156">
        <v>2016</v>
      </c>
      <c r="K1253" s="156"/>
      <c r="L1253" s="2" t="s">
        <v>2859</v>
      </c>
      <c r="M1253" s="157" t="str">
        <f t="shared" si="69"/>
        <v>К7240000662</v>
      </c>
      <c r="N1253" s="174" t="s">
        <v>3481</v>
      </c>
      <c r="O1253" s="4" t="s">
        <v>2028</v>
      </c>
      <c r="P1253" s="1"/>
      <c r="U1253" s="1"/>
      <c r="V1253" s="4"/>
      <c r="W1253" s="3"/>
    </row>
    <row r="1254" spans="1:23" x14ac:dyDescent="0.25">
      <c r="A1254" s="158">
        <v>1150</v>
      </c>
      <c r="B1254" s="1"/>
      <c r="C1254" s="1"/>
      <c r="D1254" s="154">
        <v>1321</v>
      </c>
      <c r="E1254" s="3" t="s">
        <v>2950</v>
      </c>
      <c r="F1254" s="3" t="s">
        <v>2750</v>
      </c>
      <c r="G1254" s="2" t="s">
        <v>2751</v>
      </c>
      <c r="H1254" s="2" t="s">
        <v>615</v>
      </c>
      <c r="I1254" s="156" t="str">
        <f t="shared" si="70"/>
        <v>2016</v>
      </c>
      <c r="J1254" s="156">
        <v>2016</v>
      </c>
      <c r="K1254" s="156"/>
      <c r="L1254" s="2"/>
      <c r="M1254" s="157" t="str">
        <f t="shared" si="69"/>
        <v>К</v>
      </c>
      <c r="N1254" s="174" t="s">
        <v>3481</v>
      </c>
      <c r="O1254" s="4" t="s">
        <v>926</v>
      </c>
      <c r="P1254" s="1"/>
      <c r="U1254" s="1"/>
      <c r="V1254" s="4"/>
      <c r="W1254" s="3"/>
    </row>
    <row r="1255" spans="1:23" x14ac:dyDescent="0.25">
      <c r="A1255" s="154">
        <v>1151</v>
      </c>
      <c r="B1255" s="136" t="s">
        <v>3552</v>
      </c>
      <c r="C1255" s="136"/>
      <c r="D1255" s="154">
        <v>1225</v>
      </c>
      <c r="E1255" s="3" t="s">
        <v>18</v>
      </c>
      <c r="F1255" s="43" t="s">
        <v>32</v>
      </c>
      <c r="G1255" s="2" t="s">
        <v>2873</v>
      </c>
      <c r="H1255" s="461" t="s">
        <v>969</v>
      </c>
      <c r="I1255" s="156" t="str">
        <f t="shared" si="70"/>
        <v>2017</v>
      </c>
      <c r="J1255" s="156">
        <v>2017</v>
      </c>
      <c r="K1255" s="156"/>
      <c r="L1255" s="2"/>
      <c r="M1255" s="157" t="str">
        <f t="shared" si="69"/>
        <v>К</v>
      </c>
      <c r="N1255" s="174" t="s">
        <v>3481</v>
      </c>
      <c r="O1255" s="4" t="s">
        <v>1076</v>
      </c>
      <c r="P1255" s="1"/>
      <c r="U1255" s="1"/>
      <c r="V1255" s="4"/>
      <c r="W1255" s="3"/>
    </row>
    <row r="1256" spans="1:23" x14ac:dyDescent="0.25">
      <c r="A1256" s="158">
        <v>1152</v>
      </c>
      <c r="B1256" s="136" t="s">
        <v>3552</v>
      </c>
      <c r="C1256" s="136"/>
      <c r="D1256" s="158">
        <v>1226</v>
      </c>
      <c r="E1256" s="3" t="s">
        <v>18</v>
      </c>
      <c r="F1256" s="43" t="s">
        <v>32</v>
      </c>
      <c r="G1256" s="2" t="s">
        <v>2880</v>
      </c>
      <c r="H1256" s="461" t="s">
        <v>969</v>
      </c>
      <c r="I1256" s="156" t="str">
        <f t="shared" si="70"/>
        <v>2017</v>
      </c>
      <c r="J1256" s="156">
        <v>2017</v>
      </c>
      <c r="K1256" s="156"/>
      <c r="L1256" s="2"/>
      <c r="M1256" s="157" t="str">
        <f t="shared" si="69"/>
        <v>К</v>
      </c>
      <c r="N1256" s="174" t="s">
        <v>3481</v>
      </c>
      <c r="O1256" s="4" t="s">
        <v>706</v>
      </c>
      <c r="P1256" s="1"/>
      <c r="U1256" s="1"/>
      <c r="V1256" s="4"/>
      <c r="W1256" s="3"/>
    </row>
    <row r="1257" spans="1:23" x14ac:dyDescent="0.25">
      <c r="A1257" s="154">
        <v>1153</v>
      </c>
      <c r="B1257" s="136" t="s">
        <v>3552</v>
      </c>
      <c r="C1257" s="136"/>
      <c r="D1257" s="154">
        <v>1227</v>
      </c>
      <c r="E1257" s="3" t="s">
        <v>18</v>
      </c>
      <c r="F1257" s="43" t="s">
        <v>32</v>
      </c>
      <c r="G1257" s="2" t="s">
        <v>2881</v>
      </c>
      <c r="H1257" s="461" t="s">
        <v>969</v>
      </c>
      <c r="I1257" s="156" t="str">
        <f t="shared" si="70"/>
        <v>2017</v>
      </c>
      <c r="J1257" s="156">
        <v>2017</v>
      </c>
      <c r="K1257" s="156"/>
      <c r="L1257" s="2"/>
      <c r="M1257" s="157" t="str">
        <f t="shared" si="69"/>
        <v>К</v>
      </c>
      <c r="N1257" s="174" t="s">
        <v>3481</v>
      </c>
      <c r="O1257" s="4" t="s">
        <v>706</v>
      </c>
      <c r="P1257" s="1"/>
      <c r="U1257" s="1"/>
      <c r="V1257" s="4"/>
      <c r="W1257" s="3"/>
    </row>
    <row r="1258" spans="1:23" x14ac:dyDescent="0.25">
      <c r="A1258" s="158">
        <v>1154</v>
      </c>
      <c r="B1258" s="136" t="s">
        <v>3552</v>
      </c>
      <c r="C1258" s="136"/>
      <c r="D1258" s="154">
        <v>1216</v>
      </c>
      <c r="E1258" s="138" t="s">
        <v>3555</v>
      </c>
      <c r="F1258" s="43" t="s">
        <v>2988</v>
      </c>
      <c r="G1258" s="2" t="s">
        <v>2900</v>
      </c>
      <c r="H1258" s="2" t="s">
        <v>124</v>
      </c>
      <c r="I1258" s="156" t="str">
        <f t="shared" si="70"/>
        <v>2018</v>
      </c>
      <c r="J1258" s="156"/>
      <c r="K1258" s="156"/>
      <c r="L1258" s="2"/>
      <c r="M1258" s="157" t="str">
        <f t="shared" si="69"/>
        <v>К</v>
      </c>
      <c r="N1258" s="174" t="s">
        <v>3481</v>
      </c>
      <c r="O1258" s="4" t="s">
        <v>1081</v>
      </c>
      <c r="P1258" s="1"/>
      <c r="U1258" s="1"/>
      <c r="V1258" s="4"/>
      <c r="W1258" s="3"/>
    </row>
    <row r="1259" spans="1:23" x14ac:dyDescent="0.25">
      <c r="A1259" s="154">
        <v>1155</v>
      </c>
      <c r="B1259" s="456" t="s">
        <v>3552</v>
      </c>
      <c r="C1259" s="456"/>
      <c r="D1259" s="154">
        <v>1230</v>
      </c>
      <c r="E1259" s="3" t="s">
        <v>2303</v>
      </c>
      <c r="F1259" s="528" t="s">
        <v>2302</v>
      </c>
      <c r="G1259" s="2" t="s">
        <v>1889</v>
      </c>
      <c r="H1259" s="2" t="s">
        <v>124</v>
      </c>
      <c r="I1259" s="156" t="str">
        <f t="shared" ref="I1259:I1290" si="71">RIGHT(H1259,4)</f>
        <v>2018</v>
      </c>
      <c r="J1259" s="156"/>
      <c r="K1259" s="156"/>
      <c r="L1259" s="2"/>
      <c r="M1259" s="157" t="str">
        <f t="shared" si="69"/>
        <v>К</v>
      </c>
      <c r="N1259" s="174" t="s">
        <v>3481</v>
      </c>
      <c r="O1259" s="4" t="s">
        <v>1888</v>
      </c>
      <c r="P1259" s="1"/>
      <c r="U1259" s="1"/>
      <c r="V1259" s="4"/>
      <c r="W1259" s="3"/>
    </row>
    <row r="1260" spans="1:23" x14ac:dyDescent="0.25">
      <c r="A1260" s="158">
        <v>1156</v>
      </c>
      <c r="B1260" s="456" t="s">
        <v>3552</v>
      </c>
      <c r="C1260" s="456"/>
      <c r="D1260" s="158">
        <v>1231</v>
      </c>
      <c r="E1260" s="3" t="s">
        <v>2303</v>
      </c>
      <c r="F1260" s="3" t="s">
        <v>2302</v>
      </c>
      <c r="G1260" s="2" t="s">
        <v>1862</v>
      </c>
      <c r="H1260" s="2" t="s">
        <v>124</v>
      </c>
      <c r="I1260" s="156" t="str">
        <f t="shared" si="71"/>
        <v>2018</v>
      </c>
      <c r="J1260" s="156"/>
      <c r="K1260" s="156"/>
      <c r="L1260" s="2"/>
      <c r="M1260" s="157" t="str">
        <f t="shared" si="69"/>
        <v>К</v>
      </c>
      <c r="N1260" s="174" t="s">
        <v>3481</v>
      </c>
      <c r="O1260" s="4" t="s">
        <v>1856</v>
      </c>
      <c r="P1260" s="1"/>
      <c r="U1260" s="1"/>
      <c r="V1260" s="4"/>
      <c r="W1260" s="3"/>
    </row>
    <row r="1261" spans="1:23" x14ac:dyDescent="0.25">
      <c r="A1261" s="154">
        <v>1219</v>
      </c>
      <c r="B1261" s="457" t="s">
        <v>3687</v>
      </c>
      <c r="C1261" s="457" t="s">
        <v>3034</v>
      </c>
      <c r="D1261" s="158">
        <v>1313</v>
      </c>
      <c r="E1261" s="3" t="s">
        <v>2010</v>
      </c>
      <c r="F1261" s="170" t="s">
        <v>2102</v>
      </c>
      <c r="G1261" s="2" t="s">
        <v>2103</v>
      </c>
      <c r="H1261" s="2" t="s">
        <v>124</v>
      </c>
      <c r="I1261" s="156" t="str">
        <f t="shared" si="71"/>
        <v>2018</v>
      </c>
      <c r="J1261" s="156">
        <v>2018</v>
      </c>
      <c r="K1261" s="169" t="s">
        <v>3686</v>
      </c>
      <c r="L1261" s="2" t="s">
        <v>2104</v>
      </c>
      <c r="M1261" s="157" t="str">
        <f t="shared" si="69"/>
        <v>К410112400112</v>
      </c>
      <c r="N1261" s="174" t="s">
        <v>3481</v>
      </c>
      <c r="O1261" s="4" t="s">
        <v>985</v>
      </c>
      <c r="P1261" s="1"/>
      <c r="R1261" s="3" t="s">
        <v>3751</v>
      </c>
      <c r="S1261" s="3" t="s">
        <v>3752</v>
      </c>
      <c r="U1261" s="1"/>
      <c r="V1261" s="4"/>
      <c r="W1261" s="3"/>
    </row>
    <row r="1262" spans="1:23" x14ac:dyDescent="0.25">
      <c r="A1262" s="158">
        <v>1228</v>
      </c>
      <c r="B1262" s="136" t="s">
        <v>3552</v>
      </c>
      <c r="C1262" s="136"/>
      <c r="D1262" s="154">
        <v>1213</v>
      </c>
      <c r="E1262" s="138" t="s">
        <v>3554</v>
      </c>
      <c r="F1262" s="459" t="s">
        <v>64</v>
      </c>
      <c r="G1262" s="2" t="s">
        <v>2938</v>
      </c>
      <c r="H1262" s="2" t="s">
        <v>66</v>
      </c>
      <c r="I1262" s="156" t="str">
        <f t="shared" si="71"/>
        <v>2019</v>
      </c>
      <c r="J1262" s="156"/>
      <c r="K1262" s="156"/>
      <c r="L1262" s="2"/>
      <c r="M1262" s="157" t="str">
        <f t="shared" si="69"/>
        <v>К</v>
      </c>
      <c r="N1262" s="174" t="s">
        <v>3481</v>
      </c>
      <c r="O1262" s="4" t="s">
        <v>2939</v>
      </c>
      <c r="P1262" s="1"/>
      <c r="U1262" s="1"/>
      <c r="V1262" s="4"/>
      <c r="W1262" s="3"/>
    </row>
    <row r="1263" spans="1:23" x14ac:dyDescent="0.25">
      <c r="A1263" s="154">
        <v>1157</v>
      </c>
      <c r="B1263" s="1"/>
      <c r="C1263" s="1"/>
      <c r="D1263" s="154">
        <v>1239</v>
      </c>
      <c r="E1263" s="3" t="s">
        <v>91</v>
      </c>
      <c r="F1263" s="43" t="s">
        <v>92</v>
      </c>
      <c r="G1263" s="2" t="s">
        <v>2795</v>
      </c>
      <c r="H1263" s="2" t="s">
        <v>66</v>
      </c>
      <c r="I1263" s="156" t="str">
        <f t="shared" si="71"/>
        <v>2019</v>
      </c>
      <c r="J1263" s="156"/>
      <c r="K1263" s="156"/>
      <c r="L1263" s="2">
        <v>7240000661</v>
      </c>
      <c r="M1263" s="157" t="str">
        <f t="shared" si="69"/>
        <v>К7240000661</v>
      </c>
      <c r="N1263" s="174" t="s">
        <v>3481</v>
      </c>
      <c r="O1263" s="4" t="s">
        <v>766</v>
      </c>
      <c r="P1263" s="1"/>
      <c r="U1263" s="1"/>
      <c r="V1263" s="4"/>
      <c r="W1263" s="3"/>
    </row>
    <row r="1264" spans="1:23" x14ac:dyDescent="0.25">
      <c r="A1264" s="158">
        <v>1158</v>
      </c>
      <c r="B1264" s="1"/>
      <c r="C1264" s="452" t="s">
        <v>3034</v>
      </c>
      <c r="D1264" s="158">
        <v>1243</v>
      </c>
      <c r="E1264" s="3" t="s">
        <v>91</v>
      </c>
      <c r="F1264" s="3" t="s">
        <v>92</v>
      </c>
      <c r="G1264" s="2" t="s">
        <v>1883</v>
      </c>
      <c r="H1264" s="2" t="s">
        <v>66</v>
      </c>
      <c r="I1264" s="156" t="str">
        <f t="shared" si="71"/>
        <v>2019</v>
      </c>
      <c r="J1264" s="156"/>
      <c r="K1264" s="156"/>
      <c r="L1264" s="2" t="s">
        <v>1884</v>
      </c>
      <c r="M1264" s="157" t="str">
        <f t="shared" si="69"/>
        <v>К71012400222</v>
      </c>
      <c r="N1264" s="174" t="s">
        <v>3481</v>
      </c>
      <c r="O1264" s="4" t="s">
        <v>1773</v>
      </c>
      <c r="P1264" s="1"/>
      <c r="U1264" s="1"/>
      <c r="V1264" s="4"/>
      <c r="W1264" s="3"/>
    </row>
    <row r="1265" spans="1:23" x14ac:dyDescent="0.25">
      <c r="A1265" s="154">
        <v>1195</v>
      </c>
      <c r="B1265" s="1"/>
      <c r="C1265" s="452" t="s">
        <v>3034</v>
      </c>
      <c r="D1265" s="158">
        <v>1273</v>
      </c>
      <c r="E1265" s="3" t="s">
        <v>24</v>
      </c>
      <c r="F1265" s="3" t="s">
        <v>37</v>
      </c>
      <c r="G1265" s="2" t="s">
        <v>1870</v>
      </c>
      <c r="H1265" s="2" t="s">
        <v>66</v>
      </c>
      <c r="I1265" s="156" t="str">
        <f t="shared" si="71"/>
        <v>2019</v>
      </c>
      <c r="J1265" s="156"/>
      <c r="K1265" s="156"/>
      <c r="L1265" s="2" t="s">
        <v>1871</v>
      </c>
      <c r="M1265" s="157" t="str">
        <f t="shared" si="69"/>
        <v>К71012400239</v>
      </c>
      <c r="N1265" s="174" t="s">
        <v>3481</v>
      </c>
      <c r="O1265" s="4" t="s">
        <v>1157</v>
      </c>
      <c r="P1265" s="1"/>
      <c r="U1265" s="1"/>
      <c r="V1265" s="4"/>
      <c r="W1265" s="3"/>
    </row>
    <row r="1266" spans="1:23" x14ac:dyDescent="0.25">
      <c r="A1266" s="158">
        <v>1220</v>
      </c>
      <c r="B1266" s="1"/>
      <c r="C1266" s="452" t="s">
        <v>3034</v>
      </c>
      <c r="D1266" s="154">
        <v>1283</v>
      </c>
      <c r="E1266" s="3" t="s">
        <v>24</v>
      </c>
      <c r="F1266" s="3" t="s">
        <v>25</v>
      </c>
      <c r="G1266" s="2" t="s">
        <v>2860</v>
      </c>
      <c r="H1266" s="2" t="s">
        <v>66</v>
      </c>
      <c r="I1266" s="156" t="str">
        <f t="shared" si="71"/>
        <v>2019</v>
      </c>
      <c r="J1266" s="156"/>
      <c r="K1266" s="156"/>
      <c r="L1266" s="2" t="s">
        <v>2861</v>
      </c>
      <c r="M1266" s="157" t="str">
        <f t="shared" si="69"/>
        <v>К71012400259</v>
      </c>
      <c r="N1266" s="174" t="s">
        <v>3481</v>
      </c>
      <c r="O1266" s="4" t="s">
        <v>2028</v>
      </c>
      <c r="P1266" s="1"/>
      <c r="U1266" s="1"/>
      <c r="V1266" s="4"/>
      <c r="W1266" s="3"/>
    </row>
    <row r="1267" spans="1:23" x14ac:dyDescent="0.25">
      <c r="A1267" s="158">
        <v>1272</v>
      </c>
      <c r="B1267" s="1"/>
      <c r="C1267" s="452" t="s">
        <v>3034</v>
      </c>
      <c r="D1267" s="158">
        <v>1292</v>
      </c>
      <c r="E1267" s="3" t="s">
        <v>24</v>
      </c>
      <c r="F1267" s="3" t="s">
        <v>37</v>
      </c>
      <c r="G1267" s="2" t="s">
        <v>2895</v>
      </c>
      <c r="H1267" s="2" t="s">
        <v>66</v>
      </c>
      <c r="I1267" s="156" t="str">
        <f t="shared" si="71"/>
        <v>2019</v>
      </c>
      <c r="J1267" s="156"/>
      <c r="K1267" s="156"/>
      <c r="L1267" s="2" t="s">
        <v>2896</v>
      </c>
      <c r="M1267" s="157" t="str">
        <f t="shared" si="69"/>
        <v>К71012400246</v>
      </c>
      <c r="N1267" s="174" t="s">
        <v>3481</v>
      </c>
      <c r="O1267" s="4" t="s">
        <v>985</v>
      </c>
      <c r="P1267" s="1"/>
      <c r="S1267" s="3"/>
      <c r="U1267" s="1"/>
      <c r="V1267" s="4"/>
      <c r="W1267" s="3"/>
    </row>
    <row r="1268" spans="1:23" x14ac:dyDescent="0.25">
      <c r="A1268" s="154">
        <v>1229</v>
      </c>
      <c r="B1268" s="1"/>
      <c r="C1268" s="452" t="s">
        <v>3034</v>
      </c>
      <c r="D1268" s="154">
        <v>1293</v>
      </c>
      <c r="E1268" s="3" t="s">
        <v>24</v>
      </c>
      <c r="F1268" s="3" t="s">
        <v>37</v>
      </c>
      <c r="G1268" s="2" t="s">
        <v>2901</v>
      </c>
      <c r="H1268" s="2" t="s">
        <v>66</v>
      </c>
      <c r="I1268" s="156" t="str">
        <f t="shared" si="71"/>
        <v>2019</v>
      </c>
      <c r="J1268" s="156"/>
      <c r="K1268" s="156"/>
      <c r="L1268" s="2"/>
      <c r="M1268" s="157" t="str">
        <f t="shared" si="69"/>
        <v>К</v>
      </c>
      <c r="N1268" s="174" t="s">
        <v>3481</v>
      </c>
      <c r="O1268" s="4" t="s">
        <v>1081</v>
      </c>
      <c r="P1268" s="1"/>
      <c r="S1268" s="3"/>
      <c r="U1268" s="1"/>
      <c r="V1268" s="4"/>
      <c r="W1268" s="3"/>
    </row>
    <row r="1269" spans="1:23" x14ac:dyDescent="0.25">
      <c r="A1269" s="154">
        <v>1273</v>
      </c>
      <c r="B1269" s="1"/>
      <c r="C1269" s="1"/>
      <c r="D1269" s="158">
        <v>1305</v>
      </c>
      <c r="E1269" s="3" t="s">
        <v>28</v>
      </c>
      <c r="F1269" s="43" t="s">
        <v>49</v>
      </c>
      <c r="G1269" s="2" t="s">
        <v>2942</v>
      </c>
      <c r="H1269" s="2" t="s">
        <v>66</v>
      </c>
      <c r="I1269" s="156" t="str">
        <f t="shared" si="71"/>
        <v>2019</v>
      </c>
      <c r="J1269" s="156">
        <v>2019</v>
      </c>
      <c r="K1269" s="156"/>
      <c r="L1269" s="2" t="s">
        <v>2943</v>
      </c>
      <c r="M1269" s="157" t="str">
        <f t="shared" si="69"/>
        <v>К71012400304</v>
      </c>
      <c r="N1269" s="174" t="s">
        <v>3481</v>
      </c>
      <c r="O1269" s="4" t="s">
        <v>2939</v>
      </c>
      <c r="P1269" s="1"/>
      <c r="U1269" s="1"/>
      <c r="V1269" s="4"/>
      <c r="W1269" s="3"/>
    </row>
    <row r="1270" spans="1:23" x14ac:dyDescent="0.25">
      <c r="A1270" s="158">
        <v>1196</v>
      </c>
      <c r="B1270" s="1"/>
      <c r="C1270" s="452" t="s">
        <v>3640</v>
      </c>
      <c r="D1270" s="158">
        <v>1324</v>
      </c>
      <c r="E1270" s="3" t="s">
        <v>2320</v>
      </c>
      <c r="F1270" s="3" t="s">
        <v>1879</v>
      </c>
      <c r="G1270" s="2" t="s">
        <v>1880</v>
      </c>
      <c r="H1270" s="2" t="s">
        <v>1881</v>
      </c>
      <c r="I1270" s="156" t="str">
        <f t="shared" si="71"/>
        <v>2019</v>
      </c>
      <c r="J1270" s="156"/>
      <c r="K1270" s="156"/>
      <c r="L1270" s="2" t="s">
        <v>1882</v>
      </c>
      <c r="M1270" s="157" t="str">
        <f t="shared" si="69"/>
        <v>К71012400307</v>
      </c>
      <c r="N1270" s="174" t="s">
        <v>3481</v>
      </c>
      <c r="O1270" s="4" t="s">
        <v>1773</v>
      </c>
      <c r="P1270" s="1"/>
      <c r="U1270" s="1"/>
      <c r="V1270" s="4"/>
      <c r="W1270" s="3"/>
    </row>
    <row r="1271" spans="1:23" x14ac:dyDescent="0.25">
      <c r="A1271" s="154">
        <v>1197</v>
      </c>
      <c r="B1271" s="1"/>
      <c r="C1271" s="1"/>
      <c r="D1271" s="154">
        <v>1328</v>
      </c>
      <c r="E1271" s="3" t="s">
        <v>2948</v>
      </c>
      <c r="F1271" s="43" t="s">
        <v>2994</v>
      </c>
      <c r="G1271" s="2" t="s">
        <v>2868</v>
      </c>
      <c r="H1271" s="2" t="s">
        <v>2139</v>
      </c>
      <c r="I1271" s="156" t="str">
        <f t="shared" si="71"/>
        <v>2019</v>
      </c>
      <c r="J1271" s="156">
        <v>2019</v>
      </c>
      <c r="K1271" s="156"/>
      <c r="L1271" s="2">
        <v>71012400293</v>
      </c>
      <c r="M1271" s="157" t="str">
        <f t="shared" si="69"/>
        <v>К71012400293</v>
      </c>
      <c r="N1271" s="174" t="s">
        <v>3481</v>
      </c>
      <c r="O1271" s="4" t="s">
        <v>2028</v>
      </c>
      <c r="P1271" s="1"/>
      <c r="U1271" s="1"/>
      <c r="V1271" s="4"/>
      <c r="W1271" s="3"/>
    </row>
    <row r="1272" spans="1:23" x14ac:dyDescent="0.25">
      <c r="A1272" s="158">
        <v>1198</v>
      </c>
      <c r="B1272" s="456" t="s">
        <v>3552</v>
      </c>
      <c r="C1272" s="452" t="s">
        <v>3034</v>
      </c>
      <c r="D1272" s="154">
        <v>1330</v>
      </c>
      <c r="E1272" s="3" t="s">
        <v>325</v>
      </c>
      <c r="F1272" s="43" t="s">
        <v>593</v>
      </c>
      <c r="G1272" s="2" t="s">
        <v>2935</v>
      </c>
      <c r="H1272" s="2" t="s">
        <v>2936</v>
      </c>
      <c r="I1272" s="156" t="str">
        <f t="shared" si="71"/>
        <v>2019</v>
      </c>
      <c r="J1272" s="156">
        <v>2019</v>
      </c>
      <c r="K1272" s="156"/>
      <c r="L1272" s="2" t="s">
        <v>2937</v>
      </c>
      <c r="M1272" s="157" t="str">
        <f t="shared" si="69"/>
        <v>К71012400218</v>
      </c>
      <c r="N1272" s="174" t="s">
        <v>3481</v>
      </c>
      <c r="O1272" s="4" t="s">
        <v>1263</v>
      </c>
      <c r="P1272" s="1"/>
      <c r="U1272" s="1"/>
      <c r="V1272" s="4"/>
      <c r="W1272" s="3"/>
    </row>
    <row r="1273" spans="1:23" x14ac:dyDescent="0.25">
      <c r="A1273" s="154">
        <v>1159</v>
      </c>
      <c r="B1273" s="1"/>
      <c r="C1273" s="1"/>
      <c r="D1273" s="158">
        <v>1247</v>
      </c>
      <c r="E1273" s="3" t="s">
        <v>2945</v>
      </c>
      <c r="F1273" s="3"/>
      <c r="G1273" s="2"/>
      <c r="H1273" s="2" t="s">
        <v>5613</v>
      </c>
      <c r="I1273" s="156" t="str">
        <f t="shared" si="71"/>
        <v>2020</v>
      </c>
      <c r="J1273" s="156">
        <v>2020</v>
      </c>
      <c r="K1273" s="156"/>
      <c r="L1273" s="2" t="s">
        <v>2857</v>
      </c>
      <c r="M1273" s="157" t="str">
        <f t="shared" si="69"/>
        <v>К08102614</v>
      </c>
      <c r="N1273" s="174" t="s">
        <v>3481</v>
      </c>
      <c r="O1273" s="4" t="s">
        <v>2028</v>
      </c>
      <c r="P1273" s="1"/>
      <c r="U1273" s="1"/>
      <c r="V1273" s="4"/>
      <c r="W1273" s="3"/>
    </row>
    <row r="1274" spans="1:23" x14ac:dyDescent="0.25">
      <c r="A1274" s="154">
        <v>1243</v>
      </c>
      <c r="B1274" s="1"/>
      <c r="C1274" s="452"/>
      <c r="D1274" s="158">
        <v>1268</v>
      </c>
      <c r="E1274" s="3" t="s">
        <v>880</v>
      </c>
      <c r="F1274" s="3" t="s">
        <v>1867</v>
      </c>
      <c r="G1274" s="2"/>
      <c r="H1274" s="2" t="s">
        <v>1868</v>
      </c>
      <c r="I1274" s="156" t="str">
        <f t="shared" si="71"/>
        <v>2020</v>
      </c>
      <c r="J1274" s="156"/>
      <c r="K1274" s="156"/>
      <c r="L1274" s="2"/>
      <c r="M1274" s="157" t="str">
        <f t="shared" si="69"/>
        <v>К</v>
      </c>
      <c r="N1274" s="174" t="s">
        <v>3481</v>
      </c>
      <c r="O1274" s="4" t="s">
        <v>1856</v>
      </c>
      <c r="P1274" s="1"/>
      <c r="S1274" s="3"/>
      <c r="U1274" s="1"/>
      <c r="V1274" s="4"/>
      <c r="W1274" s="3"/>
    </row>
    <row r="1275" spans="1:23" x14ac:dyDescent="0.25">
      <c r="A1275" s="158">
        <v>762</v>
      </c>
      <c r="B1275" s="1"/>
      <c r="C1275" s="452" t="s">
        <v>3034</v>
      </c>
      <c r="D1275" s="154">
        <v>1272</v>
      </c>
      <c r="E1275" s="3" t="s">
        <v>24</v>
      </c>
      <c r="F1275" s="3" t="s">
        <v>1105</v>
      </c>
      <c r="G1275" s="2" t="s">
        <v>1872</v>
      </c>
      <c r="H1275" s="2" t="s">
        <v>1107</v>
      </c>
      <c r="I1275" s="156" t="str">
        <f t="shared" si="71"/>
        <v>2020</v>
      </c>
      <c r="J1275" s="156"/>
      <c r="K1275" s="156"/>
      <c r="L1275" s="2" t="s">
        <v>1873</v>
      </c>
      <c r="M1275" s="157" t="str">
        <f t="shared" si="69"/>
        <v>К41012412365</v>
      </c>
      <c r="N1275" s="174" t="s">
        <v>3481</v>
      </c>
      <c r="O1275" s="4" t="s">
        <v>1154</v>
      </c>
      <c r="P1275" s="1"/>
      <c r="U1275" s="1"/>
      <c r="V1275" s="4"/>
      <c r="W1275" s="3"/>
    </row>
    <row r="1276" spans="1:23" x14ac:dyDescent="0.25">
      <c r="A1276" s="154">
        <v>763</v>
      </c>
      <c r="B1276" s="1"/>
      <c r="C1276" s="452" t="s">
        <v>3034</v>
      </c>
      <c r="D1276" s="154">
        <v>1274</v>
      </c>
      <c r="E1276" s="3" t="s">
        <v>24</v>
      </c>
      <c r="F1276" s="3" t="s">
        <v>1105</v>
      </c>
      <c r="G1276" s="2" t="s">
        <v>1869</v>
      </c>
      <c r="H1276" s="2" t="s">
        <v>1107</v>
      </c>
      <c r="I1276" s="156" t="str">
        <f t="shared" si="71"/>
        <v>2020</v>
      </c>
      <c r="J1276" s="156"/>
      <c r="K1276" s="156"/>
      <c r="L1276" s="2"/>
      <c r="M1276" s="157" t="str">
        <f t="shared" si="69"/>
        <v>К</v>
      </c>
      <c r="N1276" s="174" t="s">
        <v>3481</v>
      </c>
      <c r="O1276" s="4" t="s">
        <v>1160</v>
      </c>
      <c r="P1276" s="1"/>
      <c r="U1276" s="1"/>
      <c r="V1276" s="4"/>
      <c r="W1276" s="3"/>
    </row>
    <row r="1277" spans="1:23" x14ac:dyDescent="0.25">
      <c r="A1277" s="158">
        <v>832</v>
      </c>
      <c r="B1277" s="1"/>
      <c r="C1277" s="452" t="s">
        <v>3034</v>
      </c>
      <c r="D1277" s="154">
        <v>1276</v>
      </c>
      <c r="E1277" s="3" t="s">
        <v>24</v>
      </c>
      <c r="F1277" s="3" t="s">
        <v>1105</v>
      </c>
      <c r="G1277" s="2" t="s">
        <v>1865</v>
      </c>
      <c r="H1277" s="2" t="s">
        <v>1107</v>
      </c>
      <c r="I1277" s="156" t="str">
        <f t="shared" si="71"/>
        <v>2020</v>
      </c>
      <c r="J1277" s="156"/>
      <c r="K1277" s="156"/>
      <c r="L1277" s="2" t="s">
        <v>1866</v>
      </c>
      <c r="M1277" s="157" t="str">
        <f t="shared" si="69"/>
        <v>К41012412369</v>
      </c>
      <c r="N1277" s="174" t="s">
        <v>3481</v>
      </c>
      <c r="O1277" s="4" t="s">
        <v>1164</v>
      </c>
      <c r="P1277" s="1"/>
      <c r="U1277" s="1"/>
      <c r="V1277" s="4"/>
      <c r="W1277" s="3"/>
    </row>
    <row r="1278" spans="1:23" x14ac:dyDescent="0.25">
      <c r="A1278" s="154">
        <v>849</v>
      </c>
      <c r="B1278" s="1"/>
      <c r="C1278" s="452" t="s">
        <v>3034</v>
      </c>
      <c r="D1278" s="158">
        <v>1278</v>
      </c>
      <c r="E1278" s="3" t="s">
        <v>24</v>
      </c>
      <c r="F1278" s="3" t="s">
        <v>1105</v>
      </c>
      <c r="G1278" s="2" t="s">
        <v>1863</v>
      </c>
      <c r="H1278" s="2" t="s">
        <v>1107</v>
      </c>
      <c r="I1278" s="156" t="str">
        <f t="shared" si="71"/>
        <v>2020</v>
      </c>
      <c r="J1278" s="156"/>
      <c r="K1278" s="156"/>
      <c r="L1278" s="2" t="s">
        <v>1864</v>
      </c>
      <c r="M1278" s="157" t="str">
        <f t="shared" si="69"/>
        <v>К41012412360</v>
      </c>
      <c r="N1278" s="174" t="s">
        <v>3481</v>
      </c>
      <c r="O1278" s="4" t="s">
        <v>1167</v>
      </c>
      <c r="P1278" s="1"/>
      <c r="U1278" s="1"/>
      <c r="V1278" s="4"/>
      <c r="W1278" s="3"/>
    </row>
    <row r="1279" spans="1:23" x14ac:dyDescent="0.25">
      <c r="A1279" s="158">
        <v>1160</v>
      </c>
      <c r="B1279" s="1"/>
      <c r="C1279" s="452" t="s">
        <v>3034</v>
      </c>
      <c r="D1279" s="154">
        <v>1281</v>
      </c>
      <c r="E1279" s="3" t="s">
        <v>24</v>
      </c>
      <c r="F1279" s="3" t="s">
        <v>1105</v>
      </c>
      <c r="G1279" s="2" t="s">
        <v>1857</v>
      </c>
      <c r="H1279" s="2" t="s">
        <v>1107</v>
      </c>
      <c r="I1279" s="156" t="str">
        <f t="shared" si="71"/>
        <v>2020</v>
      </c>
      <c r="J1279" s="156"/>
      <c r="K1279" s="156"/>
      <c r="L1279" s="2" t="s">
        <v>1858</v>
      </c>
      <c r="M1279" s="157" t="str">
        <f t="shared" si="69"/>
        <v>К41012412363</v>
      </c>
      <c r="N1279" s="174" t="s">
        <v>3481</v>
      </c>
      <c r="O1279" s="4" t="s">
        <v>1859</v>
      </c>
      <c r="P1279" s="1"/>
      <c r="U1279" s="1"/>
      <c r="V1279" s="4"/>
      <c r="W1279" s="3"/>
    </row>
    <row r="1280" spans="1:23" x14ac:dyDescent="0.25">
      <c r="A1280" s="154">
        <v>1161</v>
      </c>
      <c r="B1280" s="1"/>
      <c r="C1280" s="452" t="s">
        <v>3034</v>
      </c>
      <c r="D1280" s="158">
        <v>1284</v>
      </c>
      <c r="E1280" s="3" t="s">
        <v>24</v>
      </c>
      <c r="F1280" s="3" t="s">
        <v>1105</v>
      </c>
      <c r="G1280" s="2" t="s">
        <v>1878</v>
      </c>
      <c r="H1280" s="2" t="s">
        <v>1107</v>
      </c>
      <c r="I1280" s="156" t="str">
        <f t="shared" si="71"/>
        <v>2020</v>
      </c>
      <c r="J1280" s="156"/>
      <c r="K1280" s="156"/>
      <c r="L1280" s="2"/>
      <c r="M1280" s="157" t="str">
        <f t="shared" si="69"/>
        <v>К</v>
      </c>
      <c r="N1280" s="174" t="s">
        <v>3481</v>
      </c>
      <c r="O1280" s="4" t="s">
        <v>1773</v>
      </c>
      <c r="P1280" s="1"/>
      <c r="U1280" s="1"/>
      <c r="V1280" s="4"/>
      <c r="W1280" s="3"/>
    </row>
    <row r="1281" spans="1:23" x14ac:dyDescent="0.25">
      <c r="A1281" s="154">
        <v>1203</v>
      </c>
      <c r="B1281" s="1"/>
      <c r="C1281" s="452" t="s">
        <v>3034</v>
      </c>
      <c r="D1281" s="154">
        <v>1290</v>
      </c>
      <c r="E1281" s="3" t="s">
        <v>24</v>
      </c>
      <c r="F1281" s="3" t="s">
        <v>1105</v>
      </c>
      <c r="G1281" s="2" t="s">
        <v>1860</v>
      </c>
      <c r="H1281" s="2" t="s">
        <v>1107</v>
      </c>
      <c r="I1281" s="156" t="str">
        <f t="shared" si="71"/>
        <v>2020</v>
      </c>
      <c r="J1281" s="156"/>
      <c r="K1281" s="156"/>
      <c r="L1281" s="2" t="s">
        <v>1861</v>
      </c>
      <c r="M1281" s="157" t="str">
        <f t="shared" si="69"/>
        <v>К41012412364</v>
      </c>
      <c r="N1281" s="174" t="s">
        <v>3481</v>
      </c>
      <c r="O1281" s="4" t="s">
        <v>1856</v>
      </c>
      <c r="P1281" s="1"/>
      <c r="S1281" s="3"/>
      <c r="U1281" s="1"/>
      <c r="V1281" s="4"/>
      <c r="W1281" s="3"/>
    </row>
    <row r="1282" spans="1:23" x14ac:dyDescent="0.25">
      <c r="A1282" s="158">
        <v>1162</v>
      </c>
      <c r="B1282" s="1"/>
      <c r="C1282" s="452" t="s">
        <v>3034</v>
      </c>
      <c r="D1282" s="158">
        <v>1291</v>
      </c>
      <c r="E1282" s="3" t="s">
        <v>24</v>
      </c>
      <c r="F1282" s="3" t="s">
        <v>1105</v>
      </c>
      <c r="G1282" s="2" t="s">
        <v>1854</v>
      </c>
      <c r="H1282" s="2" t="s">
        <v>1107</v>
      </c>
      <c r="I1282" s="156" t="str">
        <f t="shared" si="71"/>
        <v>2020</v>
      </c>
      <c r="J1282" s="156"/>
      <c r="K1282" s="156"/>
      <c r="L1282" s="2" t="s">
        <v>1855</v>
      </c>
      <c r="M1282" s="157" t="str">
        <f t="shared" si="69"/>
        <v>К41012412366</v>
      </c>
      <c r="N1282" s="174" t="s">
        <v>3481</v>
      </c>
      <c r="O1282" s="4" t="s">
        <v>1856</v>
      </c>
      <c r="P1282" s="1"/>
      <c r="S1282" s="3"/>
      <c r="U1282" s="1"/>
      <c r="V1282" s="4"/>
      <c r="W1282" s="3"/>
    </row>
    <row r="1283" spans="1:23" x14ac:dyDescent="0.25">
      <c r="A1283" s="154">
        <v>1163</v>
      </c>
      <c r="B1283" s="1"/>
      <c r="C1283" s="457" t="s">
        <v>3034</v>
      </c>
      <c r="D1283" s="154">
        <v>1314</v>
      </c>
      <c r="E1283" s="486" t="s">
        <v>3677</v>
      </c>
      <c r="F1283" s="43" t="s">
        <v>1848</v>
      </c>
      <c r="G1283" s="2" t="s">
        <v>1849</v>
      </c>
      <c r="H1283" s="2" t="s">
        <v>1850</v>
      </c>
      <c r="I1283" s="156" t="str">
        <f t="shared" si="71"/>
        <v>2021</v>
      </c>
      <c r="J1283" s="156">
        <v>2021</v>
      </c>
      <c r="K1283" s="156"/>
      <c r="L1283" s="2"/>
      <c r="M1283" s="157" t="str">
        <f t="shared" si="69"/>
        <v>К</v>
      </c>
      <c r="N1283" s="174" t="s">
        <v>3481</v>
      </c>
      <c r="O1283" s="4" t="s">
        <v>766</v>
      </c>
      <c r="P1283" s="1"/>
      <c r="U1283" s="1"/>
      <c r="V1283" s="4"/>
      <c r="W1283" s="3"/>
    </row>
    <row r="1284" spans="1:23" x14ac:dyDescent="0.25">
      <c r="A1284" s="158">
        <v>1206</v>
      </c>
      <c r="B1284" s="456" t="s">
        <v>3552</v>
      </c>
      <c r="C1284" s="452" t="s">
        <v>3034</v>
      </c>
      <c r="D1284" s="158">
        <v>1177</v>
      </c>
      <c r="E1284" s="3" t="s">
        <v>1339</v>
      </c>
      <c r="F1284" s="3" t="s">
        <v>2905</v>
      </c>
      <c r="G1284" s="2" t="s">
        <v>2906</v>
      </c>
      <c r="H1284" s="2" t="s">
        <v>2907</v>
      </c>
      <c r="I1284" s="156" t="str">
        <f t="shared" si="71"/>
        <v>5.09</v>
      </c>
      <c r="J1284" s="156">
        <v>45174</v>
      </c>
      <c r="K1284" s="156"/>
      <c r="L1284" s="2" t="s">
        <v>2908</v>
      </c>
      <c r="M1284" s="157" t="str">
        <f t="shared" si="69"/>
        <v>К08102602_3</v>
      </c>
      <c r="N1284" s="174" t="s">
        <v>3481</v>
      </c>
      <c r="O1284" s="4" t="s">
        <v>1263</v>
      </c>
      <c r="P1284" s="1"/>
      <c r="S1284" s="3"/>
      <c r="U1284" s="1"/>
      <c r="V1284" s="4"/>
      <c r="W1284" s="3"/>
    </row>
    <row r="1285" spans="1:23" x14ac:dyDescent="0.25">
      <c r="A1285" s="154">
        <v>1221</v>
      </c>
      <c r="B1285" s="1"/>
      <c r="C1285" s="452" t="s">
        <v>3034</v>
      </c>
      <c r="D1285" s="158">
        <v>1320</v>
      </c>
      <c r="E1285" s="3" t="s">
        <v>911</v>
      </c>
      <c r="F1285" s="43" t="s">
        <v>3426</v>
      </c>
      <c r="G1285" s="2" t="s">
        <v>2819</v>
      </c>
      <c r="H1285" s="2" t="s">
        <v>2820</v>
      </c>
      <c r="I1285" s="156" t="str">
        <f t="shared" si="71"/>
        <v>1.11</v>
      </c>
      <c r="J1285" s="156">
        <v>45231</v>
      </c>
      <c r="K1285" s="156"/>
      <c r="L1285" s="2" t="s">
        <v>2821</v>
      </c>
      <c r="M1285" s="157" t="str">
        <f t="shared" si="69"/>
        <v>К08102922_2</v>
      </c>
      <c r="N1285" s="174" t="s">
        <v>3481</v>
      </c>
      <c r="O1285" s="4" t="s">
        <v>766</v>
      </c>
      <c r="P1285" s="1"/>
      <c r="U1285" s="1"/>
      <c r="V1285" s="4"/>
      <c r="W1285" s="3"/>
    </row>
    <row r="1286" spans="1:23" x14ac:dyDescent="0.25">
      <c r="A1286" s="158">
        <v>1274</v>
      </c>
      <c r="B1286" s="456" t="s">
        <v>3552</v>
      </c>
      <c r="C1286" s="456"/>
      <c r="D1286" s="154">
        <v>1323</v>
      </c>
      <c r="E1286" s="3" t="s">
        <v>61</v>
      </c>
      <c r="F1286" s="43" t="s">
        <v>62</v>
      </c>
      <c r="G1286" s="2" t="s">
        <v>2892</v>
      </c>
      <c r="H1286" s="2" t="s">
        <v>2893</v>
      </c>
      <c r="I1286" s="156" t="str">
        <f t="shared" si="71"/>
        <v>5-12</v>
      </c>
      <c r="J1286" s="156">
        <v>45265</v>
      </c>
      <c r="K1286" s="156"/>
      <c r="L1286" s="2"/>
      <c r="M1286" s="157" t="str">
        <f t="shared" ref="M1286:M1349" si="72">CONCATENATE("К",L1286)</f>
        <v>К</v>
      </c>
      <c r="N1286" s="174" t="s">
        <v>3481</v>
      </c>
      <c r="O1286" s="4" t="s">
        <v>706</v>
      </c>
      <c r="P1286" s="1"/>
      <c r="U1286" s="1"/>
      <c r="V1286" s="4"/>
      <c r="W1286" s="3"/>
    </row>
    <row r="1287" spans="1:23" x14ac:dyDescent="0.25">
      <c r="A1287" s="158">
        <v>1252</v>
      </c>
      <c r="B1287" s="456" t="s">
        <v>3552</v>
      </c>
      <c r="C1287" s="452" t="s">
        <v>3034</v>
      </c>
      <c r="D1287" s="154">
        <v>1176</v>
      </c>
      <c r="E1287" s="3" t="s">
        <v>2972</v>
      </c>
      <c r="F1287" s="3" t="s">
        <v>2902</v>
      </c>
      <c r="G1287" s="2" t="s">
        <v>2903</v>
      </c>
      <c r="H1287" s="2" t="s">
        <v>2904</v>
      </c>
      <c r="I1287" s="156" t="str">
        <f t="shared" si="71"/>
        <v>0.02</v>
      </c>
      <c r="J1287" s="156" t="s">
        <v>5589</v>
      </c>
      <c r="K1287" s="156"/>
      <c r="L1287" s="2"/>
      <c r="M1287" s="157" t="str">
        <f t="shared" si="72"/>
        <v>К</v>
      </c>
      <c r="N1287" s="174" t="s">
        <v>3481</v>
      </c>
      <c r="O1287" s="4" t="s">
        <v>1263</v>
      </c>
      <c r="P1287" s="1"/>
      <c r="S1287" s="3"/>
      <c r="U1287" s="1"/>
      <c r="V1287" s="4"/>
      <c r="W1287" s="3"/>
    </row>
    <row r="1288" spans="1:23" x14ac:dyDescent="0.25">
      <c r="A1288" s="158">
        <v>1164</v>
      </c>
      <c r="B1288" s="1"/>
      <c r="C1288" s="452" t="s">
        <v>3034</v>
      </c>
      <c r="D1288" s="158">
        <v>1285</v>
      </c>
      <c r="E1288" s="3" t="s">
        <v>24</v>
      </c>
      <c r="F1288" s="3" t="s">
        <v>25</v>
      </c>
      <c r="G1288" s="2" t="s">
        <v>2877</v>
      </c>
      <c r="H1288" s="2" t="s">
        <v>1078</v>
      </c>
      <c r="I1288" s="156" t="str">
        <f t="shared" si="71"/>
        <v>20__</v>
      </c>
      <c r="J1288" s="156"/>
      <c r="K1288" s="156"/>
      <c r="L1288" s="2"/>
      <c r="M1288" s="157" t="str">
        <f t="shared" si="72"/>
        <v>К</v>
      </c>
      <c r="N1288" s="174" t="s">
        <v>3481</v>
      </c>
      <c r="O1288" s="4" t="s">
        <v>1076</v>
      </c>
      <c r="P1288" s="1"/>
      <c r="U1288" s="153" t="s">
        <v>3646</v>
      </c>
      <c r="V1288" s="4"/>
      <c r="W1288" s="3"/>
    </row>
    <row r="1289" spans="1:23" x14ac:dyDescent="0.25">
      <c r="A1289" s="154">
        <v>1165</v>
      </c>
      <c r="B1289" s="1"/>
      <c r="C1289" s="452" t="s">
        <v>3034</v>
      </c>
      <c r="D1289" s="158">
        <v>1242</v>
      </c>
      <c r="E1289" s="3" t="s">
        <v>91</v>
      </c>
      <c r="F1289" s="43" t="s">
        <v>92</v>
      </c>
      <c r="G1289" s="2" t="s">
        <v>2856</v>
      </c>
      <c r="H1289" s="2" t="s">
        <v>1832</v>
      </c>
      <c r="I1289" s="156" t="str">
        <f t="shared" si="71"/>
        <v>201_</v>
      </c>
      <c r="J1289" s="156"/>
      <c r="K1289" s="156"/>
      <c r="L1289" s="2"/>
      <c r="M1289" s="157" t="str">
        <f t="shared" si="72"/>
        <v>К</v>
      </c>
      <c r="N1289" s="174" t="s">
        <v>3481</v>
      </c>
      <c r="O1289" s="4" t="s">
        <v>2028</v>
      </c>
      <c r="P1289" s="1"/>
      <c r="U1289" s="153" t="s">
        <v>3646</v>
      </c>
      <c r="V1289" s="4"/>
      <c r="W1289" s="3"/>
    </row>
    <row r="1290" spans="1:23" x14ac:dyDescent="0.25">
      <c r="A1290" s="158">
        <v>1166</v>
      </c>
      <c r="B1290" s="456" t="s">
        <v>3552</v>
      </c>
      <c r="C1290" s="452" t="s">
        <v>3034</v>
      </c>
      <c r="D1290" s="158">
        <v>1180</v>
      </c>
      <c r="E1290" s="3" t="s">
        <v>2975</v>
      </c>
      <c r="F1290" s="43" t="s">
        <v>2985</v>
      </c>
      <c r="G1290" s="2" t="s">
        <v>2914</v>
      </c>
      <c r="H1290" s="2"/>
      <c r="I1290" s="156" t="str">
        <f t="shared" si="71"/>
        <v/>
      </c>
      <c r="J1290" s="156"/>
      <c r="K1290" s="156"/>
      <c r="L1290" s="2" t="s">
        <v>2915</v>
      </c>
      <c r="M1290" s="157" t="str">
        <f t="shared" si="72"/>
        <v>К7240000291</v>
      </c>
      <c r="N1290" s="174" t="s">
        <v>3481</v>
      </c>
      <c r="O1290" s="4" t="s">
        <v>1263</v>
      </c>
      <c r="P1290" s="1"/>
      <c r="S1290" s="3"/>
      <c r="U1290" s="153" t="s">
        <v>3646</v>
      </c>
      <c r="V1290" s="4"/>
      <c r="W1290" s="3"/>
    </row>
    <row r="1291" spans="1:23" x14ac:dyDescent="0.25">
      <c r="A1291" s="154">
        <v>1207</v>
      </c>
      <c r="B1291" s="1"/>
      <c r="C1291" s="1"/>
      <c r="D1291" s="158">
        <v>1184</v>
      </c>
      <c r="E1291" s="3" t="s">
        <v>2951</v>
      </c>
      <c r="F1291" s="43" t="s">
        <v>3405</v>
      </c>
      <c r="G1291" s="2" t="s">
        <v>2752</v>
      </c>
      <c r="H1291" s="2"/>
      <c r="I1291" s="156" t="str">
        <f t="shared" ref="I1291:I1322" si="73">RIGHT(H1291,4)</f>
        <v/>
      </c>
      <c r="J1291" s="156"/>
      <c r="K1291" s="156"/>
      <c r="L1291" s="2" t="s">
        <v>2753</v>
      </c>
      <c r="M1291" s="157" t="str">
        <f t="shared" si="72"/>
        <v>К41012400169</v>
      </c>
      <c r="N1291" s="174" t="s">
        <v>3481</v>
      </c>
      <c r="O1291" s="4" t="s">
        <v>766</v>
      </c>
      <c r="P1291" s="1">
        <v>3</v>
      </c>
      <c r="U1291" s="153" t="s">
        <v>3646</v>
      </c>
      <c r="V1291" s="4"/>
      <c r="W1291" s="3"/>
    </row>
    <row r="1292" spans="1:23" x14ac:dyDescent="0.25">
      <c r="A1292" s="158">
        <v>1208</v>
      </c>
      <c r="B1292" s="1"/>
      <c r="C1292" s="1"/>
      <c r="D1292" s="154">
        <v>1185</v>
      </c>
      <c r="E1292" s="3" t="s">
        <v>2951</v>
      </c>
      <c r="F1292" s="43" t="s">
        <v>3405</v>
      </c>
      <c r="G1292" s="2" t="s">
        <v>2760</v>
      </c>
      <c r="H1292" s="2"/>
      <c r="I1292" s="156" t="str">
        <f t="shared" si="73"/>
        <v/>
      </c>
      <c r="J1292" s="156"/>
      <c r="K1292" s="156"/>
      <c r="L1292" s="2" t="s">
        <v>2761</v>
      </c>
      <c r="M1292" s="157" t="str">
        <f t="shared" si="72"/>
        <v>К41012400170</v>
      </c>
      <c r="N1292" s="174" t="s">
        <v>3481</v>
      </c>
      <c r="O1292" s="4" t="s">
        <v>766</v>
      </c>
      <c r="P1292" s="1"/>
      <c r="U1292" s="153" t="s">
        <v>3646</v>
      </c>
      <c r="V1292" s="4"/>
      <c r="W1292" s="3"/>
    </row>
    <row r="1293" spans="1:23" x14ac:dyDescent="0.25">
      <c r="A1293" s="158">
        <v>1210</v>
      </c>
      <c r="B1293" s="1"/>
      <c r="C1293" s="1"/>
      <c r="D1293" s="158">
        <v>1186</v>
      </c>
      <c r="E1293" s="3" t="s">
        <v>2951</v>
      </c>
      <c r="F1293" s="43" t="s">
        <v>3405</v>
      </c>
      <c r="G1293" s="2" t="s">
        <v>2762</v>
      </c>
      <c r="H1293" s="2"/>
      <c r="I1293" s="156" t="str">
        <f t="shared" si="73"/>
        <v/>
      </c>
      <c r="J1293" s="156"/>
      <c r="K1293" s="156"/>
      <c r="L1293" s="2"/>
      <c r="M1293" s="157" t="str">
        <f t="shared" si="72"/>
        <v>К</v>
      </c>
      <c r="N1293" s="174" t="s">
        <v>3481</v>
      </c>
      <c r="O1293" s="4" t="s">
        <v>766</v>
      </c>
      <c r="P1293" s="1"/>
      <c r="U1293" s="153" t="s">
        <v>3646</v>
      </c>
      <c r="V1293" s="4"/>
      <c r="W1293" s="3"/>
    </row>
    <row r="1294" spans="1:23" x14ac:dyDescent="0.25">
      <c r="A1294" s="154">
        <v>1209</v>
      </c>
      <c r="B1294" s="1"/>
      <c r="C1294" s="1"/>
      <c r="D1294" s="158">
        <v>1187</v>
      </c>
      <c r="E1294" s="3" t="s">
        <v>2953</v>
      </c>
      <c r="F1294" s="43" t="s">
        <v>3410</v>
      </c>
      <c r="G1294" s="2" t="s">
        <v>2763</v>
      </c>
      <c r="H1294" s="2"/>
      <c r="I1294" s="156" t="str">
        <f t="shared" si="73"/>
        <v/>
      </c>
      <c r="J1294" s="156"/>
      <c r="K1294" s="156"/>
      <c r="L1294" s="2" t="s">
        <v>2764</v>
      </c>
      <c r="M1294" s="157" t="str">
        <f t="shared" si="72"/>
        <v>К08102759_2</v>
      </c>
      <c r="N1294" s="174" t="s">
        <v>3481</v>
      </c>
      <c r="O1294" s="4" t="s">
        <v>766</v>
      </c>
      <c r="P1294" s="1"/>
      <c r="U1294" s="153" t="s">
        <v>3646</v>
      </c>
      <c r="V1294" s="4"/>
      <c r="W1294" s="3"/>
    </row>
    <row r="1295" spans="1:23" x14ac:dyDescent="0.25">
      <c r="A1295" s="158">
        <v>1212</v>
      </c>
      <c r="B1295" s="1"/>
      <c r="C1295" s="1"/>
      <c r="D1295" s="154">
        <v>1190</v>
      </c>
      <c r="E1295" s="3" t="s">
        <v>2954</v>
      </c>
      <c r="F1295" s="43" t="s">
        <v>3409</v>
      </c>
      <c r="G1295" s="2" t="s">
        <v>2765</v>
      </c>
      <c r="H1295" s="2"/>
      <c r="I1295" s="156" t="str">
        <f t="shared" si="73"/>
        <v/>
      </c>
      <c r="J1295" s="156"/>
      <c r="K1295" s="156"/>
      <c r="L1295" s="2" t="s">
        <v>2766</v>
      </c>
      <c r="M1295" s="157" t="str">
        <f t="shared" si="72"/>
        <v>К04700016</v>
      </c>
      <c r="N1295" s="174" t="s">
        <v>3481</v>
      </c>
      <c r="O1295" s="4" t="s">
        <v>766</v>
      </c>
      <c r="P1295" s="1"/>
      <c r="U1295" s="153" t="s">
        <v>3646</v>
      </c>
      <c r="V1295" s="4"/>
      <c r="W1295" s="3"/>
    </row>
    <row r="1296" spans="1:23" x14ac:dyDescent="0.25">
      <c r="A1296" s="154">
        <v>1211</v>
      </c>
      <c r="B1296" s="1"/>
      <c r="C1296" s="1"/>
      <c r="D1296" s="158">
        <v>1194</v>
      </c>
      <c r="E1296" s="3" t="s">
        <v>2332</v>
      </c>
      <c r="F1296" s="43" t="s">
        <v>1851</v>
      </c>
      <c r="G1296" s="2" t="s">
        <v>1852</v>
      </c>
      <c r="H1296" s="2"/>
      <c r="I1296" s="156" t="str">
        <f t="shared" si="73"/>
        <v/>
      </c>
      <c r="J1296" s="156"/>
      <c r="K1296" s="156"/>
      <c r="L1296" s="2"/>
      <c r="M1296" s="157" t="str">
        <f t="shared" si="72"/>
        <v>К</v>
      </c>
      <c r="N1296" s="174" t="s">
        <v>3481</v>
      </c>
      <c r="O1296" s="4" t="s">
        <v>766</v>
      </c>
      <c r="P1296" s="1"/>
      <c r="U1296" s="153" t="s">
        <v>3646</v>
      </c>
      <c r="V1296" s="4"/>
      <c r="W1296" s="3"/>
    </row>
    <row r="1297" spans="1:23" x14ac:dyDescent="0.25">
      <c r="A1297" s="158">
        <v>1214</v>
      </c>
      <c r="B1297" s="1"/>
      <c r="C1297" s="452" t="s">
        <v>3034</v>
      </c>
      <c r="D1297" s="154">
        <v>1195</v>
      </c>
      <c r="E1297" s="3" t="s">
        <v>352</v>
      </c>
      <c r="F1297" s="43" t="s">
        <v>3411</v>
      </c>
      <c r="G1297" s="2" t="s">
        <v>2767</v>
      </c>
      <c r="H1297" s="2"/>
      <c r="I1297" s="156" t="str">
        <f t="shared" si="73"/>
        <v/>
      </c>
      <c r="J1297" s="156"/>
      <c r="K1297" s="156"/>
      <c r="L1297" s="2" t="s">
        <v>2768</v>
      </c>
      <c r="M1297" s="157" t="str">
        <f t="shared" si="72"/>
        <v>К08102448_3</v>
      </c>
      <c r="N1297" s="174" t="s">
        <v>3481</v>
      </c>
      <c r="O1297" s="4" t="s">
        <v>766</v>
      </c>
      <c r="P1297" s="1"/>
      <c r="U1297" s="153" t="s">
        <v>3646</v>
      </c>
      <c r="V1297" s="4"/>
      <c r="W1297" s="3"/>
    </row>
    <row r="1298" spans="1:23" x14ac:dyDescent="0.25">
      <c r="A1298" s="154">
        <v>1213</v>
      </c>
      <c r="B1298" s="1"/>
      <c r="C1298" s="1"/>
      <c r="D1298" s="158">
        <v>1200</v>
      </c>
      <c r="E1298" s="3" t="s">
        <v>2955</v>
      </c>
      <c r="F1298" s="43" t="s">
        <v>3412</v>
      </c>
      <c r="G1298" s="2" t="s">
        <v>2769</v>
      </c>
      <c r="H1298" s="2"/>
      <c r="I1298" s="156" t="str">
        <f t="shared" si="73"/>
        <v/>
      </c>
      <c r="J1298" s="156"/>
      <c r="K1298" s="156"/>
      <c r="L1298" s="2"/>
      <c r="M1298" s="157" t="str">
        <f t="shared" si="72"/>
        <v>К</v>
      </c>
      <c r="N1298" s="174" t="s">
        <v>3481</v>
      </c>
      <c r="O1298" s="4" t="s">
        <v>766</v>
      </c>
      <c r="P1298" s="1"/>
      <c r="U1298" s="153" t="s">
        <v>3646</v>
      </c>
      <c r="V1298" s="4"/>
      <c r="W1298" s="3"/>
    </row>
    <row r="1299" spans="1:23" x14ac:dyDescent="0.25">
      <c r="A1299" s="154">
        <v>1215</v>
      </c>
      <c r="B1299" s="1"/>
      <c r="C1299" s="1"/>
      <c r="D1299" s="158">
        <v>1201</v>
      </c>
      <c r="E1299" s="3" t="s">
        <v>2955</v>
      </c>
      <c r="F1299" s="43" t="s">
        <v>3412</v>
      </c>
      <c r="G1299" s="2" t="s">
        <v>2770</v>
      </c>
      <c r="H1299" s="2"/>
      <c r="I1299" s="156" t="str">
        <f t="shared" si="73"/>
        <v/>
      </c>
      <c r="J1299" s="156"/>
      <c r="K1299" s="156"/>
      <c r="L1299" s="2"/>
      <c r="M1299" s="157" t="str">
        <f t="shared" si="72"/>
        <v>К</v>
      </c>
      <c r="N1299" s="174" t="s">
        <v>3481</v>
      </c>
      <c r="O1299" s="4" t="s">
        <v>766</v>
      </c>
      <c r="P1299" s="1"/>
      <c r="U1299" s="153" t="s">
        <v>3646</v>
      </c>
      <c r="V1299" s="4"/>
      <c r="W1299" s="3"/>
    </row>
    <row r="1300" spans="1:23" x14ac:dyDescent="0.25">
      <c r="A1300" s="154">
        <v>1217</v>
      </c>
      <c r="B1300" s="1"/>
      <c r="C1300" s="1"/>
      <c r="D1300" s="154">
        <v>1202</v>
      </c>
      <c r="E1300" s="3" t="s">
        <v>2955</v>
      </c>
      <c r="F1300" s="43" t="s">
        <v>3412</v>
      </c>
      <c r="G1300" s="2" t="s">
        <v>2771</v>
      </c>
      <c r="H1300" s="2"/>
      <c r="I1300" s="156" t="str">
        <f t="shared" si="73"/>
        <v/>
      </c>
      <c r="J1300" s="156"/>
      <c r="K1300" s="156"/>
      <c r="L1300" s="2"/>
      <c r="M1300" s="157" t="str">
        <f t="shared" si="72"/>
        <v>К</v>
      </c>
      <c r="N1300" s="174" t="s">
        <v>3481</v>
      </c>
      <c r="O1300" s="4" t="s">
        <v>766</v>
      </c>
      <c r="P1300" s="1"/>
      <c r="U1300" s="153" t="s">
        <v>3646</v>
      </c>
      <c r="V1300" s="4"/>
      <c r="W1300" s="3"/>
    </row>
    <row r="1301" spans="1:23" x14ac:dyDescent="0.25">
      <c r="A1301" s="158">
        <v>1216</v>
      </c>
      <c r="B1301" s="1"/>
      <c r="C1301" s="1"/>
      <c r="D1301" s="158">
        <v>1203</v>
      </c>
      <c r="E1301" s="3" t="s">
        <v>2955</v>
      </c>
      <c r="F1301" s="43" t="s">
        <v>3412</v>
      </c>
      <c r="G1301" s="2" t="s">
        <v>2772</v>
      </c>
      <c r="H1301" s="2"/>
      <c r="I1301" s="156" t="str">
        <f t="shared" si="73"/>
        <v/>
      </c>
      <c r="J1301" s="156"/>
      <c r="K1301" s="156"/>
      <c r="L1301" s="2"/>
      <c r="M1301" s="157" t="str">
        <f t="shared" si="72"/>
        <v>К</v>
      </c>
      <c r="N1301" s="174" t="s">
        <v>3481</v>
      </c>
      <c r="O1301" s="4" t="s">
        <v>766</v>
      </c>
      <c r="P1301" s="1"/>
      <c r="U1301" s="153" t="s">
        <v>3646</v>
      </c>
      <c r="V1301" s="4"/>
      <c r="W1301" s="3"/>
    </row>
    <row r="1302" spans="1:23" x14ac:dyDescent="0.25">
      <c r="A1302" s="158">
        <v>1222</v>
      </c>
      <c r="B1302" s="1"/>
      <c r="C1302" s="452" t="s">
        <v>3034</v>
      </c>
      <c r="D1302" s="154">
        <v>1204</v>
      </c>
      <c r="E1302" s="3" t="s">
        <v>763</v>
      </c>
      <c r="F1302" s="43" t="s">
        <v>3413</v>
      </c>
      <c r="G1302" s="2" t="s">
        <v>2776</v>
      </c>
      <c r="H1302" s="2"/>
      <c r="I1302" s="156" t="str">
        <f t="shared" si="73"/>
        <v/>
      </c>
      <c r="J1302" s="156"/>
      <c r="K1302" s="156"/>
      <c r="L1302" s="2" t="s">
        <v>2777</v>
      </c>
      <c r="M1302" s="157" t="str">
        <f t="shared" si="72"/>
        <v>К08103518</v>
      </c>
      <c r="N1302" s="174" t="s">
        <v>3481</v>
      </c>
      <c r="O1302" s="4" t="s">
        <v>766</v>
      </c>
      <c r="P1302" s="1"/>
      <c r="U1302" s="153" t="s">
        <v>3646</v>
      </c>
      <c r="V1302" s="4"/>
      <c r="W1302" s="3"/>
    </row>
    <row r="1303" spans="1:23" x14ac:dyDescent="0.25">
      <c r="A1303" s="158">
        <v>1230</v>
      </c>
      <c r="B1303" s="1"/>
      <c r="C1303" s="452" t="s">
        <v>3034</v>
      </c>
      <c r="D1303" s="158">
        <v>1205</v>
      </c>
      <c r="E1303" s="3" t="s">
        <v>763</v>
      </c>
      <c r="F1303" s="43" t="s">
        <v>3413</v>
      </c>
      <c r="G1303" s="2" t="s">
        <v>2775</v>
      </c>
      <c r="H1303" s="2"/>
      <c r="I1303" s="156" t="str">
        <f t="shared" si="73"/>
        <v/>
      </c>
      <c r="J1303" s="156"/>
      <c r="K1303" s="156"/>
      <c r="L1303" s="2" t="s">
        <v>2774</v>
      </c>
      <c r="M1303" s="157" t="str">
        <f t="shared" si="72"/>
        <v>К08103519</v>
      </c>
      <c r="N1303" s="174" t="s">
        <v>3481</v>
      </c>
      <c r="O1303" s="4" t="s">
        <v>766</v>
      </c>
      <c r="P1303" s="1"/>
      <c r="U1303" s="153" t="s">
        <v>3646</v>
      </c>
      <c r="V1303" s="4"/>
      <c r="W1303" s="3"/>
    </row>
    <row r="1304" spans="1:23" x14ac:dyDescent="0.25">
      <c r="A1304" s="158">
        <v>1238</v>
      </c>
      <c r="B1304" s="1"/>
      <c r="C1304" s="1"/>
      <c r="D1304" s="154">
        <v>1206</v>
      </c>
      <c r="E1304" s="3" t="s">
        <v>763</v>
      </c>
      <c r="F1304" s="43" t="s">
        <v>3413</v>
      </c>
      <c r="G1304" s="2" t="s">
        <v>2778</v>
      </c>
      <c r="H1304" s="2"/>
      <c r="I1304" s="156" t="str">
        <f t="shared" si="73"/>
        <v/>
      </c>
      <c r="J1304" s="156"/>
      <c r="K1304" s="156"/>
      <c r="L1304" s="2" t="s">
        <v>2777</v>
      </c>
      <c r="M1304" s="157" t="str">
        <f t="shared" si="72"/>
        <v>К08103518</v>
      </c>
      <c r="N1304" s="174" t="s">
        <v>3481</v>
      </c>
      <c r="O1304" s="4" t="s">
        <v>766</v>
      </c>
      <c r="P1304" s="1"/>
      <c r="U1304" s="153" t="s">
        <v>3646</v>
      </c>
      <c r="V1304" s="4"/>
      <c r="W1304" s="3"/>
    </row>
    <row r="1305" spans="1:23" x14ac:dyDescent="0.25">
      <c r="A1305" s="158">
        <v>1244</v>
      </c>
      <c r="B1305" s="1"/>
      <c r="C1305" s="1"/>
      <c r="D1305" s="158">
        <v>1207</v>
      </c>
      <c r="E1305" s="3" t="s">
        <v>763</v>
      </c>
      <c r="F1305" s="43" t="s">
        <v>3413</v>
      </c>
      <c r="G1305" s="2" t="s">
        <v>2773</v>
      </c>
      <c r="H1305" s="2"/>
      <c r="I1305" s="156" t="str">
        <f t="shared" si="73"/>
        <v/>
      </c>
      <c r="J1305" s="156"/>
      <c r="K1305" s="156"/>
      <c r="L1305" s="2" t="s">
        <v>2774</v>
      </c>
      <c r="M1305" s="157" t="str">
        <f t="shared" si="72"/>
        <v>К08103519</v>
      </c>
      <c r="N1305" s="174" t="s">
        <v>3481</v>
      </c>
      <c r="O1305" s="4" t="s">
        <v>766</v>
      </c>
      <c r="P1305" s="1"/>
      <c r="U1305" s="153" t="s">
        <v>3646</v>
      </c>
      <c r="V1305" s="4"/>
      <c r="W1305" s="3"/>
    </row>
    <row r="1306" spans="1:23" x14ac:dyDescent="0.25">
      <c r="A1306" s="154">
        <v>1245</v>
      </c>
      <c r="B1306" s="1"/>
      <c r="C1306" s="452"/>
      <c r="D1306" s="158">
        <v>1208</v>
      </c>
      <c r="E1306" s="3" t="s">
        <v>763</v>
      </c>
      <c r="F1306" s="43" t="s">
        <v>2997</v>
      </c>
      <c r="G1306" s="2"/>
      <c r="H1306" s="2"/>
      <c r="I1306" s="156" t="str">
        <f t="shared" si="73"/>
        <v/>
      </c>
      <c r="J1306" s="156"/>
      <c r="K1306" s="156"/>
      <c r="L1306" s="2" t="s">
        <v>2855</v>
      </c>
      <c r="M1306" s="157" t="str">
        <f t="shared" si="72"/>
        <v>К01370651</v>
      </c>
      <c r="N1306" s="174" t="s">
        <v>3481</v>
      </c>
      <c r="O1306" s="4" t="s">
        <v>2028</v>
      </c>
      <c r="P1306" s="1"/>
      <c r="U1306" s="153" t="s">
        <v>3646</v>
      </c>
      <c r="V1306" s="4"/>
      <c r="W1306" s="3"/>
    </row>
    <row r="1307" spans="1:23" x14ac:dyDescent="0.25">
      <c r="A1307" s="158">
        <v>1246</v>
      </c>
      <c r="B1307" s="1"/>
      <c r="C1307" s="1"/>
      <c r="D1307" s="158">
        <v>1210</v>
      </c>
      <c r="E1307" s="3" t="s">
        <v>2944</v>
      </c>
      <c r="F1307" s="43" t="s">
        <v>3396</v>
      </c>
      <c r="G1307" s="2" t="s">
        <v>2780</v>
      </c>
      <c r="H1307" s="2"/>
      <c r="I1307" s="156" t="str">
        <f t="shared" si="73"/>
        <v/>
      </c>
      <c r="J1307" s="156"/>
      <c r="K1307" s="156"/>
      <c r="L1307" s="2" t="s">
        <v>2781</v>
      </c>
      <c r="M1307" s="157" t="str">
        <f t="shared" si="72"/>
        <v>К08103933</v>
      </c>
      <c r="N1307" s="174" t="s">
        <v>3481</v>
      </c>
      <c r="O1307" s="4" t="s">
        <v>766</v>
      </c>
      <c r="P1307" s="1"/>
      <c r="U1307" s="153" t="s">
        <v>3646</v>
      </c>
      <c r="V1307" s="4"/>
      <c r="W1307" s="3"/>
    </row>
    <row r="1308" spans="1:23" x14ac:dyDescent="0.25">
      <c r="A1308" s="154">
        <v>1247</v>
      </c>
      <c r="B1308" s="1"/>
      <c r="C1308" s="1"/>
      <c r="D1308" s="154">
        <v>1211</v>
      </c>
      <c r="E1308" s="3" t="s">
        <v>2944</v>
      </c>
      <c r="F1308" s="43" t="s">
        <v>3396</v>
      </c>
      <c r="G1308" s="2" t="s">
        <v>2784</v>
      </c>
      <c r="H1308" s="2"/>
      <c r="I1308" s="156" t="str">
        <f t="shared" si="73"/>
        <v/>
      </c>
      <c r="J1308" s="156"/>
      <c r="K1308" s="156"/>
      <c r="L1308" s="2" t="s">
        <v>2785</v>
      </c>
      <c r="M1308" s="157" t="str">
        <f t="shared" si="72"/>
        <v>К08103934</v>
      </c>
      <c r="N1308" s="174" t="s">
        <v>3481</v>
      </c>
      <c r="O1308" s="4" t="s">
        <v>766</v>
      </c>
      <c r="P1308" s="1"/>
      <c r="U1308" s="153" t="s">
        <v>3646</v>
      </c>
      <c r="V1308" s="4"/>
      <c r="W1308" s="3"/>
    </row>
    <row r="1309" spans="1:23" x14ac:dyDescent="0.25">
      <c r="A1309" s="154">
        <v>1253</v>
      </c>
      <c r="B1309" s="1"/>
      <c r="C1309" s="1"/>
      <c r="D1309" s="158">
        <v>1212</v>
      </c>
      <c r="E1309" s="3" t="s">
        <v>2944</v>
      </c>
      <c r="F1309" s="43" t="s">
        <v>3396</v>
      </c>
      <c r="G1309" s="2" t="s">
        <v>2782</v>
      </c>
      <c r="H1309" s="2"/>
      <c r="I1309" s="156" t="str">
        <f t="shared" si="73"/>
        <v/>
      </c>
      <c r="J1309" s="156"/>
      <c r="K1309" s="156"/>
      <c r="L1309" s="2" t="s">
        <v>2783</v>
      </c>
      <c r="M1309" s="157" t="str">
        <f t="shared" si="72"/>
        <v>К08103939</v>
      </c>
      <c r="N1309" s="174" t="s">
        <v>3481</v>
      </c>
      <c r="O1309" s="4" t="s">
        <v>766</v>
      </c>
      <c r="P1309" s="1"/>
      <c r="U1309" s="153" t="s">
        <v>3646</v>
      </c>
      <c r="V1309" s="4"/>
      <c r="W1309" s="3"/>
    </row>
    <row r="1310" spans="1:23" x14ac:dyDescent="0.25">
      <c r="A1310" s="158">
        <v>1254</v>
      </c>
      <c r="B1310" s="456" t="s">
        <v>3552</v>
      </c>
      <c r="C1310" s="452" t="s">
        <v>3034</v>
      </c>
      <c r="D1310" s="154">
        <v>1220</v>
      </c>
      <c r="E1310" s="3" t="s">
        <v>2978</v>
      </c>
      <c r="F1310" s="43" t="s">
        <v>2982</v>
      </c>
      <c r="G1310" s="2" t="s">
        <v>2926</v>
      </c>
      <c r="H1310" s="2"/>
      <c r="I1310" s="156" t="str">
        <f t="shared" si="73"/>
        <v/>
      </c>
      <c r="J1310" s="156"/>
      <c r="K1310" s="156"/>
      <c r="L1310" s="2" t="s">
        <v>2927</v>
      </c>
      <c r="M1310" s="157" t="str">
        <f t="shared" si="72"/>
        <v>К7240000288</v>
      </c>
      <c r="N1310" s="174" t="s">
        <v>3481</v>
      </c>
      <c r="O1310" s="4" t="s">
        <v>1263</v>
      </c>
      <c r="P1310" s="1"/>
      <c r="S1310" s="3"/>
      <c r="U1310" s="153" t="s">
        <v>3646</v>
      </c>
      <c r="V1310" s="4"/>
      <c r="W1310" s="3"/>
    </row>
    <row r="1311" spans="1:23" x14ac:dyDescent="0.25">
      <c r="A1311" s="158">
        <v>1256</v>
      </c>
      <c r="B1311" s="1"/>
      <c r="C1311" s="1"/>
      <c r="D1311" s="158">
        <v>1221</v>
      </c>
      <c r="E1311" s="3" t="s">
        <v>2967</v>
      </c>
      <c r="F1311" s="43" t="s">
        <v>2993</v>
      </c>
      <c r="G1311" s="2" t="s">
        <v>2871</v>
      </c>
      <c r="H1311" s="2"/>
      <c r="I1311" s="156" t="str">
        <f t="shared" si="73"/>
        <v/>
      </c>
      <c r="J1311" s="156"/>
      <c r="K1311" s="156"/>
      <c r="L1311" s="2" t="s">
        <v>2872</v>
      </c>
      <c r="M1311" s="157" t="str">
        <f t="shared" si="72"/>
        <v>К08108235</v>
      </c>
      <c r="N1311" s="174" t="s">
        <v>3481</v>
      </c>
      <c r="O1311" s="4" t="s">
        <v>1076</v>
      </c>
      <c r="P1311" s="1"/>
      <c r="U1311" s="153" t="s">
        <v>3646</v>
      </c>
      <c r="V1311" s="4"/>
      <c r="W1311" s="3"/>
    </row>
    <row r="1312" spans="1:23" x14ac:dyDescent="0.25">
      <c r="A1312" s="158">
        <v>1260</v>
      </c>
      <c r="B1312" s="1"/>
      <c r="C1312" s="452" t="s">
        <v>3034</v>
      </c>
      <c r="D1312" s="154">
        <v>1223</v>
      </c>
      <c r="E1312" s="3" t="s">
        <v>2971</v>
      </c>
      <c r="F1312" s="43" t="s">
        <v>2989</v>
      </c>
      <c r="G1312" s="2"/>
      <c r="H1312" s="2"/>
      <c r="I1312" s="156" t="str">
        <f t="shared" si="73"/>
        <v/>
      </c>
      <c r="J1312" s="156"/>
      <c r="K1312" s="156"/>
      <c r="L1312" s="2" t="s">
        <v>2894</v>
      </c>
      <c r="M1312" s="157" t="str">
        <f t="shared" si="72"/>
        <v>К795</v>
      </c>
      <c r="N1312" s="174" t="s">
        <v>3481</v>
      </c>
      <c r="O1312" s="4" t="s">
        <v>985</v>
      </c>
      <c r="P1312" s="1"/>
      <c r="S1312" s="3"/>
      <c r="U1312" s="153" t="s">
        <v>3646</v>
      </c>
      <c r="V1312" s="4"/>
      <c r="W1312" s="3"/>
    </row>
    <row r="1313" spans="1:23" x14ac:dyDescent="0.25">
      <c r="A1313" s="154">
        <v>1275</v>
      </c>
      <c r="B1313" s="136" t="s">
        <v>3552</v>
      </c>
      <c r="C1313" s="136"/>
      <c r="D1313" s="158">
        <v>1228</v>
      </c>
      <c r="E1313" s="3" t="s">
        <v>18</v>
      </c>
      <c r="F1313" s="43" t="s">
        <v>3466</v>
      </c>
      <c r="G1313" s="2" t="s">
        <v>2882</v>
      </c>
      <c r="H1313" s="2"/>
      <c r="I1313" s="156" t="str">
        <f t="shared" si="73"/>
        <v/>
      </c>
      <c r="J1313" s="156"/>
      <c r="K1313" s="156"/>
      <c r="L1313" s="2"/>
      <c r="M1313" s="157" t="str">
        <f t="shared" si="72"/>
        <v>К</v>
      </c>
      <c r="N1313" s="174" t="s">
        <v>3481</v>
      </c>
      <c r="O1313" s="4" t="s">
        <v>706</v>
      </c>
      <c r="P1313" s="1"/>
      <c r="U1313" s="153" t="s">
        <v>3646</v>
      </c>
      <c r="V1313" s="4"/>
      <c r="W1313" s="3"/>
    </row>
    <row r="1314" spans="1:23" x14ac:dyDescent="0.25">
      <c r="A1314" s="158">
        <v>1278</v>
      </c>
      <c r="B1314" s="456" t="s">
        <v>3552</v>
      </c>
      <c r="C1314" s="456"/>
      <c r="D1314" s="158">
        <v>1229</v>
      </c>
      <c r="E1314" s="458" t="s">
        <v>2303</v>
      </c>
      <c r="F1314" s="43" t="s">
        <v>3427</v>
      </c>
      <c r="G1314" s="2" t="s">
        <v>2822</v>
      </c>
      <c r="H1314" s="2"/>
      <c r="I1314" s="156" t="str">
        <f t="shared" si="73"/>
        <v/>
      </c>
      <c r="J1314" s="156"/>
      <c r="K1314" s="156"/>
      <c r="L1314" s="2"/>
      <c r="M1314" s="157" t="str">
        <f t="shared" si="72"/>
        <v>К</v>
      </c>
      <c r="N1314" s="174" t="s">
        <v>3481</v>
      </c>
      <c r="O1314" s="4" t="s">
        <v>766</v>
      </c>
      <c r="P1314" s="1"/>
      <c r="U1314" s="153" t="s">
        <v>3646</v>
      </c>
      <c r="V1314" s="4"/>
      <c r="W1314" s="3"/>
    </row>
    <row r="1315" spans="1:23" x14ac:dyDescent="0.25">
      <c r="A1315" s="154">
        <v>1167</v>
      </c>
      <c r="B1315" s="1"/>
      <c r="C1315" s="1"/>
      <c r="D1315" s="154">
        <v>1232</v>
      </c>
      <c r="E1315" s="3" t="s">
        <v>2968</v>
      </c>
      <c r="F1315" s="43" t="s">
        <v>3465</v>
      </c>
      <c r="G1315" s="2" t="s">
        <v>2874</v>
      </c>
      <c r="H1315" s="2"/>
      <c r="I1315" s="156" t="str">
        <f t="shared" si="73"/>
        <v/>
      </c>
      <c r="J1315" s="156"/>
      <c r="K1315" s="156"/>
      <c r="L1315" s="2">
        <v>7360000113</v>
      </c>
      <c r="M1315" s="157" t="str">
        <f t="shared" si="72"/>
        <v>К7360000113</v>
      </c>
      <c r="N1315" s="174" t="s">
        <v>3481</v>
      </c>
      <c r="O1315" s="4" t="s">
        <v>1076</v>
      </c>
      <c r="P1315" s="1"/>
      <c r="U1315" s="1"/>
      <c r="V1315" s="4"/>
      <c r="W1315" s="3"/>
    </row>
    <row r="1316" spans="1:23" x14ac:dyDescent="0.25">
      <c r="A1316" s="158">
        <v>1168</v>
      </c>
      <c r="B1316" s="1"/>
      <c r="C1316" s="1"/>
      <c r="D1316" s="158">
        <v>1238</v>
      </c>
      <c r="E1316" s="3" t="s">
        <v>380</v>
      </c>
      <c r="F1316" s="43" t="s">
        <v>856</v>
      </c>
      <c r="G1316" s="2">
        <v>1100170164</v>
      </c>
      <c r="H1316" s="2"/>
      <c r="I1316" s="156" t="str">
        <f t="shared" si="73"/>
        <v/>
      </c>
      <c r="J1316" s="156"/>
      <c r="K1316" s="156"/>
      <c r="L1316" s="2" t="s">
        <v>2758</v>
      </c>
      <c r="M1316" s="157" t="str">
        <f t="shared" si="72"/>
        <v>К08106006</v>
      </c>
      <c r="N1316" s="174" t="s">
        <v>3481</v>
      </c>
      <c r="O1316" s="4" t="s">
        <v>766</v>
      </c>
      <c r="P1316" s="1">
        <v>4</v>
      </c>
      <c r="U1316" s="1"/>
      <c r="V1316" s="4"/>
      <c r="W1316" s="3"/>
    </row>
    <row r="1317" spans="1:23" x14ac:dyDescent="0.25">
      <c r="A1317" s="154">
        <v>1223</v>
      </c>
      <c r="B1317" s="1"/>
      <c r="C1317" s="1"/>
      <c r="D1317" s="158">
        <v>1245</v>
      </c>
      <c r="E1317" s="3" t="s">
        <v>2952</v>
      </c>
      <c r="F1317" s="43" t="s">
        <v>3408</v>
      </c>
      <c r="G1317" s="2" t="s">
        <v>2759</v>
      </c>
      <c r="H1317" s="2"/>
      <c r="I1317" s="156" t="str">
        <f t="shared" si="73"/>
        <v/>
      </c>
      <c r="J1317" s="156"/>
      <c r="K1317" s="156"/>
      <c r="L1317" s="2" t="s">
        <v>2758</v>
      </c>
      <c r="M1317" s="157" t="str">
        <f t="shared" si="72"/>
        <v>К08106006</v>
      </c>
      <c r="N1317" s="174" t="s">
        <v>3481</v>
      </c>
      <c r="O1317" s="4" t="s">
        <v>766</v>
      </c>
      <c r="P1317" s="1">
        <v>4</v>
      </c>
      <c r="U1317" s="1"/>
      <c r="V1317" s="4"/>
      <c r="W1317" s="3"/>
    </row>
    <row r="1318" spans="1:23" x14ac:dyDescent="0.25">
      <c r="A1318" s="154">
        <v>1171</v>
      </c>
      <c r="B1318" s="1"/>
      <c r="C1318" s="455" t="s">
        <v>3691</v>
      </c>
      <c r="D1318" s="154">
        <v>1246</v>
      </c>
      <c r="E1318" s="3" t="s">
        <v>154</v>
      </c>
      <c r="F1318" s="43" t="s">
        <v>2999</v>
      </c>
      <c r="G1318" s="2" t="s">
        <v>2836</v>
      </c>
      <c r="H1318" s="2"/>
      <c r="I1318" s="156" t="str">
        <f t="shared" si="73"/>
        <v/>
      </c>
      <c r="J1318" s="156"/>
      <c r="K1318" s="156"/>
      <c r="L1318" s="2">
        <v>2240000080</v>
      </c>
      <c r="M1318" s="157" t="str">
        <f t="shared" si="72"/>
        <v>К2240000080</v>
      </c>
      <c r="N1318" s="174" t="s">
        <v>3481</v>
      </c>
      <c r="O1318" s="4" t="s">
        <v>2831</v>
      </c>
      <c r="P1318" s="1"/>
      <c r="U1318" s="1"/>
      <c r="V1318" s="4"/>
      <c r="W1318" s="3"/>
    </row>
    <row r="1319" spans="1:23" x14ac:dyDescent="0.25">
      <c r="A1319" s="158">
        <v>1172</v>
      </c>
      <c r="B1319" s="456"/>
      <c r="C1319" s="456"/>
      <c r="D1319" s="154">
        <v>1248</v>
      </c>
      <c r="E1319" s="3" t="s">
        <v>2945</v>
      </c>
      <c r="F1319" s="3"/>
      <c r="G1319" s="2"/>
      <c r="H1319" s="2"/>
      <c r="I1319" s="156" t="str">
        <f t="shared" si="73"/>
        <v/>
      </c>
      <c r="J1319" s="156"/>
      <c r="K1319" s="156"/>
      <c r="L1319" s="2" t="s">
        <v>2928</v>
      </c>
      <c r="M1319" s="157" t="str">
        <f t="shared" si="72"/>
        <v>К04700126</v>
      </c>
      <c r="N1319" s="174" t="s">
        <v>3481</v>
      </c>
      <c r="O1319" s="4" t="s">
        <v>1263</v>
      </c>
      <c r="P1319" s="1"/>
      <c r="U1319" s="1"/>
      <c r="V1319" s="4"/>
      <c r="W1319" s="3"/>
    </row>
    <row r="1320" spans="1:23" x14ac:dyDescent="0.25">
      <c r="A1320" s="154">
        <v>1173</v>
      </c>
      <c r="B1320" s="1"/>
      <c r="C1320" s="1"/>
      <c r="D1320" s="158">
        <v>1249</v>
      </c>
      <c r="E1320" s="3" t="s">
        <v>1885</v>
      </c>
      <c r="F1320" s="3"/>
      <c r="G1320" s="2"/>
      <c r="H1320" s="2"/>
      <c r="I1320" s="156" t="str">
        <f t="shared" si="73"/>
        <v/>
      </c>
      <c r="J1320" s="156"/>
      <c r="K1320" s="156"/>
      <c r="L1320" s="2" t="s">
        <v>1886</v>
      </c>
      <c r="M1320" s="157" t="str">
        <f t="shared" si="72"/>
        <v>К08104746</v>
      </c>
      <c r="N1320" s="174" t="s">
        <v>3481</v>
      </c>
      <c r="O1320" s="4" t="s">
        <v>1773</v>
      </c>
      <c r="P1320" s="1"/>
      <c r="U1320" s="1"/>
      <c r="V1320" s="4"/>
      <c r="W1320" s="3"/>
    </row>
    <row r="1321" spans="1:23" x14ac:dyDescent="0.25">
      <c r="A1321" s="158">
        <v>1174</v>
      </c>
      <c r="B1321" s="456" t="s">
        <v>3552</v>
      </c>
      <c r="C1321" s="456"/>
      <c r="D1321" s="158">
        <v>1250</v>
      </c>
      <c r="E1321" s="3" t="s">
        <v>100</v>
      </c>
      <c r="F1321" s="43" t="s">
        <v>2981</v>
      </c>
      <c r="G1321" s="2" t="s">
        <v>2929</v>
      </c>
      <c r="H1321" s="2"/>
      <c r="I1321" s="156" t="str">
        <f t="shared" si="73"/>
        <v/>
      </c>
      <c r="J1321" s="156"/>
      <c r="K1321" s="156"/>
      <c r="L1321" s="2" t="s">
        <v>2930</v>
      </c>
      <c r="M1321" s="157" t="str">
        <f t="shared" si="72"/>
        <v>К7240000294</v>
      </c>
      <c r="N1321" s="174" t="s">
        <v>3481</v>
      </c>
      <c r="O1321" s="4" t="s">
        <v>1263</v>
      </c>
      <c r="P1321" s="1"/>
      <c r="U1321" s="1"/>
      <c r="V1321" s="4"/>
      <c r="W1321" s="3"/>
    </row>
    <row r="1322" spans="1:23" x14ac:dyDescent="0.25">
      <c r="A1322" s="154">
        <v>1175</v>
      </c>
      <c r="B1322" s="1"/>
      <c r="C1322" s="1"/>
      <c r="D1322" s="154">
        <v>1251</v>
      </c>
      <c r="E1322" s="3" t="s">
        <v>747</v>
      </c>
      <c r="F1322" s="3" t="s">
        <v>2979</v>
      </c>
      <c r="G1322" s="2"/>
      <c r="H1322" s="2"/>
      <c r="I1322" s="156" t="str">
        <f t="shared" si="73"/>
        <v/>
      </c>
      <c r="J1322" s="156"/>
      <c r="K1322" s="156"/>
      <c r="L1322" s="2" t="s">
        <v>2837</v>
      </c>
      <c r="M1322" s="157" t="str">
        <f t="shared" si="72"/>
        <v>К08102161_2</v>
      </c>
      <c r="N1322" s="174" t="s">
        <v>3481</v>
      </c>
      <c r="O1322" s="4" t="s">
        <v>2831</v>
      </c>
      <c r="P1322" s="1"/>
      <c r="U1322" s="1"/>
      <c r="V1322" s="4"/>
      <c r="W1322" s="3"/>
    </row>
    <row r="1323" spans="1:23" x14ac:dyDescent="0.25">
      <c r="A1323" s="158">
        <v>1176</v>
      </c>
      <c r="B1323" s="1"/>
      <c r="C1323" s="1"/>
      <c r="D1323" s="158">
        <v>1252</v>
      </c>
      <c r="E1323" s="3" t="s">
        <v>747</v>
      </c>
      <c r="F1323" s="3" t="s">
        <v>2979</v>
      </c>
      <c r="G1323" s="2"/>
      <c r="H1323" s="2"/>
      <c r="I1323" s="156" t="str">
        <f t="shared" ref="I1323:I1349" si="74">RIGHT(H1323,4)</f>
        <v/>
      </c>
      <c r="J1323" s="156"/>
      <c r="K1323" s="156"/>
      <c r="L1323" s="2"/>
      <c r="M1323" s="157" t="str">
        <f t="shared" si="72"/>
        <v>К</v>
      </c>
      <c r="N1323" s="174" t="s">
        <v>3481</v>
      </c>
      <c r="O1323" s="4" t="s">
        <v>2831</v>
      </c>
      <c r="P1323" s="1"/>
      <c r="U1323" s="1"/>
      <c r="V1323" s="4"/>
      <c r="W1323" s="3"/>
    </row>
    <row r="1324" spans="1:23" x14ac:dyDescent="0.25">
      <c r="A1324" s="154">
        <v>1279</v>
      </c>
      <c r="B1324" s="1"/>
      <c r="C1324" s="1"/>
      <c r="D1324" s="154">
        <v>1253</v>
      </c>
      <c r="E1324" s="3" t="s">
        <v>747</v>
      </c>
      <c r="F1324" s="43" t="s">
        <v>2979</v>
      </c>
      <c r="G1324" s="2"/>
      <c r="H1324" s="2"/>
      <c r="I1324" s="156" t="str">
        <f t="shared" si="74"/>
        <v/>
      </c>
      <c r="J1324" s="156"/>
      <c r="K1324" s="156"/>
      <c r="L1324" s="2"/>
      <c r="M1324" s="157" t="str">
        <f t="shared" si="72"/>
        <v>К</v>
      </c>
      <c r="N1324" s="174" t="s">
        <v>3481</v>
      </c>
      <c r="O1324" s="4" t="s">
        <v>2831</v>
      </c>
      <c r="P1324" s="1"/>
      <c r="U1324" s="1"/>
      <c r="V1324" s="4"/>
      <c r="W1324" s="3"/>
    </row>
    <row r="1325" spans="1:23" x14ac:dyDescent="0.25">
      <c r="A1325" s="154">
        <v>1225</v>
      </c>
      <c r="B1325" s="1"/>
      <c r="C1325" s="1"/>
      <c r="D1325" s="158">
        <v>1254</v>
      </c>
      <c r="E1325" s="3" t="s">
        <v>1839</v>
      </c>
      <c r="F1325" s="3" t="s">
        <v>1840</v>
      </c>
      <c r="G1325" s="2"/>
      <c r="H1325" s="2"/>
      <c r="I1325" s="156" t="str">
        <f t="shared" si="74"/>
        <v/>
      </c>
      <c r="J1325" s="156"/>
      <c r="K1325" s="156"/>
      <c r="L1325" s="2" t="s">
        <v>1841</v>
      </c>
      <c r="M1325" s="157" t="str">
        <f t="shared" si="72"/>
        <v>К71012400264</v>
      </c>
      <c r="N1325" s="174" t="s">
        <v>3481</v>
      </c>
      <c r="O1325" s="4" t="s">
        <v>766</v>
      </c>
      <c r="P1325" s="1" t="s">
        <v>1843</v>
      </c>
      <c r="U1325" s="1"/>
      <c r="V1325" s="4"/>
      <c r="W1325" s="3"/>
    </row>
    <row r="1326" spans="1:23" x14ac:dyDescent="0.25">
      <c r="A1326" s="154">
        <v>1177</v>
      </c>
      <c r="B1326" s="1"/>
      <c r="C1326" s="1"/>
      <c r="D1326" s="154">
        <v>1260</v>
      </c>
      <c r="E1326" s="3" t="s">
        <v>2959</v>
      </c>
      <c r="F1326" s="43" t="s">
        <v>3419</v>
      </c>
      <c r="G1326" s="2" t="s">
        <v>2797</v>
      </c>
      <c r="H1326" s="2"/>
      <c r="I1326" s="156" t="str">
        <f t="shared" si="74"/>
        <v/>
      </c>
      <c r="J1326" s="156"/>
      <c r="K1326" s="156"/>
      <c r="L1326" s="2" t="s">
        <v>2798</v>
      </c>
      <c r="M1326" s="157" t="str">
        <f t="shared" si="72"/>
        <v>К41012400125</v>
      </c>
      <c r="N1326" s="174" t="s">
        <v>3481</v>
      </c>
      <c r="O1326" s="4" t="s">
        <v>766</v>
      </c>
      <c r="P1326" s="1"/>
      <c r="U1326" s="1"/>
      <c r="V1326" s="4"/>
      <c r="W1326" s="3"/>
    </row>
    <row r="1327" spans="1:23" x14ac:dyDescent="0.25">
      <c r="A1327" s="158">
        <v>1178</v>
      </c>
      <c r="B1327" s="1"/>
      <c r="C1327" s="1"/>
      <c r="D1327" s="158">
        <v>1263</v>
      </c>
      <c r="E1327" s="3" t="s">
        <v>141</v>
      </c>
      <c r="F1327" s="43" t="s">
        <v>2799</v>
      </c>
      <c r="G1327" s="2"/>
      <c r="H1327" s="2"/>
      <c r="I1327" s="156" t="str">
        <f t="shared" si="74"/>
        <v/>
      </c>
      <c r="J1327" s="156"/>
      <c r="K1327" s="156"/>
      <c r="L1327" s="589" t="s">
        <v>5618</v>
      </c>
      <c r="M1327" s="157" t="str">
        <f t="shared" si="72"/>
        <v>К08104823</v>
      </c>
      <c r="N1327" s="174" t="s">
        <v>3481</v>
      </c>
      <c r="O1327" s="4" t="s">
        <v>766</v>
      </c>
      <c r="P1327" s="1"/>
      <c r="U1327" s="1"/>
      <c r="V1327" s="4"/>
      <c r="W1327" s="3"/>
    </row>
    <row r="1328" spans="1:23" x14ac:dyDescent="0.25">
      <c r="A1328" s="154">
        <v>1179</v>
      </c>
      <c r="B1328" s="1"/>
      <c r="C1328" s="1"/>
      <c r="D1328" s="158">
        <v>1264</v>
      </c>
      <c r="E1328" s="3" t="s">
        <v>141</v>
      </c>
      <c r="F1328" s="43" t="s">
        <v>2799</v>
      </c>
      <c r="G1328" s="2"/>
      <c r="H1328" s="2"/>
      <c r="I1328" s="156" t="str">
        <f t="shared" si="74"/>
        <v/>
      </c>
      <c r="J1328" s="156"/>
      <c r="K1328" s="156"/>
      <c r="L1328" s="589" t="s">
        <v>5619</v>
      </c>
      <c r="M1328" s="157" t="str">
        <f t="shared" si="72"/>
        <v>К08104824</v>
      </c>
      <c r="N1328" s="174" t="s">
        <v>3481</v>
      </c>
      <c r="O1328" s="4" t="s">
        <v>766</v>
      </c>
      <c r="P1328" s="1"/>
      <c r="U1328" s="1"/>
      <c r="V1328" s="4"/>
      <c r="W1328" s="3"/>
    </row>
    <row r="1329" spans="1:23" x14ac:dyDescent="0.25">
      <c r="A1329" s="158">
        <v>1180</v>
      </c>
      <c r="B1329" s="1"/>
      <c r="C1329" s="1"/>
      <c r="D1329" s="158">
        <v>1271</v>
      </c>
      <c r="E1329" s="3" t="s">
        <v>24</v>
      </c>
      <c r="F1329" s="3" t="s">
        <v>1084</v>
      </c>
      <c r="G1329" s="2"/>
      <c r="H1329" s="2"/>
      <c r="I1329" s="156" t="str">
        <f t="shared" si="74"/>
        <v/>
      </c>
      <c r="J1329" s="156"/>
      <c r="K1329" s="156"/>
      <c r="L1329" s="2" t="s">
        <v>2801</v>
      </c>
      <c r="M1329" s="157" t="str">
        <f t="shared" si="72"/>
        <v>К08105183</v>
      </c>
      <c r="N1329" s="174" t="s">
        <v>3481</v>
      </c>
      <c r="O1329" s="4" t="s">
        <v>766</v>
      </c>
      <c r="P1329" s="1"/>
      <c r="U1329" s="1"/>
      <c r="V1329" s="4"/>
      <c r="W1329" s="3"/>
    </row>
    <row r="1330" spans="1:23" x14ac:dyDescent="0.25">
      <c r="A1330" s="154">
        <v>1181</v>
      </c>
      <c r="B1330" s="1"/>
      <c r="C1330" s="1"/>
      <c r="D1330" s="158">
        <v>1296</v>
      </c>
      <c r="E1330" s="3" t="s">
        <v>2960</v>
      </c>
      <c r="F1330" s="43" t="s">
        <v>3420</v>
      </c>
      <c r="G1330" s="2"/>
      <c r="H1330" s="2"/>
      <c r="I1330" s="156" t="str">
        <f t="shared" si="74"/>
        <v/>
      </c>
      <c r="J1330" s="156"/>
      <c r="K1330" s="156"/>
      <c r="L1330" s="2"/>
      <c r="M1330" s="157" t="str">
        <f t="shared" si="72"/>
        <v>К</v>
      </c>
      <c r="N1330" s="174" t="s">
        <v>3481</v>
      </c>
      <c r="O1330" s="4" t="s">
        <v>766</v>
      </c>
      <c r="P1330" s="1"/>
      <c r="U1330" s="1"/>
      <c r="V1330" s="4"/>
      <c r="W1330" s="3"/>
    </row>
    <row r="1331" spans="1:23" x14ac:dyDescent="0.25">
      <c r="A1331" s="158">
        <v>1226</v>
      </c>
      <c r="B1331" s="1"/>
      <c r="C1331" s="452" t="s">
        <v>3034</v>
      </c>
      <c r="D1331" s="158">
        <v>1298</v>
      </c>
      <c r="E1331" s="3" t="s">
        <v>2966</v>
      </c>
      <c r="F1331" s="43" t="s">
        <v>2997</v>
      </c>
      <c r="G1331" s="2"/>
      <c r="H1331" s="2"/>
      <c r="I1331" s="156" t="str">
        <f t="shared" si="74"/>
        <v/>
      </c>
      <c r="J1331" s="156"/>
      <c r="K1331" s="156"/>
      <c r="L1331" s="2" t="s">
        <v>2862</v>
      </c>
      <c r="M1331" s="157" t="str">
        <f t="shared" si="72"/>
        <v>К08103487</v>
      </c>
      <c r="N1331" s="174" t="s">
        <v>3481</v>
      </c>
      <c r="O1331" s="4" t="s">
        <v>2028</v>
      </c>
      <c r="P1331" s="1"/>
      <c r="U1331" s="1"/>
      <c r="V1331" s="4"/>
      <c r="W1331" s="3"/>
    </row>
    <row r="1332" spans="1:23" x14ac:dyDescent="0.25">
      <c r="A1332" s="154">
        <v>1257</v>
      </c>
      <c r="B1332" s="1"/>
      <c r="C1332" s="1"/>
      <c r="D1332" s="154">
        <v>1300</v>
      </c>
      <c r="E1332" s="3" t="s">
        <v>2677</v>
      </c>
      <c r="F1332" s="43" t="s">
        <v>3421</v>
      </c>
      <c r="G1332" s="2"/>
      <c r="H1332" s="2"/>
      <c r="I1332" s="156" t="str">
        <f t="shared" si="74"/>
        <v/>
      </c>
      <c r="J1332" s="156"/>
      <c r="K1332" s="156"/>
      <c r="L1332" s="2"/>
      <c r="M1332" s="157" t="str">
        <f t="shared" si="72"/>
        <v>К</v>
      </c>
      <c r="N1332" s="174" t="s">
        <v>3481</v>
      </c>
      <c r="O1332" s="4" t="s">
        <v>766</v>
      </c>
      <c r="P1332" s="1"/>
      <c r="U1332" s="1"/>
      <c r="V1332" s="4"/>
      <c r="W1332" s="3"/>
    </row>
    <row r="1333" spans="1:23" x14ac:dyDescent="0.25">
      <c r="A1333" s="158">
        <v>1182</v>
      </c>
      <c r="B1333" s="1"/>
      <c r="C1333" s="1"/>
      <c r="D1333" s="158">
        <v>1301</v>
      </c>
      <c r="E1333" s="3" t="s">
        <v>2677</v>
      </c>
      <c r="F1333" s="43" t="s">
        <v>3422</v>
      </c>
      <c r="G1333" s="2" t="s">
        <v>2810</v>
      </c>
      <c r="H1333" s="2"/>
      <c r="I1333" s="156" t="str">
        <f t="shared" si="74"/>
        <v/>
      </c>
      <c r="J1333" s="156"/>
      <c r="K1333" s="156"/>
      <c r="L1333" s="2"/>
      <c r="M1333" s="157" t="str">
        <f t="shared" si="72"/>
        <v>К</v>
      </c>
      <c r="N1333" s="174" t="s">
        <v>3481</v>
      </c>
      <c r="O1333" s="4" t="s">
        <v>766</v>
      </c>
      <c r="P1333" s="1"/>
      <c r="U1333" s="1"/>
      <c r="V1333" s="4"/>
      <c r="W1333" s="3"/>
    </row>
    <row r="1334" spans="1:23" x14ac:dyDescent="0.25">
      <c r="A1334" s="154">
        <v>1183</v>
      </c>
      <c r="B1334" s="1"/>
      <c r="C1334" s="1"/>
      <c r="D1334" s="154">
        <v>1302</v>
      </c>
      <c r="E1334" s="3" t="s">
        <v>2677</v>
      </c>
      <c r="F1334" s="43" t="s">
        <v>3422</v>
      </c>
      <c r="G1334" s="2" t="s">
        <v>2811</v>
      </c>
      <c r="H1334" s="2"/>
      <c r="I1334" s="156" t="str">
        <f t="shared" si="74"/>
        <v/>
      </c>
      <c r="J1334" s="156"/>
      <c r="K1334" s="156"/>
      <c r="L1334" s="2"/>
      <c r="M1334" s="157" t="str">
        <f t="shared" si="72"/>
        <v>К</v>
      </c>
      <c r="N1334" s="174" t="s">
        <v>3481</v>
      </c>
      <c r="O1334" s="4" t="s">
        <v>766</v>
      </c>
      <c r="P1334" s="1"/>
      <c r="U1334" s="1"/>
      <c r="V1334" s="4"/>
      <c r="W1334" s="3"/>
    </row>
    <row r="1335" spans="1:23" x14ac:dyDescent="0.25">
      <c r="A1335" s="158">
        <v>1248</v>
      </c>
      <c r="B1335" s="1"/>
      <c r="C1335" s="1"/>
      <c r="D1335" s="158">
        <v>1303</v>
      </c>
      <c r="E1335" s="3" t="s">
        <v>2677</v>
      </c>
      <c r="F1335" s="43" t="s">
        <v>3422</v>
      </c>
      <c r="G1335" s="2" t="s">
        <v>2812</v>
      </c>
      <c r="H1335" s="2"/>
      <c r="I1335" s="156" t="str">
        <f t="shared" si="74"/>
        <v/>
      </c>
      <c r="J1335" s="156"/>
      <c r="K1335" s="156"/>
      <c r="L1335" s="2"/>
      <c r="M1335" s="157" t="str">
        <f t="shared" si="72"/>
        <v>К</v>
      </c>
      <c r="N1335" s="174" t="s">
        <v>3481</v>
      </c>
      <c r="O1335" s="4" t="s">
        <v>766</v>
      </c>
      <c r="P1335" s="1"/>
      <c r="U1335" s="1"/>
      <c r="V1335" s="4"/>
      <c r="W1335" s="3"/>
    </row>
    <row r="1336" spans="1:23" x14ac:dyDescent="0.25">
      <c r="A1336" s="158">
        <v>1184</v>
      </c>
      <c r="B1336" s="1"/>
      <c r="C1336" s="1"/>
      <c r="D1336" s="154">
        <v>1304</v>
      </c>
      <c r="E1336" s="3" t="s">
        <v>2677</v>
      </c>
      <c r="F1336" s="3"/>
      <c r="G1336" s="2"/>
      <c r="H1336" s="2"/>
      <c r="I1336" s="156" t="str">
        <f t="shared" si="74"/>
        <v/>
      </c>
      <c r="J1336" s="156"/>
      <c r="K1336" s="156"/>
      <c r="L1336" s="2"/>
      <c r="M1336" s="157" t="str">
        <f t="shared" si="72"/>
        <v>К</v>
      </c>
      <c r="N1336" s="174" t="s">
        <v>3481</v>
      </c>
      <c r="O1336" s="4" t="s">
        <v>766</v>
      </c>
      <c r="P1336" s="1"/>
      <c r="U1336" s="1"/>
      <c r="V1336" s="4"/>
      <c r="W1336" s="3"/>
    </row>
    <row r="1337" spans="1:23" x14ac:dyDescent="0.25">
      <c r="A1337" s="154">
        <v>1185</v>
      </c>
      <c r="B1337" s="1"/>
      <c r="C1337" s="452" t="s">
        <v>3034</v>
      </c>
      <c r="D1337" s="158">
        <v>1306</v>
      </c>
      <c r="E1337" s="3" t="s">
        <v>2947</v>
      </c>
      <c r="F1337" s="43" t="s">
        <v>2995</v>
      </c>
      <c r="G1337" s="2" t="s">
        <v>2866</v>
      </c>
      <c r="H1337" s="2"/>
      <c r="I1337" s="156" t="str">
        <f t="shared" si="74"/>
        <v/>
      </c>
      <c r="J1337" s="156"/>
      <c r="K1337" s="156"/>
      <c r="L1337" s="2" t="s">
        <v>2867</v>
      </c>
      <c r="M1337" s="157" t="str">
        <f t="shared" si="72"/>
        <v>К2360000447</v>
      </c>
      <c r="N1337" s="174" t="s">
        <v>3481</v>
      </c>
      <c r="O1337" s="4" t="s">
        <v>2028</v>
      </c>
      <c r="P1337" s="1"/>
      <c r="U1337" s="1"/>
      <c r="V1337" s="4"/>
      <c r="W1337" s="3"/>
    </row>
    <row r="1338" spans="1:23" x14ac:dyDescent="0.25">
      <c r="A1338" s="158">
        <v>1186</v>
      </c>
      <c r="B1338" s="1"/>
      <c r="C1338" s="1"/>
      <c r="D1338" s="154">
        <v>1307</v>
      </c>
      <c r="E1338" s="3" t="s">
        <v>2962</v>
      </c>
      <c r="F1338" s="43" t="s">
        <v>3423</v>
      </c>
      <c r="G1338" s="2" t="s">
        <v>2813</v>
      </c>
      <c r="H1338" s="2"/>
      <c r="I1338" s="156" t="str">
        <f t="shared" si="74"/>
        <v/>
      </c>
      <c r="J1338" s="156"/>
      <c r="K1338" s="156"/>
      <c r="L1338" s="2" t="s">
        <v>2777</v>
      </c>
      <c r="M1338" s="157" t="str">
        <f t="shared" si="72"/>
        <v>К08103518</v>
      </c>
      <c r="N1338" s="174" t="s">
        <v>3481</v>
      </c>
      <c r="O1338" s="4" t="s">
        <v>766</v>
      </c>
      <c r="P1338" s="1"/>
      <c r="U1338" s="1"/>
      <c r="V1338" s="4"/>
      <c r="W1338" s="3"/>
    </row>
    <row r="1339" spans="1:23" x14ac:dyDescent="0.25">
      <c r="A1339" s="154">
        <v>1187</v>
      </c>
      <c r="B1339" s="1"/>
      <c r="C1339" s="1"/>
      <c r="D1339" s="158">
        <v>1308</v>
      </c>
      <c r="E1339" s="3" t="s">
        <v>2962</v>
      </c>
      <c r="F1339" s="43" t="s">
        <v>3423</v>
      </c>
      <c r="G1339" s="2" t="s">
        <v>2814</v>
      </c>
      <c r="H1339" s="2"/>
      <c r="I1339" s="156" t="str">
        <f t="shared" si="74"/>
        <v/>
      </c>
      <c r="J1339" s="156"/>
      <c r="K1339" s="156"/>
      <c r="L1339" s="2" t="s">
        <v>2774</v>
      </c>
      <c r="M1339" s="157" t="str">
        <f t="shared" si="72"/>
        <v>К08103519</v>
      </c>
      <c r="N1339" s="174" t="s">
        <v>3481</v>
      </c>
      <c r="O1339" s="4" t="s">
        <v>766</v>
      </c>
      <c r="P1339" s="1"/>
      <c r="U1339" s="1"/>
      <c r="V1339" s="4"/>
      <c r="W1339" s="3"/>
    </row>
    <row r="1340" spans="1:23" x14ac:dyDescent="0.25">
      <c r="A1340" s="154">
        <v>1125</v>
      </c>
      <c r="B1340" s="1"/>
      <c r="C1340" s="1"/>
      <c r="D1340" s="158">
        <v>1317</v>
      </c>
      <c r="E1340" s="3" t="s">
        <v>2964</v>
      </c>
      <c r="F1340" s="43" t="s">
        <v>3425</v>
      </c>
      <c r="G1340" s="2" t="s">
        <v>2816</v>
      </c>
      <c r="H1340" s="2"/>
      <c r="I1340" s="156" t="str">
        <f t="shared" si="74"/>
        <v/>
      </c>
      <c r="J1340" s="156"/>
      <c r="K1340" s="156"/>
      <c r="L1340" s="2"/>
      <c r="M1340" s="157" t="str">
        <f t="shared" si="72"/>
        <v>К</v>
      </c>
      <c r="N1340" s="174" t="s">
        <v>3481</v>
      </c>
      <c r="O1340" s="4" t="s">
        <v>766</v>
      </c>
      <c r="P1340" s="1"/>
      <c r="U1340" s="1"/>
      <c r="V1340" s="4"/>
      <c r="W1340" s="3"/>
    </row>
    <row r="1341" spans="1:23" x14ac:dyDescent="0.25">
      <c r="A1341" s="154">
        <v>1249</v>
      </c>
      <c r="B1341" s="1"/>
      <c r="C1341" s="1"/>
      <c r="D1341" s="154">
        <v>1318</v>
      </c>
      <c r="E1341" s="3" t="s">
        <v>395</v>
      </c>
      <c r="F1341" s="3" t="s">
        <v>909</v>
      </c>
      <c r="G1341" s="2"/>
      <c r="H1341" s="2"/>
      <c r="I1341" s="156" t="str">
        <f t="shared" si="74"/>
        <v/>
      </c>
      <c r="J1341" s="156"/>
      <c r="K1341" s="156"/>
      <c r="L1341" s="2" t="s">
        <v>1846</v>
      </c>
      <c r="M1341" s="157" t="str">
        <f t="shared" si="72"/>
        <v>К08104772</v>
      </c>
      <c r="N1341" s="174" t="s">
        <v>3481</v>
      </c>
      <c r="O1341" s="4" t="s">
        <v>766</v>
      </c>
      <c r="P1341" s="1" t="s">
        <v>1847</v>
      </c>
      <c r="U1341" s="1"/>
      <c r="V1341" s="4"/>
      <c r="W1341" s="3"/>
    </row>
    <row r="1342" spans="1:23" x14ac:dyDescent="0.25">
      <c r="A1342" s="158">
        <v>1250</v>
      </c>
      <c r="B1342" s="1"/>
      <c r="C1342" s="452" t="s">
        <v>3034</v>
      </c>
      <c r="D1342" s="158">
        <v>1319</v>
      </c>
      <c r="E1342" s="3" t="s">
        <v>911</v>
      </c>
      <c r="F1342" s="43" t="s">
        <v>916</v>
      </c>
      <c r="G1342" s="2" t="s">
        <v>2817</v>
      </c>
      <c r="H1342" s="2"/>
      <c r="I1342" s="156" t="str">
        <f t="shared" si="74"/>
        <v/>
      </c>
      <c r="J1342" s="156"/>
      <c r="K1342" s="156"/>
      <c r="L1342" s="2" t="s">
        <v>2818</v>
      </c>
      <c r="M1342" s="157" t="str">
        <f t="shared" si="72"/>
        <v>К08102896_3</v>
      </c>
      <c r="N1342" s="174" t="s">
        <v>3481</v>
      </c>
      <c r="O1342" s="4" t="s">
        <v>766</v>
      </c>
      <c r="P1342" s="1"/>
      <c r="U1342" s="1"/>
      <c r="V1342" s="4"/>
      <c r="W1342" s="3"/>
    </row>
    <row r="1343" spans="1:23" x14ac:dyDescent="0.25">
      <c r="A1343" s="154">
        <v>1231</v>
      </c>
      <c r="B1343" s="456" t="s">
        <v>3552</v>
      </c>
      <c r="C1343" s="456"/>
      <c r="D1343" s="158">
        <v>1322</v>
      </c>
      <c r="E1343" s="3" t="s">
        <v>61</v>
      </c>
      <c r="F1343" s="43" t="s">
        <v>2990</v>
      </c>
      <c r="G1343" s="2" t="s">
        <v>2891</v>
      </c>
      <c r="H1343" s="2"/>
      <c r="I1343" s="156" t="str">
        <f t="shared" si="74"/>
        <v/>
      </c>
      <c r="J1343" s="156"/>
      <c r="K1343" s="156"/>
      <c r="L1343" s="2"/>
      <c r="M1343" s="157" t="str">
        <f t="shared" si="72"/>
        <v>К</v>
      </c>
      <c r="N1343" s="174" t="s">
        <v>3481</v>
      </c>
      <c r="O1343" s="4" t="s">
        <v>706</v>
      </c>
      <c r="P1343" s="1"/>
      <c r="U1343" s="153" t="s">
        <v>3640</v>
      </c>
      <c r="V1343" s="4"/>
      <c r="W1343" s="3"/>
    </row>
    <row r="1344" spans="1:23" x14ac:dyDescent="0.25">
      <c r="A1344" s="158">
        <v>1232</v>
      </c>
      <c r="B1344" s="1"/>
      <c r="C1344" s="452"/>
      <c r="D1344" s="158">
        <v>1355</v>
      </c>
      <c r="E1344" s="3" t="s">
        <v>1242</v>
      </c>
      <c r="F1344" s="166" t="s">
        <v>1243</v>
      </c>
      <c r="G1344" s="2" t="s">
        <v>1244</v>
      </c>
      <c r="H1344" s="2" t="s">
        <v>90</v>
      </c>
      <c r="I1344" s="156" t="str">
        <f t="shared" si="74"/>
        <v>2008</v>
      </c>
      <c r="J1344" s="156">
        <v>2008</v>
      </c>
      <c r="K1344" s="156"/>
      <c r="L1344" s="2" t="s">
        <v>1245</v>
      </c>
      <c r="M1344" s="157" t="str">
        <f t="shared" si="72"/>
        <v>К08102447_3</v>
      </c>
      <c r="N1344" s="3" t="s">
        <v>1101</v>
      </c>
      <c r="O1344" s="4" t="s">
        <v>1236</v>
      </c>
      <c r="P1344" s="1"/>
      <c r="U1344" s="153" t="s">
        <v>3640</v>
      </c>
      <c r="V1344" s="4"/>
      <c r="W1344" s="3"/>
    </row>
    <row r="1345" spans="1:24" x14ac:dyDescent="0.25">
      <c r="A1345" s="158">
        <v>1188</v>
      </c>
      <c r="B1345" s="1"/>
      <c r="C1345" s="1"/>
      <c r="D1345" s="154">
        <v>1358</v>
      </c>
      <c r="E1345" s="3" t="s">
        <v>1251</v>
      </c>
      <c r="F1345" s="3" t="s">
        <v>1256</v>
      </c>
      <c r="G1345" s="2" t="s">
        <v>1257</v>
      </c>
      <c r="H1345" s="2" t="s">
        <v>47</v>
      </c>
      <c r="I1345" s="156" t="str">
        <f t="shared" si="74"/>
        <v>2010</v>
      </c>
      <c r="J1345" s="156">
        <v>2010</v>
      </c>
      <c r="K1345" s="156"/>
      <c r="L1345" s="2"/>
      <c r="M1345" s="157" t="str">
        <f t="shared" si="72"/>
        <v>К</v>
      </c>
      <c r="N1345" s="3" t="s">
        <v>1101</v>
      </c>
      <c r="O1345" s="483" t="s">
        <v>5520</v>
      </c>
      <c r="P1345" s="1"/>
      <c r="U1345" s="1"/>
      <c r="V1345" s="4"/>
      <c r="W1345" s="3"/>
    </row>
    <row r="1346" spans="1:24" x14ac:dyDescent="0.25">
      <c r="A1346" s="154">
        <v>1189</v>
      </c>
      <c r="B1346" s="167"/>
      <c r="C1346" s="167"/>
      <c r="D1346" s="495">
        <v>1400</v>
      </c>
      <c r="E1346" s="162" t="s">
        <v>660</v>
      </c>
      <c r="F1346" s="162" t="s">
        <v>1210</v>
      </c>
      <c r="G1346" s="449" t="s">
        <v>1211</v>
      </c>
      <c r="H1346" s="449" t="s">
        <v>246</v>
      </c>
      <c r="I1346" s="495" t="str">
        <f t="shared" si="74"/>
        <v>2012</v>
      </c>
      <c r="J1346" s="495">
        <v>2012</v>
      </c>
      <c r="K1346" s="495"/>
      <c r="L1346" s="449" t="s">
        <v>1212</v>
      </c>
      <c r="M1346" s="496" t="str">
        <f t="shared" si="72"/>
        <v>К08104453</v>
      </c>
      <c r="N1346" s="162" t="s">
        <v>1101</v>
      </c>
      <c r="O1346" s="168" t="s">
        <v>1208</v>
      </c>
      <c r="P1346" s="167"/>
      <c r="Q1346" s="167"/>
      <c r="R1346" s="162"/>
      <c r="S1346" s="167"/>
      <c r="U1346" s="1"/>
      <c r="V1346" s="4"/>
      <c r="W1346" s="3"/>
    </row>
    <row r="1347" spans="1:24" x14ac:dyDescent="0.25">
      <c r="A1347" s="154">
        <v>1227</v>
      </c>
      <c r="B1347" s="1"/>
      <c r="C1347" s="1"/>
      <c r="D1347" s="154">
        <v>1356</v>
      </c>
      <c r="E1347" s="3" t="s">
        <v>1251</v>
      </c>
      <c r="F1347" s="3" t="s">
        <v>1252</v>
      </c>
      <c r="G1347" s="2" t="s">
        <v>1254</v>
      </c>
      <c r="H1347" s="2" t="s">
        <v>59</v>
      </c>
      <c r="I1347" s="156" t="str">
        <f t="shared" si="74"/>
        <v>2013</v>
      </c>
      <c r="J1347" s="156">
        <v>2013</v>
      </c>
      <c r="K1347" s="156"/>
      <c r="L1347" s="2" t="s">
        <v>1255</v>
      </c>
      <c r="M1347" s="157" t="str">
        <f t="shared" si="72"/>
        <v>К08102825_2</v>
      </c>
      <c r="N1347" s="3" t="s">
        <v>1101</v>
      </c>
      <c r="O1347" s="483" t="s">
        <v>5520</v>
      </c>
      <c r="P1347" s="1"/>
      <c r="U1347" s="1"/>
      <c r="V1347" s="4"/>
      <c r="W1347" s="3"/>
    </row>
    <row r="1348" spans="1:24" x14ac:dyDescent="0.25">
      <c r="A1348" s="154">
        <v>1239</v>
      </c>
      <c r="B1348" s="1"/>
      <c r="C1348" s="1"/>
      <c r="D1348" s="158">
        <v>1357</v>
      </c>
      <c r="E1348" s="3" t="s">
        <v>1251</v>
      </c>
      <c r="F1348" s="3" t="s">
        <v>1252</v>
      </c>
      <c r="G1348" s="2" t="s">
        <v>1253</v>
      </c>
      <c r="H1348" s="2" t="s">
        <v>59</v>
      </c>
      <c r="I1348" s="156" t="str">
        <f t="shared" si="74"/>
        <v>2013</v>
      </c>
      <c r="J1348" s="156">
        <v>2013</v>
      </c>
      <c r="K1348" s="156"/>
      <c r="L1348" s="2"/>
      <c r="M1348" s="157" t="str">
        <f t="shared" si="72"/>
        <v>К</v>
      </c>
      <c r="N1348" s="3" t="s">
        <v>1101</v>
      </c>
      <c r="O1348" s="483" t="s">
        <v>5520</v>
      </c>
      <c r="P1348" s="1"/>
      <c r="U1348" s="1"/>
      <c r="V1348" s="4"/>
      <c r="W1348" s="3"/>
    </row>
    <row r="1349" spans="1:24" x14ac:dyDescent="0.25">
      <c r="A1349" s="158">
        <v>1276</v>
      </c>
      <c r="B1349" s="1"/>
      <c r="C1349" s="1"/>
      <c r="D1349" s="154">
        <v>1388</v>
      </c>
      <c r="E1349" s="3" t="s">
        <v>1203</v>
      </c>
      <c r="F1349" s="3" t="s">
        <v>1204</v>
      </c>
      <c r="G1349" s="2" t="s">
        <v>1205</v>
      </c>
      <c r="H1349" s="2" t="s">
        <v>1206</v>
      </c>
      <c r="I1349" s="156" t="str">
        <f t="shared" si="74"/>
        <v>2016</v>
      </c>
      <c r="J1349" s="156">
        <v>2016</v>
      </c>
      <c r="K1349" s="156"/>
      <c r="L1349" s="2" t="s">
        <v>1207</v>
      </c>
      <c r="M1349" s="157" t="str">
        <f t="shared" si="72"/>
        <v>К7240000665</v>
      </c>
      <c r="N1349" s="3" t="s">
        <v>1101</v>
      </c>
      <c r="O1349" s="4" t="s">
        <v>1208</v>
      </c>
      <c r="P1349" s="1"/>
      <c r="U1349" s="1"/>
      <c r="V1349" s="4"/>
      <c r="W1349" s="3"/>
    </row>
    <row r="1350" spans="1:24" x14ac:dyDescent="0.25">
      <c r="A1350" s="158">
        <v>1190</v>
      </c>
      <c r="B1350" s="456" t="s">
        <v>3552</v>
      </c>
      <c r="C1350" s="455" t="s">
        <v>3693</v>
      </c>
      <c r="D1350" s="154">
        <v>1402</v>
      </c>
      <c r="E1350" s="3" t="s">
        <v>325</v>
      </c>
      <c r="F1350" s="3" t="s">
        <v>336</v>
      </c>
      <c r="G1350" s="2" t="s">
        <v>185</v>
      </c>
      <c r="H1350" s="2"/>
      <c r="I1350" s="156">
        <v>2016</v>
      </c>
      <c r="J1350" s="156">
        <v>2016</v>
      </c>
      <c r="K1350" s="156"/>
      <c r="L1350" s="2" t="s">
        <v>1241</v>
      </c>
      <c r="M1350" s="157" t="str">
        <f t="shared" ref="M1350:M1410" si="75">CONCATENATE("К",L1350)</f>
        <v>К7360000712</v>
      </c>
      <c r="N1350" s="3" t="s">
        <v>1101</v>
      </c>
      <c r="O1350" s="4" t="s">
        <v>1236</v>
      </c>
      <c r="P1350" s="1"/>
      <c r="U1350" s="1"/>
      <c r="V1350" s="4"/>
      <c r="W1350" s="3"/>
    </row>
    <row r="1351" spans="1:24" x14ac:dyDescent="0.25">
      <c r="A1351" s="154">
        <v>1303</v>
      </c>
      <c r="B1351" s="1"/>
      <c r="C1351" s="455" t="s">
        <v>3034</v>
      </c>
      <c r="D1351" s="154">
        <v>1339</v>
      </c>
      <c r="E1351" s="3" t="s">
        <v>154</v>
      </c>
      <c r="F1351" s="3" t="s">
        <v>1139</v>
      </c>
      <c r="G1351" s="2" t="s">
        <v>155</v>
      </c>
      <c r="H1351" s="589" t="s">
        <v>5621</v>
      </c>
      <c r="I1351" s="156" t="str">
        <f t="shared" ref="I1351:I1363" si="76">RIGHT(H1351,4)</f>
        <v>2017</v>
      </c>
      <c r="J1351" s="156">
        <v>2017</v>
      </c>
      <c r="K1351" s="156"/>
      <c r="L1351" s="2" t="s">
        <v>1140</v>
      </c>
      <c r="M1351" s="157" t="str">
        <f t="shared" si="75"/>
        <v>К2240000078</v>
      </c>
      <c r="N1351" s="3" t="s">
        <v>1101</v>
      </c>
      <c r="O1351" s="483" t="s">
        <v>5519</v>
      </c>
      <c r="P1351" s="1"/>
      <c r="U1351" s="1"/>
      <c r="V1351" s="4"/>
      <c r="W1351" s="3"/>
    </row>
    <row r="1352" spans="1:24" x14ac:dyDescent="0.25">
      <c r="A1352" s="158">
        <v>1280</v>
      </c>
      <c r="B1352" s="1"/>
      <c r="C1352" s="452" t="s">
        <v>3693</v>
      </c>
      <c r="D1352" s="154">
        <v>1393</v>
      </c>
      <c r="E1352" s="3" t="s">
        <v>2305</v>
      </c>
      <c r="F1352" s="3" t="s">
        <v>1237</v>
      </c>
      <c r="G1352" s="2" t="s">
        <v>1238</v>
      </c>
      <c r="H1352" s="2" t="s">
        <v>1239</v>
      </c>
      <c r="I1352" s="156" t="str">
        <f t="shared" si="76"/>
        <v>2019</v>
      </c>
      <c r="J1352" s="156">
        <v>2019</v>
      </c>
      <c r="K1352" s="156"/>
      <c r="L1352" s="2" t="s">
        <v>1240</v>
      </c>
      <c r="M1352" s="157" t="str">
        <f t="shared" si="75"/>
        <v>К41012400323</v>
      </c>
      <c r="N1352" s="3" t="s">
        <v>1101</v>
      </c>
      <c r="O1352" s="4" t="s">
        <v>1236</v>
      </c>
      <c r="P1352" s="1"/>
      <c r="U1352" s="1"/>
      <c r="V1352" s="4"/>
      <c r="W1352" s="3"/>
    </row>
    <row r="1353" spans="1:24" x14ac:dyDescent="0.25">
      <c r="A1353" s="158">
        <v>1318</v>
      </c>
      <c r="B1353" s="1"/>
      <c r="C1353" s="455" t="s">
        <v>3691</v>
      </c>
      <c r="D1353" s="158">
        <v>1340</v>
      </c>
      <c r="E1353" s="3" t="s">
        <v>154</v>
      </c>
      <c r="F1353" s="3" t="s">
        <v>1114</v>
      </c>
      <c r="G1353" s="2" t="s">
        <v>1123</v>
      </c>
      <c r="H1353" s="2" t="s">
        <v>296</v>
      </c>
      <c r="I1353" s="156" t="str">
        <f t="shared" si="76"/>
        <v>2020</v>
      </c>
      <c r="J1353" s="156">
        <v>2020</v>
      </c>
      <c r="K1353" s="156"/>
      <c r="L1353" s="2" t="s">
        <v>1124</v>
      </c>
      <c r="M1353" s="157" t="str">
        <f t="shared" si="75"/>
        <v>К71012411583</v>
      </c>
      <c r="N1353" s="3" t="s">
        <v>1101</v>
      </c>
      <c r="O1353" s="483" t="s">
        <v>5519</v>
      </c>
      <c r="P1353" s="1"/>
      <c r="U1353" s="1"/>
      <c r="V1353" s="4"/>
      <c r="W1353" s="3"/>
    </row>
    <row r="1354" spans="1:24" x14ac:dyDescent="0.25">
      <c r="A1354" s="154">
        <v>1319</v>
      </c>
      <c r="B1354" s="1"/>
      <c r="C1354" s="455" t="s">
        <v>3691</v>
      </c>
      <c r="D1354" s="158">
        <v>1341</v>
      </c>
      <c r="E1354" s="3" t="s">
        <v>154</v>
      </c>
      <c r="F1354" s="3" t="s">
        <v>1114</v>
      </c>
      <c r="G1354" s="2" t="s">
        <v>1115</v>
      </c>
      <c r="H1354" s="2" t="s">
        <v>296</v>
      </c>
      <c r="I1354" s="156" t="str">
        <f t="shared" si="76"/>
        <v>2020</v>
      </c>
      <c r="J1354" s="156">
        <v>2020</v>
      </c>
      <c r="K1354" s="156"/>
      <c r="L1354" s="2" t="s">
        <v>1116</v>
      </c>
      <c r="M1354" s="157" t="str">
        <f t="shared" si="75"/>
        <v>К71012411585</v>
      </c>
      <c r="N1354" s="3" t="s">
        <v>1101</v>
      </c>
      <c r="O1354" s="483" t="s">
        <v>5519</v>
      </c>
      <c r="P1354" s="1"/>
      <c r="W1354" s="3"/>
    </row>
    <row r="1355" spans="1:24" x14ac:dyDescent="0.25">
      <c r="A1355" s="158">
        <v>1320</v>
      </c>
      <c r="B1355" s="1"/>
      <c r="C1355" s="455" t="s">
        <v>3691</v>
      </c>
      <c r="D1355" s="154">
        <v>1342</v>
      </c>
      <c r="E1355" s="3" t="s">
        <v>154</v>
      </c>
      <c r="F1355" s="3" t="s">
        <v>1114</v>
      </c>
      <c r="G1355" s="2" t="s">
        <v>1120</v>
      </c>
      <c r="H1355" s="2" t="s">
        <v>296</v>
      </c>
      <c r="I1355" s="156" t="str">
        <f t="shared" si="76"/>
        <v>2020</v>
      </c>
      <c r="J1355" s="156">
        <v>2020</v>
      </c>
      <c r="K1355" s="156"/>
      <c r="L1355" s="2" t="s">
        <v>1121</v>
      </c>
      <c r="M1355" s="157" t="str">
        <f t="shared" si="75"/>
        <v>К71012411587</v>
      </c>
      <c r="N1355" s="3" t="s">
        <v>1101</v>
      </c>
      <c r="O1355" s="483" t="s">
        <v>5519</v>
      </c>
      <c r="P1355" s="1"/>
      <c r="W1355" s="3"/>
    </row>
    <row r="1356" spans="1:24" x14ac:dyDescent="0.25">
      <c r="A1356" s="154">
        <v>1321</v>
      </c>
      <c r="B1356" s="1"/>
      <c r="C1356" s="455" t="s">
        <v>3691</v>
      </c>
      <c r="D1356" s="158">
        <v>1343</v>
      </c>
      <c r="E1356" s="3" t="s">
        <v>154</v>
      </c>
      <c r="F1356" s="3" t="s">
        <v>1114</v>
      </c>
      <c r="G1356" s="2" t="s">
        <v>1125</v>
      </c>
      <c r="H1356" s="2" t="s">
        <v>296</v>
      </c>
      <c r="I1356" s="156" t="str">
        <f t="shared" si="76"/>
        <v>2020</v>
      </c>
      <c r="J1356" s="156">
        <v>2020</v>
      </c>
      <c r="K1356" s="156"/>
      <c r="L1356" s="2" t="s">
        <v>1126</v>
      </c>
      <c r="M1356" s="157" t="str">
        <f t="shared" si="75"/>
        <v>К71012411588</v>
      </c>
      <c r="N1356" s="3" t="s">
        <v>1101</v>
      </c>
      <c r="O1356" s="483" t="s">
        <v>5519</v>
      </c>
      <c r="P1356" s="1"/>
      <c r="W1356" s="3"/>
    </row>
    <row r="1357" spans="1:24" x14ac:dyDescent="0.25">
      <c r="A1357" s="158">
        <v>1322</v>
      </c>
      <c r="B1357" s="1"/>
      <c r="C1357" s="455" t="s">
        <v>3691</v>
      </c>
      <c r="D1357" s="154">
        <v>1344</v>
      </c>
      <c r="E1357" s="3" t="s">
        <v>154</v>
      </c>
      <c r="F1357" s="468" t="s">
        <v>2372</v>
      </c>
      <c r="G1357" s="2" t="s">
        <v>1131</v>
      </c>
      <c r="H1357" s="2" t="s">
        <v>1099</v>
      </c>
      <c r="I1357" s="156" t="str">
        <f t="shared" si="76"/>
        <v>2020</v>
      </c>
      <c r="J1357" s="156">
        <v>2020</v>
      </c>
      <c r="K1357" s="156"/>
      <c r="L1357" s="2" t="s">
        <v>1132</v>
      </c>
      <c r="M1357" s="157" t="str">
        <f t="shared" si="75"/>
        <v>К71012411590</v>
      </c>
      <c r="N1357" s="3" t="s">
        <v>1101</v>
      </c>
      <c r="O1357" s="483" t="s">
        <v>5519</v>
      </c>
      <c r="P1357" s="1"/>
      <c r="W1357" s="3"/>
    </row>
    <row r="1358" spans="1:24" x14ac:dyDescent="0.25">
      <c r="A1358" s="154">
        <v>1323</v>
      </c>
      <c r="B1358" s="1"/>
      <c r="C1358" s="455" t="s">
        <v>3691</v>
      </c>
      <c r="D1358" s="158">
        <v>1345</v>
      </c>
      <c r="E1358" s="3" t="s">
        <v>154</v>
      </c>
      <c r="F1358" s="468" t="s">
        <v>2372</v>
      </c>
      <c r="G1358" s="2" t="s">
        <v>1127</v>
      </c>
      <c r="H1358" s="2" t="s">
        <v>1099</v>
      </c>
      <c r="I1358" s="156" t="str">
        <f t="shared" si="76"/>
        <v>2020</v>
      </c>
      <c r="J1358" s="156">
        <v>2020</v>
      </c>
      <c r="K1358" s="156"/>
      <c r="L1358" s="2" t="s">
        <v>1128</v>
      </c>
      <c r="M1358" s="157" t="str">
        <f t="shared" si="75"/>
        <v>К71012411591</v>
      </c>
      <c r="N1358" s="3" t="s">
        <v>1101</v>
      </c>
      <c r="O1358" s="483" t="s">
        <v>5519</v>
      </c>
      <c r="P1358" s="1"/>
      <c r="U1358" s="1"/>
      <c r="V1358" s="4"/>
      <c r="W1358" s="3"/>
    </row>
    <row r="1359" spans="1:24" x14ac:dyDescent="0.25">
      <c r="A1359" s="158">
        <v>1324</v>
      </c>
      <c r="B1359" s="1"/>
      <c r="C1359" s="455" t="s">
        <v>3691</v>
      </c>
      <c r="D1359" s="154">
        <v>1346</v>
      </c>
      <c r="E1359" s="3" t="s">
        <v>154</v>
      </c>
      <c r="F1359" s="468" t="s">
        <v>2372</v>
      </c>
      <c r="G1359" s="2" t="s">
        <v>1098</v>
      </c>
      <c r="H1359" s="2" t="s">
        <v>1099</v>
      </c>
      <c r="I1359" s="156" t="str">
        <f t="shared" si="76"/>
        <v>2020</v>
      </c>
      <c r="J1359" s="156">
        <v>2020</v>
      </c>
      <c r="K1359" s="156"/>
      <c r="L1359" s="2" t="s">
        <v>1100</v>
      </c>
      <c r="M1359" s="157" t="str">
        <f t="shared" si="75"/>
        <v>К71012411592</v>
      </c>
      <c r="N1359" s="3" t="s">
        <v>1101</v>
      </c>
      <c r="O1359" s="483" t="s">
        <v>5519</v>
      </c>
      <c r="P1359" s="1"/>
      <c r="U1359" s="1"/>
      <c r="V1359" s="4"/>
      <c r="W1359" s="3"/>
    </row>
    <row r="1360" spans="1:24" s="184" customFormat="1" x14ac:dyDescent="0.25">
      <c r="A1360" s="154">
        <v>1325</v>
      </c>
      <c r="B1360" s="1"/>
      <c r="C1360" s="455" t="s">
        <v>3691</v>
      </c>
      <c r="D1360" s="158">
        <v>1347</v>
      </c>
      <c r="E1360" s="3" t="s">
        <v>154</v>
      </c>
      <c r="F1360" s="468" t="s">
        <v>2372</v>
      </c>
      <c r="G1360" s="2" t="s">
        <v>1135</v>
      </c>
      <c r="H1360" s="2" t="s">
        <v>1099</v>
      </c>
      <c r="I1360" s="156" t="str">
        <f t="shared" si="76"/>
        <v>2020</v>
      </c>
      <c r="J1360" s="156">
        <v>2020</v>
      </c>
      <c r="K1360" s="156"/>
      <c r="L1360" s="2" t="s">
        <v>1136</v>
      </c>
      <c r="M1360" s="157" t="str">
        <f t="shared" si="75"/>
        <v>К71012411593</v>
      </c>
      <c r="N1360" s="3" t="s">
        <v>1101</v>
      </c>
      <c r="O1360" s="483" t="s">
        <v>5519</v>
      </c>
      <c r="P1360" s="1"/>
      <c r="Q1360" s="1"/>
      <c r="R1360" s="3"/>
      <c r="S1360" s="1"/>
      <c r="T1360" s="3"/>
      <c r="U1360" s="1"/>
      <c r="V1360" s="4"/>
      <c r="W1360" s="3"/>
      <c r="X1360" s="3"/>
    </row>
    <row r="1361" spans="1:24" s="184" customFormat="1" x14ac:dyDescent="0.25">
      <c r="A1361" s="158">
        <v>1326</v>
      </c>
      <c r="B1361" s="1"/>
      <c r="C1361" s="455" t="s">
        <v>3691</v>
      </c>
      <c r="D1361" s="158">
        <v>1348</v>
      </c>
      <c r="E1361" s="3" t="s">
        <v>154</v>
      </c>
      <c r="F1361" s="468" t="s">
        <v>2372</v>
      </c>
      <c r="G1361" s="2" t="s">
        <v>1133</v>
      </c>
      <c r="H1361" s="2" t="s">
        <v>1099</v>
      </c>
      <c r="I1361" s="156" t="str">
        <f t="shared" si="76"/>
        <v>2020</v>
      </c>
      <c r="J1361" s="156">
        <v>2020</v>
      </c>
      <c r="K1361" s="156"/>
      <c r="L1361" s="2" t="s">
        <v>1134</v>
      </c>
      <c r="M1361" s="157" t="str">
        <f t="shared" si="75"/>
        <v>К71012411594</v>
      </c>
      <c r="N1361" s="3" t="s">
        <v>1101</v>
      </c>
      <c r="O1361" s="483" t="s">
        <v>5519</v>
      </c>
      <c r="P1361" s="1"/>
      <c r="Q1361" s="1"/>
      <c r="R1361" s="3"/>
      <c r="S1361" s="1"/>
      <c r="T1361" s="3"/>
      <c r="U1361" s="1"/>
      <c r="V1361" s="4"/>
      <c r="W1361" s="3"/>
      <c r="X1361" s="3"/>
    </row>
    <row r="1362" spans="1:24" x14ac:dyDescent="0.25">
      <c r="A1362" s="154">
        <v>1327</v>
      </c>
      <c r="B1362" s="1"/>
      <c r="C1362" s="455" t="s">
        <v>3691</v>
      </c>
      <c r="D1362" s="154">
        <v>1349</v>
      </c>
      <c r="E1362" s="3" t="s">
        <v>154</v>
      </c>
      <c r="F1362" s="468" t="s">
        <v>2372</v>
      </c>
      <c r="G1362" s="2" t="s">
        <v>1137</v>
      </c>
      <c r="H1362" s="2" t="s">
        <v>1099</v>
      </c>
      <c r="I1362" s="156" t="str">
        <f t="shared" si="76"/>
        <v>2020</v>
      </c>
      <c r="J1362" s="156">
        <v>2020</v>
      </c>
      <c r="K1362" s="156"/>
      <c r="L1362" s="2" t="s">
        <v>1138</v>
      </c>
      <c r="M1362" s="157" t="str">
        <f t="shared" si="75"/>
        <v>К71012411595</v>
      </c>
      <c r="N1362" s="3" t="s">
        <v>1101</v>
      </c>
      <c r="O1362" s="483" t="s">
        <v>5519</v>
      </c>
      <c r="P1362" s="1"/>
      <c r="U1362" s="1"/>
      <c r="V1362" s="4"/>
      <c r="W1362" s="3"/>
    </row>
    <row r="1363" spans="1:24" x14ac:dyDescent="0.25">
      <c r="A1363" s="158">
        <v>1328</v>
      </c>
      <c r="B1363" s="1"/>
      <c r="C1363" s="455" t="s">
        <v>3691</v>
      </c>
      <c r="D1363" s="158">
        <v>1350</v>
      </c>
      <c r="E1363" s="3" t="s">
        <v>154</v>
      </c>
      <c r="F1363" s="468" t="s">
        <v>2372</v>
      </c>
      <c r="G1363" s="2" t="s">
        <v>1117</v>
      </c>
      <c r="H1363" s="2" t="s">
        <v>1099</v>
      </c>
      <c r="I1363" s="156" t="str">
        <f t="shared" si="76"/>
        <v>2020</v>
      </c>
      <c r="J1363" s="156">
        <v>2020</v>
      </c>
      <c r="K1363" s="156"/>
      <c r="L1363" s="2" t="s">
        <v>1118</v>
      </c>
      <c r="M1363" s="157" t="str">
        <f t="shared" si="75"/>
        <v>К71012411851</v>
      </c>
      <c r="N1363" s="3" t="s">
        <v>1101</v>
      </c>
      <c r="O1363" s="483" t="s">
        <v>5519</v>
      </c>
      <c r="P1363" s="1"/>
      <c r="U1363" s="1"/>
      <c r="V1363" s="4"/>
      <c r="W1363" s="3"/>
    </row>
    <row r="1364" spans="1:24" x14ac:dyDescent="0.25">
      <c r="A1364" s="154">
        <v>1329</v>
      </c>
      <c r="B1364" s="1"/>
      <c r="C1364" s="455" t="s">
        <v>3691</v>
      </c>
      <c r="D1364" s="154">
        <v>1351</v>
      </c>
      <c r="E1364" s="3" t="s">
        <v>154</v>
      </c>
      <c r="F1364" s="3" t="s">
        <v>1111</v>
      </c>
      <c r="G1364" s="2" t="s">
        <v>1112</v>
      </c>
      <c r="H1364" s="2"/>
      <c r="I1364" s="156">
        <v>2020</v>
      </c>
      <c r="J1364" s="156">
        <v>2020</v>
      </c>
      <c r="K1364" s="156"/>
      <c r="L1364" s="2" t="s">
        <v>1113</v>
      </c>
      <c r="M1364" s="157" t="str">
        <f t="shared" si="75"/>
        <v>К73600000156</v>
      </c>
      <c r="N1364" s="3" t="s">
        <v>1101</v>
      </c>
      <c r="O1364" s="483" t="s">
        <v>5519</v>
      </c>
      <c r="P1364" s="1"/>
      <c r="U1364" s="1"/>
      <c r="V1364" s="4"/>
      <c r="W1364" s="3"/>
    </row>
    <row r="1365" spans="1:24" x14ac:dyDescent="0.25">
      <c r="A1365" s="158">
        <v>1330</v>
      </c>
      <c r="B1365" s="1"/>
      <c r="C1365" s="455" t="s">
        <v>3691</v>
      </c>
      <c r="D1365" s="158">
        <v>1352</v>
      </c>
      <c r="E1365" s="3" t="s">
        <v>154</v>
      </c>
      <c r="F1365" s="468" t="s">
        <v>2372</v>
      </c>
      <c r="G1365" s="2" t="s">
        <v>1119</v>
      </c>
      <c r="H1365" s="2" t="s">
        <v>1099</v>
      </c>
      <c r="I1365" s="156" t="str">
        <f t="shared" ref="I1365:I1380" si="77">RIGHT(H1365,4)</f>
        <v>2020</v>
      </c>
      <c r="J1365" s="156">
        <v>2020</v>
      </c>
      <c r="K1365" s="156"/>
      <c r="L1365" s="2"/>
      <c r="M1365" s="157" t="str">
        <f t="shared" si="75"/>
        <v>К</v>
      </c>
      <c r="N1365" s="3" t="s">
        <v>1101</v>
      </c>
      <c r="O1365" s="483" t="s">
        <v>5519</v>
      </c>
      <c r="P1365" s="1"/>
      <c r="U1365" s="1"/>
      <c r="V1365" s="4"/>
      <c r="W1365" s="3"/>
    </row>
    <row r="1366" spans="1:24" x14ac:dyDescent="0.25">
      <c r="A1366" s="154">
        <v>1331</v>
      </c>
      <c r="B1366" s="1"/>
      <c r="C1366" s="455" t="s">
        <v>3691</v>
      </c>
      <c r="D1366" s="154">
        <v>1353</v>
      </c>
      <c r="E1366" s="3" t="s">
        <v>154</v>
      </c>
      <c r="F1366" s="468" t="s">
        <v>2372</v>
      </c>
      <c r="G1366" s="2" t="s">
        <v>1122</v>
      </c>
      <c r="H1366" s="2" t="s">
        <v>1099</v>
      </c>
      <c r="I1366" s="156" t="str">
        <f t="shared" si="77"/>
        <v>2020</v>
      </c>
      <c r="J1366" s="156">
        <v>2020</v>
      </c>
      <c r="K1366" s="156"/>
      <c r="L1366" s="2"/>
      <c r="M1366" s="157" t="str">
        <f t="shared" si="75"/>
        <v>К</v>
      </c>
      <c r="N1366" s="3" t="s">
        <v>1101</v>
      </c>
      <c r="O1366" s="483" t="s">
        <v>5519</v>
      </c>
      <c r="P1366" s="1"/>
      <c r="U1366" s="1"/>
      <c r="V1366" s="4"/>
      <c r="W1366" s="3"/>
    </row>
    <row r="1367" spans="1:24" x14ac:dyDescent="0.25">
      <c r="A1367" s="158">
        <v>1332</v>
      </c>
      <c r="B1367" s="1"/>
      <c r="C1367" s="455" t="s">
        <v>3691</v>
      </c>
      <c r="D1367" s="158">
        <v>1354</v>
      </c>
      <c r="E1367" s="3" t="s">
        <v>154</v>
      </c>
      <c r="F1367" s="468" t="s">
        <v>2372</v>
      </c>
      <c r="G1367" s="2" t="s">
        <v>1129</v>
      </c>
      <c r="H1367" s="2" t="s">
        <v>1099</v>
      </c>
      <c r="I1367" s="156" t="str">
        <f t="shared" si="77"/>
        <v>2020</v>
      </c>
      <c r="J1367" s="156">
        <v>2020</v>
      </c>
      <c r="K1367" s="156"/>
      <c r="L1367" s="2"/>
      <c r="M1367" s="157" t="str">
        <f t="shared" si="75"/>
        <v>К</v>
      </c>
      <c r="N1367" s="3" t="s">
        <v>1101</v>
      </c>
      <c r="O1367" s="483" t="s">
        <v>5519</v>
      </c>
      <c r="P1367" s="1"/>
      <c r="U1367" s="1"/>
      <c r="V1367" s="4"/>
      <c r="W1367" s="3"/>
    </row>
    <row r="1368" spans="1:24" x14ac:dyDescent="0.25">
      <c r="A1368" s="154">
        <v>1333</v>
      </c>
      <c r="B1368" s="136" t="s">
        <v>3552</v>
      </c>
      <c r="C1368" s="136"/>
      <c r="D1368" s="158">
        <v>1390</v>
      </c>
      <c r="E1368" s="480" t="s">
        <v>690</v>
      </c>
      <c r="F1368" s="480" t="s">
        <v>2350</v>
      </c>
      <c r="G1368" s="478" t="s">
        <v>2351</v>
      </c>
      <c r="H1368" s="478" t="s">
        <v>2348</v>
      </c>
      <c r="I1368" s="156" t="str">
        <f t="shared" si="77"/>
        <v>2020</v>
      </c>
      <c r="J1368" s="156">
        <v>2020</v>
      </c>
      <c r="K1368" s="156"/>
      <c r="L1368" s="2"/>
      <c r="M1368" s="157" t="str">
        <f t="shared" si="75"/>
        <v>К</v>
      </c>
      <c r="N1368" s="3" t="s">
        <v>1101</v>
      </c>
      <c r="O1368" s="479" t="s">
        <v>2111</v>
      </c>
      <c r="P1368" s="1"/>
      <c r="U1368" s="1"/>
      <c r="V1368" s="4"/>
      <c r="W1368" s="3"/>
    </row>
    <row r="1369" spans="1:24" x14ac:dyDescent="0.25">
      <c r="A1369" s="158">
        <v>1334</v>
      </c>
      <c r="B1369" s="136" t="s">
        <v>3552</v>
      </c>
      <c r="C1369" s="136"/>
      <c r="D1369" s="158">
        <v>1392</v>
      </c>
      <c r="E1369" s="480" t="s">
        <v>690</v>
      </c>
      <c r="F1369" s="480" t="s">
        <v>2350</v>
      </c>
      <c r="G1369" s="478" t="s">
        <v>2349</v>
      </c>
      <c r="H1369" s="478" t="s">
        <v>2348</v>
      </c>
      <c r="I1369" s="156" t="str">
        <f t="shared" si="77"/>
        <v>2020</v>
      </c>
      <c r="J1369" s="156">
        <v>2020</v>
      </c>
      <c r="K1369" s="156"/>
      <c r="L1369" s="2"/>
      <c r="M1369" s="157" t="str">
        <f t="shared" si="75"/>
        <v>К</v>
      </c>
      <c r="N1369" s="3" t="s">
        <v>1101</v>
      </c>
      <c r="O1369" s="4" t="s">
        <v>1073</v>
      </c>
      <c r="P1369" s="1"/>
      <c r="U1369" s="1"/>
      <c r="V1369" s="4"/>
      <c r="W1369" s="3"/>
    </row>
    <row r="1370" spans="1:24" x14ac:dyDescent="0.25">
      <c r="A1370" s="154">
        <v>1335</v>
      </c>
      <c r="B1370" s="456" t="s">
        <v>3552</v>
      </c>
      <c r="C1370" s="452" t="s">
        <v>3034</v>
      </c>
      <c r="D1370" s="158">
        <v>1401</v>
      </c>
      <c r="E1370" s="3" t="s">
        <v>325</v>
      </c>
      <c r="F1370" s="3" t="s">
        <v>1147</v>
      </c>
      <c r="G1370" s="2" t="s">
        <v>1148</v>
      </c>
      <c r="H1370" s="589" t="s">
        <v>5622</v>
      </c>
      <c r="I1370" s="156" t="str">
        <f t="shared" si="77"/>
        <v>2021</v>
      </c>
      <c r="J1370" s="156">
        <v>2021</v>
      </c>
      <c r="K1370" s="156"/>
      <c r="L1370" s="2" t="s">
        <v>1149</v>
      </c>
      <c r="M1370" s="157" t="str">
        <f t="shared" si="75"/>
        <v>К71012412750</v>
      </c>
      <c r="N1370" s="3" t="s">
        <v>1101</v>
      </c>
      <c r="O1370" s="4" t="s">
        <v>1073</v>
      </c>
      <c r="P1370" s="1"/>
      <c r="U1370" s="1"/>
      <c r="V1370" s="4"/>
      <c r="W1370" s="3"/>
    </row>
    <row r="1371" spans="1:24" x14ac:dyDescent="0.25">
      <c r="A1371" s="158">
        <v>1336</v>
      </c>
      <c r="B1371" s="456" t="s">
        <v>3552</v>
      </c>
      <c r="C1371" s="456"/>
      <c r="D1371" s="158">
        <v>1333</v>
      </c>
      <c r="E1371" s="480" t="s">
        <v>2319</v>
      </c>
      <c r="F1371" s="43" t="s">
        <v>32</v>
      </c>
      <c r="G1371" s="478" t="s">
        <v>2352</v>
      </c>
      <c r="H1371" s="461" t="s">
        <v>969</v>
      </c>
      <c r="I1371" s="156" t="str">
        <f t="shared" si="77"/>
        <v>2017</v>
      </c>
      <c r="J1371" s="156"/>
      <c r="K1371" s="156"/>
      <c r="L1371" s="2"/>
      <c r="M1371" s="157" t="str">
        <f t="shared" si="75"/>
        <v>К</v>
      </c>
      <c r="N1371" s="3" t="s">
        <v>1101</v>
      </c>
      <c r="O1371" s="479" t="s">
        <v>1220</v>
      </c>
      <c r="P1371" s="1"/>
      <c r="U1371" s="1"/>
      <c r="V1371" s="4"/>
      <c r="W1371" s="3"/>
    </row>
    <row r="1372" spans="1:24" x14ac:dyDescent="0.25">
      <c r="A1372" s="154">
        <v>1337</v>
      </c>
      <c r="B1372" s="456" t="s">
        <v>3552</v>
      </c>
      <c r="C1372" s="456"/>
      <c r="D1372" s="158">
        <v>1334</v>
      </c>
      <c r="E1372" s="138" t="s">
        <v>2319</v>
      </c>
      <c r="F1372" s="43" t="s">
        <v>32</v>
      </c>
      <c r="G1372" s="478" t="s">
        <v>2353</v>
      </c>
      <c r="H1372" s="461" t="s">
        <v>969</v>
      </c>
      <c r="I1372" s="156" t="str">
        <f t="shared" si="77"/>
        <v>2017</v>
      </c>
      <c r="J1372" s="156"/>
      <c r="K1372" s="156"/>
      <c r="L1372" s="2"/>
      <c r="M1372" s="157" t="str">
        <f t="shared" si="75"/>
        <v>К</v>
      </c>
      <c r="N1372" s="3" t="s">
        <v>1101</v>
      </c>
      <c r="O1372" s="4"/>
      <c r="P1372" s="1"/>
      <c r="U1372" s="1"/>
      <c r="V1372" s="4"/>
      <c r="W1372" s="3"/>
    </row>
    <row r="1373" spans="1:24" x14ac:dyDescent="0.25">
      <c r="A1373" s="158">
        <v>1338</v>
      </c>
      <c r="B1373" s="456" t="s">
        <v>3552</v>
      </c>
      <c r="C1373" s="456"/>
      <c r="D1373" s="154">
        <v>1335</v>
      </c>
      <c r="E1373" s="3" t="s">
        <v>2303</v>
      </c>
      <c r="F1373" s="459" t="s">
        <v>19</v>
      </c>
      <c r="G1373" s="2" t="s">
        <v>1249</v>
      </c>
      <c r="H1373" s="2" t="s">
        <v>296</v>
      </c>
      <c r="I1373" s="156" t="str">
        <f t="shared" si="77"/>
        <v>2020</v>
      </c>
      <c r="J1373" s="156"/>
      <c r="K1373" s="156"/>
      <c r="L1373" s="2"/>
      <c r="M1373" s="157" t="str">
        <f t="shared" si="75"/>
        <v>К</v>
      </c>
      <c r="N1373" s="3" t="s">
        <v>1101</v>
      </c>
      <c r="O1373" s="483" t="s">
        <v>5175</v>
      </c>
      <c r="P1373" s="1"/>
      <c r="U1373" s="1"/>
      <c r="V1373" s="4" t="s">
        <v>1130</v>
      </c>
      <c r="W1373" s="3"/>
    </row>
    <row r="1374" spans="1:24" x14ac:dyDescent="0.25">
      <c r="A1374" s="158">
        <v>1314</v>
      </c>
      <c r="B1374" s="456" t="s">
        <v>3552</v>
      </c>
      <c r="C1374" s="456"/>
      <c r="D1374" s="158">
        <v>1336</v>
      </c>
      <c r="E1374" s="3" t="s">
        <v>2303</v>
      </c>
      <c r="F1374" s="3" t="s">
        <v>19</v>
      </c>
      <c r="G1374" s="2" t="s">
        <v>1250</v>
      </c>
      <c r="H1374" s="2" t="s">
        <v>66</v>
      </c>
      <c r="I1374" s="156" t="str">
        <f t="shared" si="77"/>
        <v>2019</v>
      </c>
      <c r="J1374" s="156"/>
      <c r="K1374" s="156"/>
      <c r="L1374" s="2"/>
      <c r="M1374" s="157" t="str">
        <f t="shared" si="75"/>
        <v>К</v>
      </c>
      <c r="N1374" s="3" t="s">
        <v>1101</v>
      </c>
      <c r="O1374" s="483" t="s">
        <v>5175</v>
      </c>
      <c r="P1374" s="1"/>
      <c r="U1374" s="1"/>
      <c r="V1374" s="4"/>
      <c r="W1374" s="3"/>
    </row>
    <row r="1375" spans="1:24" x14ac:dyDescent="0.25">
      <c r="A1375" s="154">
        <v>1339</v>
      </c>
      <c r="B1375" s="456" t="s">
        <v>3552</v>
      </c>
      <c r="C1375" s="456"/>
      <c r="D1375" s="154">
        <v>1337</v>
      </c>
      <c r="E1375" s="3" t="s">
        <v>2303</v>
      </c>
      <c r="F1375" s="3" t="s">
        <v>19</v>
      </c>
      <c r="G1375" s="2" t="s">
        <v>1246</v>
      </c>
      <c r="H1375" s="2" t="s">
        <v>66</v>
      </c>
      <c r="I1375" s="156" t="str">
        <f t="shared" si="77"/>
        <v>2019</v>
      </c>
      <c r="J1375" s="156"/>
      <c r="K1375" s="156"/>
      <c r="L1375" s="2"/>
      <c r="M1375" s="157" t="str">
        <f t="shared" si="75"/>
        <v>К</v>
      </c>
      <c r="N1375" s="3" t="s">
        <v>1101</v>
      </c>
      <c r="O1375" s="483" t="s">
        <v>5175</v>
      </c>
      <c r="P1375" s="1"/>
      <c r="W1375" s="3"/>
    </row>
    <row r="1376" spans="1:24" x14ac:dyDescent="0.25">
      <c r="A1376" s="158">
        <v>1340</v>
      </c>
      <c r="B1376" s="456" t="s">
        <v>3552</v>
      </c>
      <c r="C1376" s="456"/>
      <c r="D1376" s="158">
        <v>1338</v>
      </c>
      <c r="E1376" s="3" t="s">
        <v>2303</v>
      </c>
      <c r="F1376" s="3" t="s">
        <v>69</v>
      </c>
      <c r="G1376" s="2" t="s">
        <v>1247</v>
      </c>
      <c r="H1376" s="2" t="s">
        <v>124</v>
      </c>
      <c r="I1376" s="156" t="str">
        <f t="shared" si="77"/>
        <v>2018</v>
      </c>
      <c r="J1376" s="156"/>
      <c r="K1376" s="156"/>
      <c r="L1376" s="2"/>
      <c r="M1376" s="157" t="str">
        <f t="shared" si="75"/>
        <v>К</v>
      </c>
      <c r="N1376" s="3" t="s">
        <v>1101</v>
      </c>
      <c r="O1376" s="483" t="s">
        <v>5175</v>
      </c>
      <c r="P1376" s="1"/>
      <c r="W1376" s="3"/>
    </row>
    <row r="1377" spans="1:24" x14ac:dyDescent="0.25">
      <c r="A1377" s="154">
        <v>1341</v>
      </c>
      <c r="B1377" s="136" t="s">
        <v>3552</v>
      </c>
      <c r="C1377" s="136"/>
      <c r="D1377" s="154">
        <v>1332</v>
      </c>
      <c r="E1377" s="138" t="s">
        <v>3554</v>
      </c>
      <c r="F1377" s="3" t="s">
        <v>1144</v>
      </c>
      <c r="G1377" s="2" t="s">
        <v>1145</v>
      </c>
      <c r="H1377" s="2" t="s">
        <v>124</v>
      </c>
      <c r="I1377" s="156" t="str">
        <f t="shared" si="77"/>
        <v>2018</v>
      </c>
      <c r="J1377" s="156"/>
      <c r="K1377" s="156"/>
      <c r="L1377" s="2" t="s">
        <v>1146</v>
      </c>
      <c r="M1377" s="157" t="str">
        <f t="shared" si="75"/>
        <v>К71013400012</v>
      </c>
      <c r="N1377" s="3" t="s">
        <v>1101</v>
      </c>
      <c r="O1377" s="4" t="s">
        <v>1073</v>
      </c>
      <c r="P1377" s="1"/>
      <c r="W1377" s="3"/>
    </row>
    <row r="1378" spans="1:24" x14ac:dyDescent="0.25">
      <c r="A1378" s="154">
        <v>1281</v>
      </c>
      <c r="B1378" s="1"/>
      <c r="C1378" s="452" t="s">
        <v>3034</v>
      </c>
      <c r="D1378" s="158">
        <v>1359</v>
      </c>
      <c r="E1378" s="3" t="s">
        <v>24</v>
      </c>
      <c r="F1378" s="3" t="s">
        <v>1105</v>
      </c>
      <c r="G1378" s="469" t="s">
        <v>5575</v>
      </c>
      <c r="H1378" s="2" t="s">
        <v>1107</v>
      </c>
      <c r="I1378" s="156" t="str">
        <f t="shared" si="77"/>
        <v>2020</v>
      </c>
      <c r="J1378" s="156"/>
      <c r="K1378" s="156"/>
      <c r="L1378" s="2" t="s">
        <v>1219</v>
      </c>
      <c r="M1378" s="157" t="str">
        <f t="shared" si="75"/>
        <v>К2360000453</v>
      </c>
      <c r="N1378" s="3" t="s">
        <v>1101</v>
      </c>
      <c r="O1378" s="4" t="s">
        <v>1220</v>
      </c>
      <c r="P1378" s="1"/>
      <c r="U1378" s="153" t="s">
        <v>3646</v>
      </c>
      <c r="V1378" s="4" t="s">
        <v>1202</v>
      </c>
      <c r="W1378" s="3"/>
    </row>
    <row r="1379" spans="1:24" x14ac:dyDescent="0.25">
      <c r="A1379" s="154">
        <v>1283</v>
      </c>
      <c r="B1379" s="1"/>
      <c r="C1379" s="452" t="s">
        <v>3034</v>
      </c>
      <c r="D1379" s="154">
        <v>1360</v>
      </c>
      <c r="E1379" s="3" t="s">
        <v>24</v>
      </c>
      <c r="F1379" s="3" t="s">
        <v>1105</v>
      </c>
      <c r="G1379" s="2" t="s">
        <v>1199</v>
      </c>
      <c r="H1379" s="2" t="s">
        <v>1107</v>
      </c>
      <c r="I1379" s="156" t="str">
        <f t="shared" si="77"/>
        <v>2020</v>
      </c>
      <c r="J1379" s="156"/>
      <c r="K1379" s="156"/>
      <c r="L1379" s="2" t="s">
        <v>1200</v>
      </c>
      <c r="M1379" s="157" t="str">
        <f t="shared" si="75"/>
        <v>К2360000449</v>
      </c>
      <c r="N1379" s="3" t="s">
        <v>1101</v>
      </c>
      <c r="O1379" s="4" t="s">
        <v>1201</v>
      </c>
      <c r="P1379" s="1"/>
      <c r="U1379" s="153" t="s">
        <v>3646</v>
      </c>
      <c r="V1379" s="4" t="s">
        <v>1202</v>
      </c>
      <c r="W1379" s="3"/>
    </row>
    <row r="1380" spans="1:24" x14ac:dyDescent="0.25">
      <c r="A1380" s="158">
        <v>1284</v>
      </c>
      <c r="B1380" s="1"/>
      <c r="C1380" s="452" t="s">
        <v>3034</v>
      </c>
      <c r="D1380" s="158">
        <v>1361</v>
      </c>
      <c r="E1380" s="3" t="s">
        <v>24</v>
      </c>
      <c r="F1380" s="3" t="s">
        <v>37</v>
      </c>
      <c r="G1380" s="2" t="s">
        <v>1231</v>
      </c>
      <c r="H1380" s="2" t="s">
        <v>59</v>
      </c>
      <c r="I1380" s="156" t="str">
        <f t="shared" si="77"/>
        <v>2013</v>
      </c>
      <c r="J1380" s="156"/>
      <c r="K1380" s="156"/>
      <c r="L1380" s="2" t="s">
        <v>1232</v>
      </c>
      <c r="M1380" s="157" t="str">
        <f t="shared" si="75"/>
        <v>К08105138</v>
      </c>
      <c r="N1380" s="3" t="s">
        <v>1101</v>
      </c>
      <c r="O1380" s="4" t="s">
        <v>1233</v>
      </c>
      <c r="P1380" s="1"/>
      <c r="U1380" s="153" t="s">
        <v>3646</v>
      </c>
      <c r="V1380" s="4"/>
      <c r="W1380" s="3"/>
    </row>
    <row r="1381" spans="1:24" x14ac:dyDescent="0.25">
      <c r="A1381" s="158">
        <v>1286</v>
      </c>
      <c r="B1381" s="1"/>
      <c r="C1381" s="452" t="s">
        <v>3034</v>
      </c>
      <c r="D1381" s="158">
        <v>1362</v>
      </c>
      <c r="E1381" s="3" t="s">
        <v>24</v>
      </c>
      <c r="F1381" s="3" t="s">
        <v>104</v>
      </c>
      <c r="G1381" s="2"/>
      <c r="H1381" s="2"/>
      <c r="I1381" s="156">
        <v>2012</v>
      </c>
      <c r="J1381" s="156"/>
      <c r="K1381" s="156"/>
      <c r="L1381" s="2" t="s">
        <v>1226</v>
      </c>
      <c r="M1381" s="157" t="str">
        <f t="shared" si="75"/>
        <v>К08102988_2</v>
      </c>
      <c r="N1381" s="3" t="s">
        <v>1101</v>
      </c>
      <c r="O1381" s="4" t="s">
        <v>1227</v>
      </c>
      <c r="P1381" s="1"/>
      <c r="U1381" s="153" t="s">
        <v>3646</v>
      </c>
      <c r="V1381" s="4"/>
      <c r="W1381" s="3"/>
    </row>
    <row r="1382" spans="1:24" x14ac:dyDescent="0.25">
      <c r="A1382" s="154">
        <v>1287</v>
      </c>
      <c r="B1382" s="1"/>
      <c r="C1382" s="452" t="s">
        <v>3034</v>
      </c>
      <c r="D1382" s="154">
        <v>1363</v>
      </c>
      <c r="E1382" s="3" t="s">
        <v>24</v>
      </c>
      <c r="F1382" s="3" t="s">
        <v>37</v>
      </c>
      <c r="G1382" s="2" t="s">
        <v>1228</v>
      </c>
      <c r="H1382" s="2" t="s">
        <v>59</v>
      </c>
      <c r="I1382" s="156" t="str">
        <f t="shared" ref="I1382:I1413" si="78">RIGHT(H1382,4)</f>
        <v>2013</v>
      </c>
      <c r="J1382" s="156"/>
      <c r="K1382" s="156"/>
      <c r="L1382" s="2" t="s">
        <v>1229</v>
      </c>
      <c r="M1382" s="157" t="str">
        <f t="shared" si="75"/>
        <v>К2360000456</v>
      </c>
      <c r="N1382" s="3" t="s">
        <v>1101</v>
      </c>
      <c r="O1382" s="4" t="s">
        <v>1230</v>
      </c>
      <c r="P1382" s="1"/>
      <c r="U1382" s="153" t="s">
        <v>3646</v>
      </c>
      <c r="V1382" s="4"/>
      <c r="W1382" s="3"/>
    </row>
    <row r="1383" spans="1:24" x14ac:dyDescent="0.25">
      <c r="A1383" s="154">
        <v>1289</v>
      </c>
      <c r="B1383" s="1"/>
      <c r="C1383" s="452" t="s">
        <v>3034</v>
      </c>
      <c r="D1383" s="158">
        <v>1364</v>
      </c>
      <c r="E1383" s="3" t="s">
        <v>24</v>
      </c>
      <c r="F1383" s="3" t="s">
        <v>37</v>
      </c>
      <c r="G1383" s="2" t="s">
        <v>1152</v>
      </c>
      <c r="H1383" s="2" t="s">
        <v>51</v>
      </c>
      <c r="I1383" s="156" t="str">
        <f t="shared" si="78"/>
        <v>2014</v>
      </c>
      <c r="J1383" s="156"/>
      <c r="K1383" s="156"/>
      <c r="L1383" s="2" t="s">
        <v>1153</v>
      </c>
      <c r="M1383" s="157" t="str">
        <f t="shared" si="75"/>
        <v>К2360000462</v>
      </c>
      <c r="N1383" s="3" t="s">
        <v>1101</v>
      </c>
      <c r="O1383" s="4" t="s">
        <v>1154</v>
      </c>
      <c r="P1383" s="1"/>
      <c r="U1383" s="153" t="s">
        <v>3646</v>
      </c>
      <c r="V1383" s="4"/>
      <c r="W1383" s="3"/>
    </row>
    <row r="1384" spans="1:24" x14ac:dyDescent="0.25">
      <c r="A1384" s="158">
        <v>1290</v>
      </c>
      <c r="B1384" s="1"/>
      <c r="C1384" s="452" t="s">
        <v>3034</v>
      </c>
      <c r="D1384" s="154">
        <v>1365</v>
      </c>
      <c r="E1384" s="3" t="s">
        <v>24</v>
      </c>
      <c r="F1384" s="3" t="s">
        <v>37</v>
      </c>
      <c r="G1384" s="2" t="s">
        <v>1176</v>
      </c>
      <c r="H1384" s="2" t="s">
        <v>51</v>
      </c>
      <c r="I1384" s="156" t="str">
        <f t="shared" si="78"/>
        <v>2014</v>
      </c>
      <c r="J1384" s="156"/>
      <c r="K1384" s="156"/>
      <c r="L1384" s="2" t="s">
        <v>1177</v>
      </c>
      <c r="M1384" s="157" t="str">
        <f t="shared" si="75"/>
        <v>К2360000470</v>
      </c>
      <c r="N1384" s="3" t="s">
        <v>1101</v>
      </c>
      <c r="O1384" s="4" t="s">
        <v>1178</v>
      </c>
      <c r="P1384" s="1"/>
      <c r="U1384" s="153" t="s">
        <v>3646</v>
      </c>
      <c r="V1384" s="4"/>
      <c r="W1384" s="3"/>
    </row>
    <row r="1385" spans="1:24" s="184" customFormat="1" x14ac:dyDescent="0.25">
      <c r="A1385" s="154">
        <v>1291</v>
      </c>
      <c r="B1385" s="1"/>
      <c r="C1385" s="452" t="s">
        <v>3034</v>
      </c>
      <c r="D1385" s="158">
        <v>1366</v>
      </c>
      <c r="E1385" s="3" t="s">
        <v>24</v>
      </c>
      <c r="F1385" s="3" t="s">
        <v>37</v>
      </c>
      <c r="G1385" s="2" t="s">
        <v>1179</v>
      </c>
      <c r="H1385" s="2" t="s">
        <v>51</v>
      </c>
      <c r="I1385" s="156" t="str">
        <f t="shared" si="78"/>
        <v>2014</v>
      </c>
      <c r="J1385" s="156"/>
      <c r="K1385" s="156"/>
      <c r="L1385" s="2" t="s">
        <v>1180</v>
      </c>
      <c r="M1385" s="157" t="str">
        <f t="shared" si="75"/>
        <v>К2360000452</v>
      </c>
      <c r="N1385" s="3" t="s">
        <v>1101</v>
      </c>
      <c r="O1385" s="4" t="s">
        <v>1181</v>
      </c>
      <c r="P1385" s="1"/>
      <c r="Q1385" s="1"/>
      <c r="R1385" s="3"/>
      <c r="S1385" s="1"/>
      <c r="T1385" s="3"/>
      <c r="U1385" s="153" t="s">
        <v>3646</v>
      </c>
      <c r="V1385" s="4" t="s">
        <v>1182</v>
      </c>
      <c r="W1385" s="3"/>
      <c r="X1385" s="3"/>
    </row>
    <row r="1386" spans="1:24" s="184" customFormat="1" x14ac:dyDescent="0.25">
      <c r="A1386" s="158">
        <v>1292</v>
      </c>
      <c r="B1386" s="1"/>
      <c r="C1386" s="452" t="s">
        <v>3034</v>
      </c>
      <c r="D1386" s="154">
        <v>1367</v>
      </c>
      <c r="E1386" s="3" t="s">
        <v>24</v>
      </c>
      <c r="F1386" s="3" t="s">
        <v>37</v>
      </c>
      <c r="G1386" s="2" t="s">
        <v>1183</v>
      </c>
      <c r="H1386" s="2" t="s">
        <v>66</v>
      </c>
      <c r="I1386" s="156" t="str">
        <f t="shared" si="78"/>
        <v>2019</v>
      </c>
      <c r="J1386" s="156"/>
      <c r="K1386" s="156"/>
      <c r="L1386" s="2" t="s">
        <v>1184</v>
      </c>
      <c r="M1386" s="157" t="str">
        <f t="shared" si="75"/>
        <v>К2360000466</v>
      </c>
      <c r="N1386" s="3" t="s">
        <v>1101</v>
      </c>
      <c r="O1386" s="4" t="s">
        <v>1185</v>
      </c>
      <c r="P1386" s="1"/>
      <c r="Q1386" s="1"/>
      <c r="R1386" s="3"/>
      <c r="S1386" s="1"/>
      <c r="T1386" s="3"/>
      <c r="U1386" s="153" t="s">
        <v>3646</v>
      </c>
      <c r="V1386" s="4" t="s">
        <v>1186</v>
      </c>
      <c r="W1386" s="3"/>
      <c r="X1386" s="3"/>
    </row>
    <row r="1387" spans="1:24" s="184" customFormat="1" x14ac:dyDescent="0.25">
      <c r="A1387" s="154">
        <v>1293</v>
      </c>
      <c r="B1387" s="1"/>
      <c r="C1387" s="452" t="s">
        <v>3034</v>
      </c>
      <c r="D1387" s="158">
        <v>1368</v>
      </c>
      <c r="E1387" s="3" t="s">
        <v>24</v>
      </c>
      <c r="F1387" s="3" t="s">
        <v>37</v>
      </c>
      <c r="G1387" s="2" t="s">
        <v>1187</v>
      </c>
      <c r="H1387" s="2" t="s">
        <v>51</v>
      </c>
      <c r="I1387" s="156" t="str">
        <f t="shared" si="78"/>
        <v>2014</v>
      </c>
      <c r="J1387" s="156"/>
      <c r="K1387" s="156"/>
      <c r="L1387" s="2" t="s">
        <v>1188</v>
      </c>
      <c r="M1387" s="157" t="str">
        <f t="shared" si="75"/>
        <v>К2360000461</v>
      </c>
      <c r="N1387" s="3" t="s">
        <v>1101</v>
      </c>
      <c r="O1387" s="4" t="s">
        <v>1189</v>
      </c>
      <c r="P1387" s="1"/>
      <c r="Q1387" s="1"/>
      <c r="R1387" s="3"/>
      <c r="S1387" s="1"/>
      <c r="T1387" s="3"/>
      <c r="U1387" s="153" t="s">
        <v>3646</v>
      </c>
      <c r="V1387" s="4"/>
      <c r="W1387" s="3"/>
      <c r="X1387" s="3"/>
    </row>
    <row r="1388" spans="1:24" x14ac:dyDescent="0.25">
      <c r="A1388" s="158">
        <v>1294</v>
      </c>
      <c r="B1388" s="1"/>
      <c r="C1388" s="452" t="s">
        <v>3034</v>
      </c>
      <c r="D1388" s="158">
        <v>1369</v>
      </c>
      <c r="E1388" s="3" t="s">
        <v>24</v>
      </c>
      <c r="F1388" s="3" t="s">
        <v>37</v>
      </c>
      <c r="G1388" s="2" t="s">
        <v>1190</v>
      </c>
      <c r="H1388" s="2" t="s">
        <v>51</v>
      </c>
      <c r="I1388" s="156" t="str">
        <f t="shared" si="78"/>
        <v>2014</v>
      </c>
      <c r="J1388" s="156"/>
      <c r="K1388" s="156"/>
      <c r="L1388" s="2" t="s">
        <v>1191</v>
      </c>
      <c r="M1388" s="157" t="str">
        <f t="shared" si="75"/>
        <v>К2360000460</v>
      </c>
      <c r="N1388" s="3" t="s">
        <v>1101</v>
      </c>
      <c r="O1388" s="4" t="s">
        <v>1192</v>
      </c>
      <c r="P1388" s="1"/>
      <c r="U1388" s="153" t="s">
        <v>3646</v>
      </c>
      <c r="V1388" s="4"/>
      <c r="W1388" s="3"/>
    </row>
    <row r="1389" spans="1:24" x14ac:dyDescent="0.25">
      <c r="A1389" s="154">
        <v>1295</v>
      </c>
      <c r="B1389" s="1"/>
      <c r="C1389" s="452" t="s">
        <v>3034</v>
      </c>
      <c r="D1389" s="154">
        <v>1370</v>
      </c>
      <c r="E1389" s="3" t="s">
        <v>24</v>
      </c>
      <c r="F1389" s="3" t="s">
        <v>37</v>
      </c>
      <c r="G1389" s="2" t="s">
        <v>1193</v>
      </c>
      <c r="H1389" s="2" t="s">
        <v>59</v>
      </c>
      <c r="I1389" s="156" t="str">
        <f t="shared" si="78"/>
        <v>2013</v>
      </c>
      <c r="J1389" s="156"/>
      <c r="K1389" s="156"/>
      <c r="L1389" s="2" t="s">
        <v>1194</v>
      </c>
      <c r="M1389" s="157" t="str">
        <f t="shared" si="75"/>
        <v>К2360000457</v>
      </c>
      <c r="N1389" s="3" t="s">
        <v>1101</v>
      </c>
      <c r="O1389" s="4" t="s">
        <v>1195</v>
      </c>
      <c r="P1389" s="1"/>
      <c r="U1389" s="153" t="s">
        <v>3646</v>
      </c>
      <c r="V1389" s="4"/>
      <c r="W1389" s="3"/>
    </row>
    <row r="1390" spans="1:24" x14ac:dyDescent="0.25">
      <c r="A1390" s="158">
        <v>1296</v>
      </c>
      <c r="B1390" s="1"/>
      <c r="C1390" s="452" t="s">
        <v>3034</v>
      </c>
      <c r="D1390" s="158">
        <v>1371</v>
      </c>
      <c r="E1390" s="3" t="s">
        <v>24</v>
      </c>
      <c r="F1390" s="3" t="s">
        <v>37</v>
      </c>
      <c r="G1390" s="2" t="s">
        <v>1196</v>
      </c>
      <c r="H1390" s="2" t="s">
        <v>51</v>
      </c>
      <c r="I1390" s="156" t="str">
        <f t="shared" si="78"/>
        <v>2014</v>
      </c>
      <c r="J1390" s="156"/>
      <c r="K1390" s="156"/>
      <c r="L1390" s="2" t="s">
        <v>1197</v>
      </c>
      <c r="M1390" s="157" t="str">
        <f t="shared" si="75"/>
        <v>К2360000455</v>
      </c>
      <c r="N1390" s="3" t="s">
        <v>1101</v>
      </c>
      <c r="O1390" s="4" t="s">
        <v>1198</v>
      </c>
      <c r="P1390" s="1"/>
      <c r="U1390" s="153" t="s">
        <v>3646</v>
      </c>
      <c r="V1390" s="4"/>
      <c r="W1390" s="3"/>
    </row>
    <row r="1391" spans="1:24" x14ac:dyDescent="0.25">
      <c r="A1391" s="154">
        <v>1297</v>
      </c>
      <c r="B1391" s="1"/>
      <c r="C1391" s="452" t="s">
        <v>3034</v>
      </c>
      <c r="D1391" s="154">
        <v>1372</v>
      </c>
      <c r="E1391" s="3" t="s">
        <v>24</v>
      </c>
      <c r="F1391" s="3" t="s">
        <v>25</v>
      </c>
      <c r="G1391" s="2" t="s">
        <v>1155</v>
      </c>
      <c r="H1391" s="2" t="s">
        <v>124</v>
      </c>
      <c r="I1391" s="156" t="str">
        <f t="shared" si="78"/>
        <v>2018</v>
      </c>
      <c r="J1391" s="156"/>
      <c r="K1391" s="156"/>
      <c r="L1391" s="2" t="s">
        <v>1156</v>
      </c>
      <c r="M1391" s="157" t="str">
        <f t="shared" si="75"/>
        <v>К08105157</v>
      </c>
      <c r="N1391" s="3" t="s">
        <v>1101</v>
      </c>
      <c r="O1391" s="4" t="s">
        <v>1157</v>
      </c>
      <c r="P1391" s="1"/>
      <c r="U1391" s="153" t="s">
        <v>3646</v>
      </c>
      <c r="V1391" s="4"/>
      <c r="W1391" s="3"/>
    </row>
    <row r="1392" spans="1:24" x14ac:dyDescent="0.25">
      <c r="A1392" s="158">
        <v>1298</v>
      </c>
      <c r="B1392" s="1"/>
      <c r="C1392" s="452" t="s">
        <v>3034</v>
      </c>
      <c r="D1392" s="158">
        <v>1373</v>
      </c>
      <c r="E1392" s="3" t="s">
        <v>24</v>
      </c>
      <c r="F1392" s="3" t="s">
        <v>25</v>
      </c>
      <c r="G1392" s="2" t="s">
        <v>1158</v>
      </c>
      <c r="H1392" s="2" t="s">
        <v>90</v>
      </c>
      <c r="I1392" s="156" t="str">
        <f t="shared" si="78"/>
        <v>2008</v>
      </c>
      <c r="J1392" s="156"/>
      <c r="K1392" s="156"/>
      <c r="L1392" s="2" t="s">
        <v>1159</v>
      </c>
      <c r="M1392" s="157" t="str">
        <f t="shared" si="75"/>
        <v>К08105158</v>
      </c>
      <c r="N1392" s="3" t="s">
        <v>1101</v>
      </c>
      <c r="O1392" s="4" t="s">
        <v>1160</v>
      </c>
      <c r="P1392" s="1"/>
      <c r="U1392" s="153" t="s">
        <v>3646</v>
      </c>
      <c r="V1392" s="4" t="s">
        <v>1161</v>
      </c>
      <c r="W1392" s="3"/>
    </row>
    <row r="1393" spans="1:24" x14ac:dyDescent="0.25">
      <c r="A1393" s="154">
        <v>1299</v>
      </c>
      <c r="B1393" s="1"/>
      <c r="C1393" s="452" t="s">
        <v>3034</v>
      </c>
      <c r="D1393" s="154">
        <v>1374</v>
      </c>
      <c r="E1393" s="3" t="s">
        <v>24</v>
      </c>
      <c r="F1393" s="3" t="s">
        <v>1105</v>
      </c>
      <c r="G1393" s="2" t="s">
        <v>1162</v>
      </c>
      <c r="H1393" s="2" t="s">
        <v>1107</v>
      </c>
      <c r="I1393" s="156" t="str">
        <f t="shared" si="78"/>
        <v>2020</v>
      </c>
      <c r="J1393" s="156"/>
      <c r="K1393" s="156"/>
      <c r="L1393" s="2" t="s">
        <v>1163</v>
      </c>
      <c r="M1393" s="157" t="str">
        <f t="shared" si="75"/>
        <v>К41012412340</v>
      </c>
      <c r="N1393" s="3" t="s">
        <v>1101</v>
      </c>
      <c r="O1393" s="4" t="s">
        <v>1164</v>
      </c>
      <c r="P1393" s="1"/>
      <c r="U1393" s="153" t="s">
        <v>3646</v>
      </c>
      <c r="V1393" s="4"/>
      <c r="W1393" s="3"/>
    </row>
    <row r="1394" spans="1:24" x14ac:dyDescent="0.25">
      <c r="A1394" s="158">
        <v>1300</v>
      </c>
      <c r="B1394" s="1"/>
      <c r="C1394" s="452" t="s">
        <v>3034</v>
      </c>
      <c r="D1394" s="158">
        <v>1375</v>
      </c>
      <c r="E1394" s="3" t="s">
        <v>24</v>
      </c>
      <c r="F1394" s="3" t="s">
        <v>1105</v>
      </c>
      <c r="G1394" s="2" t="s">
        <v>1165</v>
      </c>
      <c r="H1394" s="2" t="s">
        <v>1107</v>
      </c>
      <c r="I1394" s="156" t="str">
        <f t="shared" si="78"/>
        <v>2020</v>
      </c>
      <c r="J1394" s="156"/>
      <c r="K1394" s="156"/>
      <c r="L1394" s="2" t="s">
        <v>1166</v>
      </c>
      <c r="M1394" s="157" t="str">
        <f t="shared" si="75"/>
        <v>К41012412339</v>
      </c>
      <c r="N1394" s="3" t="s">
        <v>1101</v>
      </c>
      <c r="O1394" s="4" t="s">
        <v>1167</v>
      </c>
      <c r="P1394" s="1"/>
      <c r="U1394" s="153" t="s">
        <v>3646</v>
      </c>
      <c r="V1394" s="4"/>
      <c r="W1394" s="3"/>
    </row>
    <row r="1395" spans="1:24" x14ac:dyDescent="0.25">
      <c r="A1395" s="154">
        <v>1301</v>
      </c>
      <c r="B1395" s="1"/>
      <c r="C1395" s="452" t="s">
        <v>3034</v>
      </c>
      <c r="D1395" s="158">
        <v>1376</v>
      </c>
      <c r="E1395" s="3" t="s">
        <v>24</v>
      </c>
      <c r="F1395" s="3" t="s">
        <v>37</v>
      </c>
      <c r="G1395" s="2" t="s">
        <v>1170</v>
      </c>
      <c r="H1395" s="2" t="s">
        <v>51</v>
      </c>
      <c r="I1395" s="156" t="str">
        <f t="shared" si="78"/>
        <v>2014</v>
      </c>
      <c r="J1395" s="156"/>
      <c r="K1395" s="156"/>
      <c r="L1395" s="2" t="s">
        <v>1171</v>
      </c>
      <c r="M1395" s="157" t="str">
        <f t="shared" si="75"/>
        <v>К2360000458</v>
      </c>
      <c r="N1395" s="3" t="s">
        <v>1101</v>
      </c>
      <c r="O1395" s="4" t="s">
        <v>1172</v>
      </c>
      <c r="P1395" s="1"/>
      <c r="U1395" s="153" t="s">
        <v>3646</v>
      </c>
      <c r="V1395" s="4"/>
      <c r="W1395" s="3"/>
    </row>
    <row r="1396" spans="1:24" x14ac:dyDescent="0.25">
      <c r="A1396" s="158">
        <v>1302</v>
      </c>
      <c r="B1396" s="1"/>
      <c r="C1396" s="452" t="s">
        <v>3034</v>
      </c>
      <c r="D1396" s="154">
        <v>1377</v>
      </c>
      <c r="E1396" s="3" t="s">
        <v>24</v>
      </c>
      <c r="F1396" s="3" t="s">
        <v>37</v>
      </c>
      <c r="G1396" s="2" t="s">
        <v>1173</v>
      </c>
      <c r="H1396" s="2" t="s">
        <v>51</v>
      </c>
      <c r="I1396" s="156" t="str">
        <f t="shared" si="78"/>
        <v>2014</v>
      </c>
      <c r="J1396" s="156"/>
      <c r="K1396" s="156"/>
      <c r="L1396" s="2" t="s">
        <v>1174</v>
      </c>
      <c r="M1396" s="157" t="str">
        <f t="shared" si="75"/>
        <v>К2360000459</v>
      </c>
      <c r="N1396" s="3" t="s">
        <v>1101</v>
      </c>
      <c r="O1396" s="4" t="s">
        <v>1175</v>
      </c>
      <c r="P1396" s="1"/>
      <c r="U1396" s="153" t="s">
        <v>3646</v>
      </c>
      <c r="V1396" s="4"/>
      <c r="W1396" s="3"/>
    </row>
    <row r="1397" spans="1:24" x14ac:dyDescent="0.25">
      <c r="A1397" s="158">
        <v>1304</v>
      </c>
      <c r="B1397" s="1"/>
      <c r="C1397" s="452" t="s">
        <v>3034</v>
      </c>
      <c r="D1397" s="158">
        <v>1378</v>
      </c>
      <c r="E1397" s="3" t="s">
        <v>24</v>
      </c>
      <c r="F1397" s="3" t="s">
        <v>1105</v>
      </c>
      <c r="G1397" s="2" t="s">
        <v>1150</v>
      </c>
      <c r="H1397" s="2" t="s">
        <v>1107</v>
      </c>
      <c r="I1397" s="156" t="str">
        <f t="shared" si="78"/>
        <v>2020</v>
      </c>
      <c r="J1397" s="156"/>
      <c r="K1397" s="156"/>
      <c r="L1397" s="2" t="s">
        <v>1151</v>
      </c>
      <c r="M1397" s="157" t="str">
        <f t="shared" si="75"/>
        <v>К41012412342</v>
      </c>
      <c r="N1397" s="3" t="s">
        <v>1101</v>
      </c>
      <c r="O1397" s="4" t="s">
        <v>1073</v>
      </c>
      <c r="P1397" s="1"/>
      <c r="U1397" s="153" t="s">
        <v>3646</v>
      </c>
      <c r="V1397" s="4"/>
      <c r="W1397" s="3"/>
    </row>
    <row r="1398" spans="1:24" x14ac:dyDescent="0.25">
      <c r="A1398" s="158">
        <v>1308</v>
      </c>
      <c r="B1398" s="1"/>
      <c r="C1398" s="452" t="s">
        <v>3034</v>
      </c>
      <c r="D1398" s="154">
        <v>1379</v>
      </c>
      <c r="E1398" s="3" t="s">
        <v>24</v>
      </c>
      <c r="F1398" s="3" t="s">
        <v>104</v>
      </c>
      <c r="G1398" s="2" t="s">
        <v>1217</v>
      </c>
      <c r="H1398" s="2" t="s">
        <v>283</v>
      </c>
      <c r="I1398" s="156" t="str">
        <f t="shared" si="78"/>
        <v>2011</v>
      </c>
      <c r="J1398" s="156"/>
      <c r="K1398" s="156"/>
      <c r="L1398" s="2" t="s">
        <v>1218</v>
      </c>
      <c r="M1398" s="157" t="str">
        <f t="shared" si="75"/>
        <v>К08102987</v>
      </c>
      <c r="N1398" s="3" t="s">
        <v>1101</v>
      </c>
      <c r="O1398" s="4" t="s">
        <v>1208</v>
      </c>
      <c r="P1398" s="1"/>
      <c r="U1398" s="153" t="s">
        <v>3646</v>
      </c>
      <c r="V1398" s="4"/>
      <c r="W1398" s="3"/>
    </row>
    <row r="1399" spans="1:24" x14ac:dyDescent="0.25">
      <c r="A1399" s="158">
        <v>1312</v>
      </c>
      <c r="B1399" s="1"/>
      <c r="C1399" s="452" t="s">
        <v>3034</v>
      </c>
      <c r="D1399" s="158">
        <v>1380</v>
      </c>
      <c r="E1399" s="3" t="s">
        <v>24</v>
      </c>
      <c r="F1399" s="3" t="s">
        <v>37</v>
      </c>
      <c r="G1399" s="2" t="s">
        <v>1221</v>
      </c>
      <c r="H1399" s="2" t="s">
        <v>51</v>
      </c>
      <c r="I1399" s="156" t="str">
        <f t="shared" si="78"/>
        <v>2014</v>
      </c>
      <c r="J1399" s="156"/>
      <c r="K1399" s="156"/>
      <c r="L1399" s="2" t="s">
        <v>1222</v>
      </c>
      <c r="M1399" s="157" t="str">
        <f t="shared" si="75"/>
        <v>К2360000454</v>
      </c>
      <c r="N1399" s="3" t="s">
        <v>1101</v>
      </c>
      <c r="O1399" s="4" t="s">
        <v>1223</v>
      </c>
      <c r="P1399" s="1"/>
      <c r="U1399" s="153" t="s">
        <v>3646</v>
      </c>
      <c r="V1399" s="4"/>
      <c r="W1399" s="3"/>
    </row>
    <row r="1400" spans="1:24" s="162" customFormat="1" x14ac:dyDescent="0.25">
      <c r="A1400" s="154">
        <v>1313</v>
      </c>
      <c r="B1400" s="1"/>
      <c r="C1400" s="452" t="s">
        <v>3034</v>
      </c>
      <c r="D1400" s="154">
        <v>1381</v>
      </c>
      <c r="E1400" s="3" t="s">
        <v>24</v>
      </c>
      <c r="F1400" s="3" t="s">
        <v>208</v>
      </c>
      <c r="G1400" s="2" t="s">
        <v>1224</v>
      </c>
      <c r="H1400" s="2" t="s">
        <v>90</v>
      </c>
      <c r="I1400" s="156" t="str">
        <f t="shared" si="78"/>
        <v>2008</v>
      </c>
      <c r="J1400" s="156"/>
      <c r="K1400" s="156"/>
      <c r="L1400" s="2" t="s">
        <v>1225</v>
      </c>
      <c r="M1400" s="157" t="str">
        <f t="shared" si="75"/>
        <v>К08102458_3</v>
      </c>
      <c r="N1400" s="3" t="s">
        <v>1101</v>
      </c>
      <c r="O1400" s="4" t="s">
        <v>1081</v>
      </c>
      <c r="P1400" s="1"/>
      <c r="Q1400" s="1"/>
      <c r="R1400" s="3"/>
      <c r="S1400" s="1"/>
      <c r="T1400" s="3"/>
      <c r="U1400" s="153" t="s">
        <v>3646</v>
      </c>
      <c r="V1400" s="4"/>
      <c r="W1400" s="3"/>
      <c r="X1400" s="3"/>
    </row>
    <row r="1401" spans="1:24" x14ac:dyDescent="0.25">
      <c r="A1401" s="154">
        <v>1315</v>
      </c>
      <c r="B1401" s="1"/>
      <c r="C1401" s="452" t="s">
        <v>3034</v>
      </c>
      <c r="D1401" s="158">
        <v>1382</v>
      </c>
      <c r="E1401" s="3" t="s">
        <v>24</v>
      </c>
      <c r="F1401" s="3" t="s">
        <v>1105</v>
      </c>
      <c r="G1401" s="2" t="s">
        <v>1234</v>
      </c>
      <c r="H1401" s="2" t="s">
        <v>1107</v>
      </c>
      <c r="I1401" s="156" t="str">
        <f t="shared" si="78"/>
        <v>2020</v>
      </c>
      <c r="J1401" s="156"/>
      <c r="K1401" s="156"/>
      <c r="L1401" s="2" t="s">
        <v>1235</v>
      </c>
      <c r="M1401" s="157" t="str">
        <f t="shared" si="75"/>
        <v>К2360000465</v>
      </c>
      <c r="N1401" s="3" t="s">
        <v>1101</v>
      </c>
      <c r="O1401" s="4" t="s">
        <v>1236</v>
      </c>
      <c r="P1401" s="1"/>
      <c r="U1401" s="153" t="s">
        <v>3646</v>
      </c>
      <c r="V1401" s="4" t="s">
        <v>1202</v>
      </c>
      <c r="W1401" s="3"/>
    </row>
    <row r="1402" spans="1:24" x14ac:dyDescent="0.25">
      <c r="A1402" s="158">
        <v>1346</v>
      </c>
      <c r="B1402" s="1"/>
      <c r="C1402" s="452" t="s">
        <v>3034</v>
      </c>
      <c r="D1402" s="158">
        <v>1383</v>
      </c>
      <c r="E1402" s="3" t="s">
        <v>24</v>
      </c>
      <c r="F1402" s="3" t="s">
        <v>1105</v>
      </c>
      <c r="G1402" s="2" t="s">
        <v>1106</v>
      </c>
      <c r="H1402" s="2" t="s">
        <v>1107</v>
      </c>
      <c r="I1402" s="156" t="str">
        <f t="shared" si="78"/>
        <v>2020</v>
      </c>
      <c r="J1402" s="156"/>
      <c r="K1402" s="156"/>
      <c r="L1402" s="2"/>
      <c r="M1402" s="157" t="str">
        <f t="shared" si="75"/>
        <v>К</v>
      </c>
      <c r="N1402" s="3" t="s">
        <v>1101</v>
      </c>
      <c r="O1402" s="4"/>
      <c r="P1402" s="1"/>
      <c r="U1402" s="153" t="s">
        <v>3646</v>
      </c>
      <c r="V1402" s="4" t="s">
        <v>1108</v>
      </c>
      <c r="W1402" s="3"/>
    </row>
    <row r="1403" spans="1:24" x14ac:dyDescent="0.25">
      <c r="A1403" s="154">
        <v>1345</v>
      </c>
      <c r="B1403" s="1"/>
      <c r="C1403" s="452" t="s">
        <v>3034</v>
      </c>
      <c r="D1403" s="154">
        <v>1384</v>
      </c>
      <c r="E1403" s="3" t="s">
        <v>24</v>
      </c>
      <c r="F1403" s="3" t="s">
        <v>1109</v>
      </c>
      <c r="G1403" s="2" t="s">
        <v>1110</v>
      </c>
      <c r="H1403" s="2" t="s">
        <v>464</v>
      </c>
      <c r="I1403" s="156" t="str">
        <f t="shared" si="78"/>
        <v>2006</v>
      </c>
      <c r="J1403" s="156"/>
      <c r="K1403" s="156"/>
      <c r="L1403" s="589" t="s">
        <v>4211</v>
      </c>
      <c r="M1403" s="157" t="str">
        <f t="shared" si="75"/>
        <v>К04700206</v>
      </c>
      <c r="N1403" s="3" t="s">
        <v>1101</v>
      </c>
      <c r="O1403" s="4"/>
      <c r="P1403" s="1"/>
      <c r="U1403" s="153" t="s">
        <v>3646</v>
      </c>
      <c r="V1403" s="4"/>
      <c r="W1403" s="3"/>
    </row>
    <row r="1404" spans="1:24" x14ac:dyDescent="0.25">
      <c r="A1404" s="158">
        <v>1342</v>
      </c>
      <c r="B1404" s="1"/>
      <c r="C1404" s="452" t="s">
        <v>3034</v>
      </c>
      <c r="D1404" s="158">
        <v>1385</v>
      </c>
      <c r="E1404" s="3" t="s">
        <v>24</v>
      </c>
      <c r="F1404" s="3" t="s">
        <v>1102</v>
      </c>
      <c r="G1404" s="2" t="s">
        <v>1103</v>
      </c>
      <c r="H1404" s="2" t="s">
        <v>90</v>
      </c>
      <c r="I1404" s="156" t="str">
        <f t="shared" si="78"/>
        <v>2008</v>
      </c>
      <c r="J1404" s="156"/>
      <c r="K1404" s="156"/>
      <c r="L1404" s="2" t="s">
        <v>1104</v>
      </c>
      <c r="M1404" s="157" t="str">
        <f t="shared" si="75"/>
        <v>К08102568_2</v>
      </c>
      <c r="N1404" s="3" t="s">
        <v>1101</v>
      </c>
      <c r="O1404" s="4"/>
      <c r="P1404" s="1"/>
      <c r="U1404" s="153" t="s">
        <v>3646</v>
      </c>
      <c r="V1404" s="4"/>
      <c r="W1404" s="3"/>
    </row>
    <row r="1405" spans="1:24" x14ac:dyDescent="0.25">
      <c r="A1405" s="154">
        <v>1343</v>
      </c>
      <c r="B1405" s="1"/>
      <c r="C1405" s="452" t="s">
        <v>3034</v>
      </c>
      <c r="D1405" s="154">
        <v>1386</v>
      </c>
      <c r="E1405" s="3" t="s">
        <v>24</v>
      </c>
      <c r="F1405" s="3" t="s">
        <v>1102</v>
      </c>
      <c r="G1405" s="2"/>
      <c r="H1405" s="2" t="s">
        <v>79</v>
      </c>
      <c r="I1405" s="156" t="str">
        <f t="shared" si="78"/>
        <v>2009</v>
      </c>
      <c r="J1405" s="156"/>
      <c r="K1405" s="156"/>
      <c r="L1405" s="2" t="s">
        <v>210</v>
      </c>
      <c r="M1405" s="157" t="str">
        <f t="shared" si="75"/>
        <v>К08105179</v>
      </c>
      <c r="N1405" s="3" t="s">
        <v>1101</v>
      </c>
      <c r="O1405" s="4"/>
      <c r="P1405" s="1"/>
      <c r="U1405" s="153" t="s">
        <v>3646</v>
      </c>
      <c r="V1405" s="4"/>
      <c r="W1405" s="3"/>
    </row>
    <row r="1406" spans="1:24" x14ac:dyDescent="0.25">
      <c r="A1406" s="158">
        <v>1344</v>
      </c>
      <c r="B1406" s="1"/>
      <c r="C1406" s="452" t="s">
        <v>3034</v>
      </c>
      <c r="D1406" s="158">
        <v>1387</v>
      </c>
      <c r="E1406" s="3" t="s">
        <v>24</v>
      </c>
      <c r="F1406" s="3" t="s">
        <v>37</v>
      </c>
      <c r="G1406" s="2"/>
      <c r="H1406" s="2"/>
      <c r="I1406" s="156" t="str">
        <f t="shared" si="78"/>
        <v/>
      </c>
      <c r="J1406" s="156"/>
      <c r="K1406" s="156"/>
      <c r="L1406" s="589" t="s">
        <v>1168</v>
      </c>
      <c r="M1406" s="157" t="str">
        <f t="shared" si="75"/>
        <v>К08105180</v>
      </c>
      <c r="N1406" s="3" t="s">
        <v>1101</v>
      </c>
      <c r="O1406" s="4"/>
      <c r="P1406" s="1"/>
      <c r="U1406" s="153" t="s">
        <v>3646</v>
      </c>
      <c r="V1406" s="4" t="s">
        <v>1169</v>
      </c>
      <c r="W1406" s="3"/>
    </row>
    <row r="1407" spans="1:24" x14ac:dyDescent="0.25">
      <c r="A1407" s="154">
        <v>1309</v>
      </c>
      <c r="B1407" s="136" t="s">
        <v>3552</v>
      </c>
      <c r="C1407" s="136"/>
      <c r="D1407" s="158">
        <v>1389</v>
      </c>
      <c r="E1407" s="480" t="s">
        <v>690</v>
      </c>
      <c r="F1407" s="3"/>
      <c r="G1407" s="2"/>
      <c r="H1407" s="2"/>
      <c r="I1407" s="156" t="str">
        <f t="shared" si="78"/>
        <v/>
      </c>
      <c r="J1407" s="156"/>
      <c r="K1407" s="156"/>
      <c r="L1407" s="2"/>
      <c r="M1407" s="157" t="str">
        <f t="shared" si="75"/>
        <v>К</v>
      </c>
      <c r="N1407" s="3" t="s">
        <v>1101</v>
      </c>
      <c r="O1407" s="479" t="s">
        <v>1220</v>
      </c>
      <c r="P1407" s="1"/>
      <c r="U1407" s="1"/>
      <c r="V1407" s="4"/>
      <c r="W1407" s="3"/>
    </row>
    <row r="1408" spans="1:24" x14ac:dyDescent="0.25">
      <c r="A1408" s="158">
        <v>1282</v>
      </c>
      <c r="B1408" s="136" t="s">
        <v>3552</v>
      </c>
      <c r="C1408" s="136"/>
      <c r="D1408" s="154">
        <v>1391</v>
      </c>
      <c r="E1408" s="530" t="s">
        <v>690</v>
      </c>
      <c r="F1408" s="3"/>
      <c r="G1408" s="2"/>
      <c r="H1408" s="2"/>
      <c r="I1408" s="156" t="str">
        <f t="shared" si="78"/>
        <v/>
      </c>
      <c r="J1408" s="156"/>
      <c r="K1408" s="156"/>
      <c r="L1408" s="2"/>
      <c r="M1408" s="157" t="str">
        <f t="shared" si="75"/>
        <v>К</v>
      </c>
      <c r="N1408" s="530" t="s">
        <v>1101</v>
      </c>
      <c r="O1408" s="531" t="s">
        <v>2341</v>
      </c>
      <c r="P1408" s="1"/>
      <c r="U1408" s="1"/>
      <c r="V1408" s="4"/>
      <c r="W1408" s="3"/>
    </row>
    <row r="1409" spans="1:23" x14ac:dyDescent="0.25">
      <c r="A1409" s="154">
        <v>1285</v>
      </c>
      <c r="B1409" s="456" t="s">
        <v>3552</v>
      </c>
      <c r="C1409" s="456"/>
      <c r="D1409" s="158">
        <v>1394</v>
      </c>
      <c r="E1409" s="3" t="s">
        <v>61</v>
      </c>
      <c r="F1409" s="3" t="s">
        <v>62</v>
      </c>
      <c r="G1409" s="2" t="s">
        <v>1248</v>
      </c>
      <c r="H1409" s="2"/>
      <c r="I1409" s="156" t="str">
        <f t="shared" si="78"/>
        <v/>
      </c>
      <c r="J1409" s="156"/>
      <c r="K1409" s="156"/>
      <c r="L1409" s="2"/>
      <c r="M1409" s="157" t="str">
        <f t="shared" si="75"/>
        <v>К</v>
      </c>
      <c r="N1409" s="3" t="s">
        <v>1101</v>
      </c>
      <c r="O1409" s="4"/>
      <c r="P1409" s="1"/>
      <c r="U1409" s="1"/>
      <c r="V1409" s="4"/>
      <c r="W1409" s="3"/>
    </row>
    <row r="1410" spans="1:23" x14ac:dyDescent="0.25">
      <c r="A1410" s="158">
        <v>1288</v>
      </c>
      <c r="B1410" s="1"/>
      <c r="C1410" s="452" t="s">
        <v>3640</v>
      </c>
      <c r="D1410" s="154">
        <v>1395</v>
      </c>
      <c r="E1410" s="3" t="s">
        <v>2320</v>
      </c>
      <c r="F1410" s="3" t="s">
        <v>1141</v>
      </c>
      <c r="G1410" s="2" t="s">
        <v>1142</v>
      </c>
      <c r="H1410" s="2" t="s">
        <v>1143</v>
      </c>
      <c r="I1410" s="156" t="str">
        <f t="shared" si="78"/>
        <v>2018</v>
      </c>
      <c r="J1410" s="156"/>
      <c r="K1410" s="156"/>
      <c r="L1410" s="2"/>
      <c r="M1410" s="157" t="str">
        <f t="shared" si="75"/>
        <v>К</v>
      </c>
      <c r="N1410" s="3" t="s">
        <v>1101</v>
      </c>
      <c r="O1410" s="4" t="s">
        <v>1073</v>
      </c>
      <c r="P1410" s="1"/>
      <c r="U1410" s="1"/>
      <c r="V1410" s="4"/>
      <c r="W1410" s="3"/>
    </row>
    <row r="1411" spans="1:23" x14ac:dyDescent="0.25">
      <c r="A1411" s="154">
        <v>1305</v>
      </c>
      <c r="B1411" s="456"/>
      <c r="C1411" s="481" t="s">
        <v>3640</v>
      </c>
      <c r="D1411" s="158">
        <v>1396</v>
      </c>
      <c r="E1411" s="482" t="s">
        <v>2320</v>
      </c>
      <c r="F1411" s="3" t="s">
        <v>1141</v>
      </c>
      <c r="G1411" s="2" t="s">
        <v>1142</v>
      </c>
      <c r="H1411" s="2" t="s">
        <v>124</v>
      </c>
      <c r="I1411" s="156" t="str">
        <f t="shared" si="78"/>
        <v>2018</v>
      </c>
      <c r="J1411" s="156"/>
      <c r="K1411" s="156"/>
      <c r="L1411" s="2"/>
      <c r="M1411" s="157"/>
      <c r="N1411" s="3" t="s">
        <v>1101</v>
      </c>
      <c r="O1411" s="483" t="s">
        <v>5175</v>
      </c>
      <c r="P1411" s="1"/>
      <c r="U1411" s="1"/>
      <c r="V1411" s="4"/>
      <c r="W1411" s="3"/>
    </row>
    <row r="1412" spans="1:23" x14ac:dyDescent="0.25">
      <c r="A1412" s="158">
        <v>1194</v>
      </c>
      <c r="B1412" s="1"/>
      <c r="C1412" s="452" t="s">
        <v>3640</v>
      </c>
      <c r="D1412" s="158">
        <v>1397</v>
      </c>
      <c r="E1412" s="3" t="s">
        <v>2320</v>
      </c>
      <c r="F1412" s="3" t="s">
        <v>1214</v>
      </c>
      <c r="G1412" s="2" t="s">
        <v>1215</v>
      </c>
      <c r="H1412" s="2" t="s">
        <v>1216</v>
      </c>
      <c r="I1412" s="156" t="str">
        <f t="shared" si="78"/>
        <v>2019</v>
      </c>
      <c r="J1412" s="156"/>
      <c r="K1412" s="156"/>
      <c r="L1412" s="2"/>
      <c r="M1412" s="157" t="str">
        <f>CONCATENATE("К",L1412)</f>
        <v>К</v>
      </c>
      <c r="N1412" s="3" t="s">
        <v>1101</v>
      </c>
      <c r="O1412" s="4" t="s">
        <v>1208</v>
      </c>
      <c r="P1412" s="1"/>
      <c r="R1412" s="170" t="s">
        <v>3754</v>
      </c>
      <c r="S1412" s="455" t="s">
        <v>3755</v>
      </c>
      <c r="U1412" s="1"/>
      <c r="V1412" s="4"/>
      <c r="W1412" s="3"/>
    </row>
    <row r="1413" spans="1:23" x14ac:dyDescent="0.25">
      <c r="A1413" s="154">
        <v>1347</v>
      </c>
      <c r="B1413" s="456"/>
      <c r="C1413" s="481" t="s">
        <v>3640</v>
      </c>
      <c r="D1413" s="154">
        <v>1398</v>
      </c>
      <c r="E1413" s="482" t="s">
        <v>2320</v>
      </c>
      <c r="F1413" s="3" t="s">
        <v>1879</v>
      </c>
      <c r="G1413" s="2" t="s">
        <v>5545</v>
      </c>
      <c r="H1413" s="2" t="s">
        <v>124</v>
      </c>
      <c r="I1413" s="156" t="str">
        <f t="shared" si="78"/>
        <v>2018</v>
      </c>
      <c r="J1413" s="156"/>
      <c r="K1413" s="156"/>
      <c r="L1413" s="2"/>
      <c r="M1413" s="157"/>
      <c r="N1413" s="3" t="s">
        <v>1101</v>
      </c>
      <c r="O1413" s="483" t="s">
        <v>4458</v>
      </c>
      <c r="P1413" s="1"/>
      <c r="W1413" s="3"/>
    </row>
    <row r="1414" spans="1:23" x14ac:dyDescent="0.25">
      <c r="A1414" s="158">
        <v>1306</v>
      </c>
      <c r="B1414" s="456"/>
      <c r="C1414" s="481" t="s">
        <v>3640</v>
      </c>
      <c r="D1414" s="158">
        <v>1399</v>
      </c>
      <c r="E1414" s="482" t="s">
        <v>2320</v>
      </c>
      <c r="F1414" s="3" t="s">
        <v>1214</v>
      </c>
      <c r="G1414" s="2" t="s">
        <v>5546</v>
      </c>
      <c r="H1414" s="2" t="s">
        <v>66</v>
      </c>
      <c r="I1414" s="156" t="str">
        <f t="shared" ref="I1414:I1442" si="79">RIGHT(H1414,4)</f>
        <v>2019</v>
      </c>
      <c r="J1414" s="156"/>
      <c r="K1414" s="156"/>
      <c r="L1414" s="2"/>
      <c r="M1414" s="157"/>
      <c r="N1414" s="3" t="s">
        <v>1101</v>
      </c>
      <c r="O1414" s="483" t="s">
        <v>4458</v>
      </c>
      <c r="P1414" s="1"/>
      <c r="U1414" s="153" t="s">
        <v>3640</v>
      </c>
      <c r="V1414" s="4"/>
      <c r="W1414" s="3"/>
    </row>
    <row r="1415" spans="1:23" x14ac:dyDescent="0.25">
      <c r="A1415" s="154"/>
      <c r="B1415" s="456" t="s">
        <v>3552</v>
      </c>
      <c r="C1415" s="452" t="s">
        <v>3034</v>
      </c>
      <c r="D1415" s="154">
        <v>1447</v>
      </c>
      <c r="E1415" s="3" t="s">
        <v>325</v>
      </c>
      <c r="F1415" s="3" t="s">
        <v>2327</v>
      </c>
      <c r="G1415" s="2" t="s">
        <v>326</v>
      </c>
      <c r="H1415" s="2" t="s">
        <v>327</v>
      </c>
      <c r="I1415" s="156" t="str">
        <f t="shared" si="79"/>
        <v>2003</v>
      </c>
      <c r="J1415" s="156">
        <v>2003</v>
      </c>
      <c r="K1415" s="156"/>
      <c r="L1415" s="2" t="s">
        <v>328</v>
      </c>
      <c r="M1415" s="157" t="str">
        <f t="shared" ref="M1415:M1446" si="80">CONCATENATE("К",L1415)</f>
        <v>К04700047</v>
      </c>
      <c r="N1415" s="3" t="s">
        <v>248</v>
      </c>
      <c r="O1415" s="4" t="s">
        <v>293</v>
      </c>
      <c r="P1415" s="1"/>
      <c r="W1415" s="3"/>
    </row>
    <row r="1416" spans="1:23" x14ac:dyDescent="0.25">
      <c r="A1416" s="158">
        <v>1310</v>
      </c>
      <c r="B1416" s="162"/>
      <c r="C1416" s="162"/>
      <c r="D1416" s="158">
        <v>1404</v>
      </c>
      <c r="E1416" s="162" t="s">
        <v>289</v>
      </c>
      <c r="F1416" s="162" t="s">
        <v>290</v>
      </c>
      <c r="G1416" s="449" t="s">
        <v>291</v>
      </c>
      <c r="H1416" s="449" t="s">
        <v>232</v>
      </c>
      <c r="I1416" s="156" t="str">
        <f t="shared" si="79"/>
        <v>2007</v>
      </c>
      <c r="J1416" s="156">
        <v>2007</v>
      </c>
      <c r="K1416" s="156"/>
      <c r="L1416" s="2" t="s">
        <v>292</v>
      </c>
      <c r="M1416" s="157" t="str">
        <f t="shared" si="80"/>
        <v>К04800224</v>
      </c>
      <c r="N1416" s="162" t="s">
        <v>248</v>
      </c>
      <c r="O1416" s="4" t="s">
        <v>293</v>
      </c>
      <c r="P1416" s="167"/>
      <c r="U1416" s="153" t="s">
        <v>3640</v>
      </c>
      <c r="V1416" s="4"/>
      <c r="W1416" s="3"/>
    </row>
    <row r="1417" spans="1:23" x14ac:dyDescent="0.25">
      <c r="A1417" s="154"/>
      <c r="B1417" s="456" t="s">
        <v>3552</v>
      </c>
      <c r="C1417" s="452" t="s">
        <v>3034</v>
      </c>
      <c r="D1417" s="158">
        <v>1448</v>
      </c>
      <c r="E1417" s="3" t="s">
        <v>325</v>
      </c>
      <c r="F1417" s="459" t="s">
        <v>1936</v>
      </c>
      <c r="G1417" s="142" t="s">
        <v>3471</v>
      </c>
      <c r="H1417" s="589" t="s">
        <v>232</v>
      </c>
      <c r="I1417" s="156" t="str">
        <f t="shared" si="79"/>
        <v>2007</v>
      </c>
      <c r="J1417" s="156">
        <v>2007</v>
      </c>
      <c r="K1417" s="156"/>
      <c r="L1417" s="2" t="s">
        <v>329</v>
      </c>
      <c r="M1417" s="157" t="str">
        <f t="shared" si="80"/>
        <v>К04700330</v>
      </c>
      <c r="N1417" s="3" t="s">
        <v>248</v>
      </c>
      <c r="O1417" s="4" t="s">
        <v>293</v>
      </c>
      <c r="P1417" s="1"/>
      <c r="W1417" s="3"/>
    </row>
    <row r="1418" spans="1:23" x14ac:dyDescent="0.25">
      <c r="A1418" s="154"/>
      <c r="B1418" s="136" t="s">
        <v>3552</v>
      </c>
      <c r="C1418" s="136"/>
      <c r="D1418" s="154">
        <v>1416</v>
      </c>
      <c r="E1418" s="3" t="s">
        <v>2314</v>
      </c>
      <c r="F1418" s="3" t="s">
        <v>276</v>
      </c>
      <c r="G1418" s="2" t="s">
        <v>277</v>
      </c>
      <c r="H1418" s="2" t="s">
        <v>278</v>
      </c>
      <c r="I1418" s="156" t="str">
        <f t="shared" si="79"/>
        <v>2008</v>
      </c>
      <c r="J1418" s="156">
        <v>2008</v>
      </c>
      <c r="K1418" s="156"/>
      <c r="L1418" s="2" t="s">
        <v>270</v>
      </c>
      <c r="M1418" s="157" t="str">
        <f t="shared" si="80"/>
        <v>К08102838_3</v>
      </c>
      <c r="N1418" s="3" t="s">
        <v>248</v>
      </c>
      <c r="O1418" s="4" t="s">
        <v>271</v>
      </c>
      <c r="P1418" s="1"/>
      <c r="W1418" s="3"/>
    </row>
    <row r="1419" spans="1:23" x14ac:dyDescent="0.25">
      <c r="A1419" s="154">
        <v>1311</v>
      </c>
      <c r="B1419" s="136" t="s">
        <v>3552</v>
      </c>
      <c r="C1419" s="136"/>
      <c r="D1419" s="158">
        <v>1406</v>
      </c>
      <c r="E1419" s="3" t="s">
        <v>2307</v>
      </c>
      <c r="F1419" s="3" t="s">
        <v>268</v>
      </c>
      <c r="G1419" s="2" t="s">
        <v>269</v>
      </c>
      <c r="H1419" s="2" t="s">
        <v>236</v>
      </c>
      <c r="I1419" s="156" t="str">
        <f t="shared" si="79"/>
        <v>2009</v>
      </c>
      <c r="J1419" s="156">
        <v>2009</v>
      </c>
      <c r="K1419" s="156"/>
      <c r="L1419" s="2" t="s">
        <v>270</v>
      </c>
      <c r="M1419" s="157" t="str">
        <f t="shared" si="80"/>
        <v>К08102838_3</v>
      </c>
      <c r="N1419" s="3" t="s">
        <v>248</v>
      </c>
      <c r="O1419" s="4" t="s">
        <v>271</v>
      </c>
      <c r="P1419" s="1"/>
      <c r="U1419" s="1"/>
      <c r="V1419" s="4" t="s">
        <v>1213</v>
      </c>
      <c r="W1419" s="3"/>
    </row>
    <row r="1420" spans="1:23" x14ac:dyDescent="0.25">
      <c r="A1420" s="154">
        <v>1307</v>
      </c>
      <c r="B1420" s="136" t="s">
        <v>3552</v>
      </c>
      <c r="C1420" s="136"/>
      <c r="D1420" s="158">
        <v>1408</v>
      </c>
      <c r="E1420" s="3" t="s">
        <v>2308</v>
      </c>
      <c r="F1420" s="3" t="s">
        <v>272</v>
      </c>
      <c r="G1420" s="2" t="s">
        <v>273</v>
      </c>
      <c r="H1420" s="2" t="s">
        <v>236</v>
      </c>
      <c r="I1420" s="156" t="str">
        <f t="shared" si="79"/>
        <v>2009</v>
      </c>
      <c r="J1420" s="156">
        <v>2009</v>
      </c>
      <c r="K1420" s="156"/>
      <c r="L1420" s="2" t="s">
        <v>270</v>
      </c>
      <c r="M1420" s="157" t="str">
        <f t="shared" si="80"/>
        <v>К08102838_3</v>
      </c>
      <c r="N1420" s="3" t="s">
        <v>248</v>
      </c>
      <c r="O1420" s="4" t="s">
        <v>271</v>
      </c>
      <c r="P1420" s="1"/>
      <c r="U1420" s="1"/>
      <c r="V1420" s="4"/>
      <c r="W1420" s="3"/>
    </row>
    <row r="1421" spans="1:23" x14ac:dyDescent="0.25">
      <c r="A1421" s="154">
        <v>1317</v>
      </c>
      <c r="B1421" s="136" t="s">
        <v>3552</v>
      </c>
      <c r="C1421" s="136"/>
      <c r="D1421" s="154">
        <v>1412</v>
      </c>
      <c r="E1421" s="3" t="s">
        <v>2311</v>
      </c>
      <c r="F1421" s="3" t="s">
        <v>274</v>
      </c>
      <c r="G1421" s="2" t="s">
        <v>275</v>
      </c>
      <c r="H1421" s="2" t="s">
        <v>236</v>
      </c>
      <c r="I1421" s="156" t="str">
        <f t="shared" si="79"/>
        <v>2009</v>
      </c>
      <c r="J1421" s="156">
        <v>2009</v>
      </c>
      <c r="K1421" s="156"/>
      <c r="L1421" s="2" t="s">
        <v>270</v>
      </c>
      <c r="M1421" s="157" t="str">
        <f t="shared" si="80"/>
        <v>К08102838_3</v>
      </c>
      <c r="N1421" s="3" t="s">
        <v>248</v>
      </c>
      <c r="O1421" s="4" t="s">
        <v>271</v>
      </c>
      <c r="P1421" s="1"/>
      <c r="U1421" s="1"/>
      <c r="V1421" s="4"/>
      <c r="W1421" s="3"/>
    </row>
    <row r="1422" spans="1:23" x14ac:dyDescent="0.25">
      <c r="A1422" s="158">
        <v>1202</v>
      </c>
      <c r="B1422" s="136" t="s">
        <v>3552</v>
      </c>
      <c r="C1422" s="452" t="s">
        <v>3693</v>
      </c>
      <c r="D1422" s="158">
        <v>1445</v>
      </c>
      <c r="E1422" s="3" t="s">
        <v>2305</v>
      </c>
      <c r="F1422" s="166" t="s">
        <v>2382</v>
      </c>
      <c r="G1422" s="2" t="s">
        <v>285</v>
      </c>
      <c r="H1422" s="532" t="s">
        <v>288</v>
      </c>
      <c r="I1422" s="156" t="str">
        <f t="shared" si="79"/>
        <v>2009</v>
      </c>
      <c r="J1422" s="156">
        <v>2009</v>
      </c>
      <c r="K1422" s="156"/>
      <c r="L1422" s="2" t="s">
        <v>270</v>
      </c>
      <c r="M1422" s="157" t="str">
        <f t="shared" si="80"/>
        <v>К08102838_3</v>
      </c>
      <c r="N1422" s="3" t="s">
        <v>248</v>
      </c>
      <c r="O1422" s="4" t="s">
        <v>271</v>
      </c>
      <c r="P1422" s="1"/>
      <c r="U1422" s="1"/>
      <c r="V1422" s="4"/>
      <c r="W1422" s="3"/>
    </row>
    <row r="1423" spans="1:23" x14ac:dyDescent="0.25">
      <c r="A1423" s="158">
        <v>1368</v>
      </c>
      <c r="B1423" s="136" t="s">
        <v>3552</v>
      </c>
      <c r="C1423" s="455"/>
      <c r="D1423" s="158">
        <v>1446</v>
      </c>
      <c r="E1423" s="3" t="s">
        <v>2305</v>
      </c>
      <c r="F1423" s="3" t="s">
        <v>286</v>
      </c>
      <c r="G1423" s="2" t="s">
        <v>287</v>
      </c>
      <c r="H1423" s="2" t="s">
        <v>288</v>
      </c>
      <c r="I1423" s="156" t="str">
        <f t="shared" si="79"/>
        <v>2009</v>
      </c>
      <c r="J1423" s="156">
        <v>2009</v>
      </c>
      <c r="K1423" s="156"/>
      <c r="L1423" s="2" t="s">
        <v>270</v>
      </c>
      <c r="M1423" s="157" t="str">
        <f t="shared" si="80"/>
        <v>К08102838_3</v>
      </c>
      <c r="N1423" s="3" t="s">
        <v>248</v>
      </c>
      <c r="O1423" s="4" t="s">
        <v>271</v>
      </c>
      <c r="P1423" s="1"/>
      <c r="T1423" s="162"/>
      <c r="U1423" s="167"/>
      <c r="V1423" s="168" t="s">
        <v>103</v>
      </c>
      <c r="W1423" s="3"/>
    </row>
    <row r="1424" spans="1:23" x14ac:dyDescent="0.25">
      <c r="A1424" s="158">
        <v>1348</v>
      </c>
      <c r="B1424" s="136"/>
      <c r="C1424" s="452" t="s">
        <v>3034</v>
      </c>
      <c r="D1424" s="154">
        <v>1437</v>
      </c>
      <c r="E1424" s="3" t="s">
        <v>24</v>
      </c>
      <c r="F1424" s="3" t="s">
        <v>45</v>
      </c>
      <c r="G1424" s="2" t="s">
        <v>264</v>
      </c>
      <c r="H1424" s="2" t="s">
        <v>47</v>
      </c>
      <c r="I1424" s="156" t="str">
        <f t="shared" si="79"/>
        <v>2010</v>
      </c>
      <c r="J1424" s="156"/>
      <c r="K1424" s="156"/>
      <c r="L1424" s="2" t="s">
        <v>265</v>
      </c>
      <c r="M1424" s="157" t="str">
        <f t="shared" si="80"/>
        <v>К08103008</v>
      </c>
      <c r="N1424" s="3" t="s">
        <v>248</v>
      </c>
      <c r="O1424" s="4" t="s">
        <v>249</v>
      </c>
      <c r="P1424" s="1"/>
      <c r="U1424" s="1"/>
      <c r="V1424" s="4"/>
      <c r="W1424" s="3"/>
    </row>
    <row r="1425" spans="1:23" x14ac:dyDescent="0.25">
      <c r="A1425" s="158">
        <v>1356</v>
      </c>
      <c r="B1425" s="1"/>
      <c r="C1425" s="452" t="s">
        <v>3034</v>
      </c>
      <c r="D1425" s="158">
        <v>1438</v>
      </c>
      <c r="E1425" s="3" t="s">
        <v>24</v>
      </c>
      <c r="F1425" s="3" t="s">
        <v>104</v>
      </c>
      <c r="G1425" s="2" t="s">
        <v>282</v>
      </c>
      <c r="H1425" s="2" t="s">
        <v>283</v>
      </c>
      <c r="I1425" s="156" t="str">
        <f t="shared" si="79"/>
        <v>2011</v>
      </c>
      <c r="J1425" s="156"/>
      <c r="K1425" s="156"/>
      <c r="L1425" s="2" t="s">
        <v>284</v>
      </c>
      <c r="M1425" s="157" t="str">
        <f t="shared" si="80"/>
        <v>К08103007</v>
      </c>
      <c r="N1425" s="3" t="s">
        <v>248</v>
      </c>
      <c r="O1425" s="4" t="s">
        <v>271</v>
      </c>
      <c r="P1425" s="1"/>
      <c r="U1425" s="1"/>
      <c r="V1425" s="4"/>
      <c r="W1425" s="3"/>
    </row>
    <row r="1426" spans="1:23" x14ac:dyDescent="0.25">
      <c r="A1426" s="154">
        <v>1357</v>
      </c>
      <c r="B1426" s="136"/>
      <c r="C1426" s="452" t="s">
        <v>3034</v>
      </c>
      <c r="D1426" s="158">
        <v>1439</v>
      </c>
      <c r="E1426" s="3" t="s">
        <v>24</v>
      </c>
      <c r="F1426" s="3" t="s">
        <v>104</v>
      </c>
      <c r="G1426" s="2" t="s">
        <v>316</v>
      </c>
      <c r="H1426" s="2" t="s">
        <v>283</v>
      </c>
      <c r="I1426" s="156" t="str">
        <f t="shared" si="79"/>
        <v>2011</v>
      </c>
      <c r="J1426" s="156"/>
      <c r="K1426" s="156"/>
      <c r="L1426" s="2" t="s">
        <v>317</v>
      </c>
      <c r="M1426" s="157" t="str">
        <f t="shared" si="80"/>
        <v>К08102892</v>
      </c>
      <c r="N1426" s="3" t="s">
        <v>248</v>
      </c>
      <c r="O1426" s="4" t="s">
        <v>293</v>
      </c>
      <c r="P1426" s="1"/>
      <c r="U1426" s="1"/>
      <c r="V1426" s="4"/>
      <c r="W1426" s="3"/>
    </row>
    <row r="1427" spans="1:23" x14ac:dyDescent="0.25">
      <c r="A1427" s="158">
        <v>1358</v>
      </c>
      <c r="B1427" s="136"/>
      <c r="C1427" s="452" t="s">
        <v>3034</v>
      </c>
      <c r="D1427" s="154">
        <v>1440</v>
      </c>
      <c r="E1427" s="3" t="s">
        <v>24</v>
      </c>
      <c r="F1427" s="3" t="s">
        <v>157</v>
      </c>
      <c r="G1427" s="2" t="s">
        <v>343</v>
      </c>
      <c r="H1427" s="2" t="s">
        <v>283</v>
      </c>
      <c r="I1427" s="156" t="str">
        <f t="shared" si="79"/>
        <v>2011</v>
      </c>
      <c r="J1427" s="156"/>
      <c r="K1427" s="156"/>
      <c r="L1427" s="2" t="s">
        <v>344</v>
      </c>
      <c r="M1427" s="157" t="str">
        <f t="shared" si="80"/>
        <v>К08103010_2</v>
      </c>
      <c r="N1427" s="3" t="s">
        <v>248</v>
      </c>
      <c r="O1427" s="4" t="s">
        <v>340</v>
      </c>
      <c r="P1427" s="1"/>
      <c r="U1427" s="1"/>
      <c r="V1427" s="4"/>
      <c r="W1427" s="3"/>
    </row>
    <row r="1428" spans="1:23" x14ac:dyDescent="0.25">
      <c r="A1428" s="154">
        <v>1359</v>
      </c>
      <c r="B1428" s="136" t="s">
        <v>3552</v>
      </c>
      <c r="C1428" s="136"/>
      <c r="D1428" s="154">
        <v>1405</v>
      </c>
      <c r="E1428" s="3" t="s">
        <v>2306</v>
      </c>
      <c r="F1428" s="3" t="s">
        <v>244</v>
      </c>
      <c r="G1428" s="2" t="s">
        <v>245</v>
      </c>
      <c r="H1428" s="2" t="s">
        <v>246</v>
      </c>
      <c r="I1428" s="156" t="str">
        <f t="shared" si="79"/>
        <v>2012</v>
      </c>
      <c r="J1428" s="156">
        <v>2012</v>
      </c>
      <c r="K1428" s="156"/>
      <c r="L1428" s="2" t="s">
        <v>247</v>
      </c>
      <c r="M1428" s="157" t="str">
        <f t="shared" si="80"/>
        <v>К08104454</v>
      </c>
      <c r="N1428" s="3" t="s">
        <v>248</v>
      </c>
      <c r="O1428" s="4" t="s">
        <v>249</v>
      </c>
      <c r="P1428" s="1"/>
      <c r="U1428" s="1"/>
      <c r="V1428" s="4"/>
      <c r="W1428" s="3"/>
    </row>
    <row r="1429" spans="1:23" x14ac:dyDescent="0.25">
      <c r="A1429" s="154">
        <v>1349</v>
      </c>
      <c r="B1429" s="136" t="s">
        <v>3552</v>
      </c>
      <c r="C1429" s="136"/>
      <c r="D1429" s="158">
        <v>1411</v>
      </c>
      <c r="E1429" s="3" t="s">
        <v>2310</v>
      </c>
      <c r="F1429" s="3" t="s">
        <v>253</v>
      </c>
      <c r="G1429" s="2" t="s">
        <v>254</v>
      </c>
      <c r="H1429" s="2" t="s">
        <v>255</v>
      </c>
      <c r="I1429" s="156" t="str">
        <f t="shared" si="79"/>
        <v>2012</v>
      </c>
      <c r="J1429" s="156">
        <v>2012</v>
      </c>
      <c r="K1429" s="156"/>
      <c r="L1429" s="2" t="s">
        <v>256</v>
      </c>
      <c r="M1429" s="157" t="str">
        <f t="shared" si="80"/>
        <v>К2360000215</v>
      </c>
      <c r="N1429" s="3" t="s">
        <v>248</v>
      </c>
      <c r="O1429" s="4" t="s">
        <v>249</v>
      </c>
      <c r="P1429" s="1"/>
      <c r="U1429" s="1"/>
      <c r="V1429" s="4"/>
      <c r="W1429" s="3"/>
    </row>
    <row r="1430" spans="1:23" x14ac:dyDescent="0.25">
      <c r="A1430" s="158">
        <v>1350</v>
      </c>
      <c r="B1430" s="136" t="s">
        <v>3552</v>
      </c>
      <c r="C1430" s="136"/>
      <c r="D1430" s="154">
        <v>1414</v>
      </c>
      <c r="E1430" s="3" t="s">
        <v>2312</v>
      </c>
      <c r="F1430" s="3" t="s">
        <v>257</v>
      </c>
      <c r="G1430" s="2" t="s">
        <v>258</v>
      </c>
      <c r="H1430" s="2" t="s">
        <v>246</v>
      </c>
      <c r="I1430" s="156" t="str">
        <f t="shared" si="79"/>
        <v>2012</v>
      </c>
      <c r="J1430" s="156">
        <v>2012</v>
      </c>
      <c r="K1430" s="156"/>
      <c r="L1430" s="2" t="s">
        <v>247</v>
      </c>
      <c r="M1430" s="157" t="str">
        <f t="shared" si="80"/>
        <v>К08104454</v>
      </c>
      <c r="N1430" s="3" t="s">
        <v>248</v>
      </c>
      <c r="O1430" s="4" t="s">
        <v>249</v>
      </c>
      <c r="P1430" s="1"/>
      <c r="U1430" s="1"/>
      <c r="V1430" s="4"/>
      <c r="W1430" s="3"/>
    </row>
    <row r="1431" spans="1:23" x14ac:dyDescent="0.25">
      <c r="A1431" s="158">
        <v>1360</v>
      </c>
      <c r="B1431" s="136" t="s">
        <v>3552</v>
      </c>
      <c r="C1431" s="136"/>
      <c r="D1431" s="158">
        <v>1415</v>
      </c>
      <c r="E1431" s="3" t="s">
        <v>2313</v>
      </c>
      <c r="F1431" s="3" t="s">
        <v>259</v>
      </c>
      <c r="G1431" s="2" t="s">
        <v>260</v>
      </c>
      <c r="H1431" s="2" t="s">
        <v>261</v>
      </c>
      <c r="I1431" s="156" t="str">
        <f t="shared" si="79"/>
        <v>2012</v>
      </c>
      <c r="J1431" s="156">
        <v>2012</v>
      </c>
      <c r="K1431" s="156"/>
      <c r="L1431" s="2" t="s">
        <v>247</v>
      </c>
      <c r="M1431" s="157" t="str">
        <f t="shared" si="80"/>
        <v>К08104454</v>
      </c>
      <c r="N1431" s="3" t="s">
        <v>248</v>
      </c>
      <c r="O1431" s="4" t="s">
        <v>249</v>
      </c>
      <c r="P1431" s="1"/>
      <c r="U1431" s="1"/>
      <c r="V1431" s="4"/>
      <c r="W1431" s="3"/>
    </row>
    <row r="1432" spans="1:23" x14ac:dyDescent="0.25">
      <c r="A1432" s="154">
        <v>1361</v>
      </c>
      <c r="B1432" s="136" t="s">
        <v>3552</v>
      </c>
      <c r="C1432" s="452" t="s">
        <v>3693</v>
      </c>
      <c r="D1432" s="158">
        <v>1420</v>
      </c>
      <c r="E1432" s="581" t="s">
        <v>299</v>
      </c>
      <c r="F1432" s="581" t="s">
        <v>300</v>
      </c>
      <c r="G1432" s="2">
        <v>330</v>
      </c>
      <c r="H1432" s="469" t="s">
        <v>159</v>
      </c>
      <c r="I1432" s="156" t="str">
        <f t="shared" si="79"/>
        <v>2012</v>
      </c>
      <c r="J1432" s="156">
        <v>2012</v>
      </c>
      <c r="K1432" s="156"/>
      <c r="L1432" s="589" t="s">
        <v>301</v>
      </c>
      <c r="M1432" s="157" t="str">
        <f t="shared" si="80"/>
        <v>К08102108_2</v>
      </c>
      <c r="N1432" s="3" t="s">
        <v>248</v>
      </c>
      <c r="O1432" s="4" t="s">
        <v>293</v>
      </c>
      <c r="P1432" s="1"/>
      <c r="U1432" s="1"/>
      <c r="V1432" s="4"/>
      <c r="W1432" s="3"/>
    </row>
    <row r="1433" spans="1:23" x14ac:dyDescent="0.25">
      <c r="A1433" s="154">
        <v>1351</v>
      </c>
      <c r="B1433" s="456" t="s">
        <v>3552</v>
      </c>
      <c r="C1433" s="452" t="s">
        <v>3693</v>
      </c>
      <c r="D1433" s="154">
        <v>1421</v>
      </c>
      <c r="E1433" s="3" t="s">
        <v>299</v>
      </c>
      <c r="F1433" s="3" t="s">
        <v>300</v>
      </c>
      <c r="G1433" s="2">
        <v>331</v>
      </c>
      <c r="H1433" s="469" t="s">
        <v>159</v>
      </c>
      <c r="I1433" s="156" t="str">
        <f t="shared" si="79"/>
        <v>2012</v>
      </c>
      <c r="J1433" s="156">
        <v>2012</v>
      </c>
      <c r="K1433" s="156"/>
      <c r="L1433" s="589" t="s">
        <v>302</v>
      </c>
      <c r="M1433" s="157" t="str">
        <f t="shared" si="80"/>
        <v>К08102811_2</v>
      </c>
      <c r="N1433" s="3" t="s">
        <v>248</v>
      </c>
      <c r="O1433" s="4" t="s">
        <v>293</v>
      </c>
      <c r="P1433" s="1"/>
      <c r="U1433" s="1"/>
      <c r="V1433" s="4"/>
      <c r="W1433" s="3"/>
    </row>
    <row r="1434" spans="1:23" x14ac:dyDescent="0.25">
      <c r="A1434" s="158">
        <v>1352</v>
      </c>
      <c r="B1434" s="136" t="s">
        <v>3552</v>
      </c>
      <c r="C1434" s="452" t="s">
        <v>3693</v>
      </c>
      <c r="D1434" s="158">
        <v>1422</v>
      </c>
      <c r="E1434" s="3" t="s">
        <v>299</v>
      </c>
      <c r="F1434" s="3" t="s">
        <v>300</v>
      </c>
      <c r="G1434" s="2">
        <v>329</v>
      </c>
      <c r="H1434" s="469" t="s">
        <v>159</v>
      </c>
      <c r="I1434" s="156" t="str">
        <f t="shared" si="79"/>
        <v>2012</v>
      </c>
      <c r="J1434" s="156">
        <v>2012</v>
      </c>
      <c r="K1434" s="156"/>
      <c r="L1434" s="2" t="s">
        <v>303</v>
      </c>
      <c r="M1434" s="157" t="str">
        <f t="shared" si="80"/>
        <v>К08102891_3</v>
      </c>
      <c r="N1434" s="3" t="s">
        <v>248</v>
      </c>
      <c r="O1434" s="4" t="s">
        <v>293</v>
      </c>
      <c r="P1434" s="1"/>
      <c r="U1434" s="1"/>
      <c r="V1434" s="4"/>
      <c r="W1434" s="3"/>
    </row>
    <row r="1435" spans="1:23" x14ac:dyDescent="0.25">
      <c r="A1435" s="158">
        <v>1362</v>
      </c>
      <c r="B1435" s="456" t="s">
        <v>3552</v>
      </c>
      <c r="C1435" s="452" t="s">
        <v>3693</v>
      </c>
      <c r="D1435" s="154">
        <v>1423</v>
      </c>
      <c r="E1435" s="3" t="s">
        <v>299</v>
      </c>
      <c r="F1435" s="3" t="s">
        <v>300</v>
      </c>
      <c r="G1435" s="2">
        <v>287</v>
      </c>
      <c r="H1435" s="469" t="s">
        <v>159</v>
      </c>
      <c r="I1435" s="156" t="str">
        <f t="shared" si="79"/>
        <v>2012</v>
      </c>
      <c r="J1435" s="156">
        <v>2012</v>
      </c>
      <c r="K1435" s="156"/>
      <c r="L1435" s="589" t="s">
        <v>304</v>
      </c>
      <c r="M1435" s="157" t="str">
        <f t="shared" si="80"/>
        <v>К08102937_2</v>
      </c>
      <c r="N1435" s="3" t="s">
        <v>248</v>
      </c>
      <c r="O1435" s="4" t="s">
        <v>293</v>
      </c>
      <c r="P1435" s="1"/>
      <c r="U1435" s="1"/>
      <c r="V1435" s="4"/>
      <c r="W1435" s="3"/>
    </row>
    <row r="1436" spans="1:23" x14ac:dyDescent="0.25">
      <c r="A1436" s="154">
        <v>1363</v>
      </c>
      <c r="B1436" s="136" t="s">
        <v>3552</v>
      </c>
      <c r="C1436" s="452" t="s">
        <v>3693</v>
      </c>
      <c r="D1436" s="154">
        <v>1426</v>
      </c>
      <c r="E1436" s="3" t="s">
        <v>299</v>
      </c>
      <c r="F1436" s="3" t="s">
        <v>338</v>
      </c>
      <c r="G1436" s="469" t="s">
        <v>653</v>
      </c>
      <c r="H1436" s="469" t="s">
        <v>159</v>
      </c>
      <c r="I1436" s="156" t="str">
        <f t="shared" si="79"/>
        <v>2012</v>
      </c>
      <c r="J1436" s="156">
        <v>2012</v>
      </c>
      <c r="K1436" s="156"/>
      <c r="L1436" s="2" t="s">
        <v>339</v>
      </c>
      <c r="M1436" s="157" t="str">
        <f t="shared" si="80"/>
        <v>К08104247</v>
      </c>
      <c r="N1436" s="3" t="s">
        <v>248</v>
      </c>
      <c r="O1436" s="4" t="s">
        <v>340</v>
      </c>
      <c r="P1436" s="1"/>
      <c r="U1436" s="1"/>
      <c r="V1436" s="4"/>
      <c r="W1436" s="3"/>
    </row>
    <row r="1437" spans="1:23" x14ac:dyDescent="0.25">
      <c r="A1437" s="154">
        <v>1353</v>
      </c>
      <c r="B1437" s="136" t="s">
        <v>3552</v>
      </c>
      <c r="C1437" s="452" t="s">
        <v>3693</v>
      </c>
      <c r="D1437" s="158">
        <v>1427</v>
      </c>
      <c r="E1437" s="3" t="s">
        <v>299</v>
      </c>
      <c r="F1437" s="3" t="s">
        <v>338</v>
      </c>
      <c r="G1437" s="469" t="s">
        <v>653</v>
      </c>
      <c r="H1437" s="469" t="s">
        <v>159</v>
      </c>
      <c r="I1437" s="156" t="str">
        <f t="shared" si="79"/>
        <v>2012</v>
      </c>
      <c r="J1437" s="156">
        <v>2012</v>
      </c>
      <c r="K1437" s="156"/>
      <c r="L1437" s="2" t="s">
        <v>341</v>
      </c>
      <c r="M1437" s="157" t="str">
        <f t="shared" si="80"/>
        <v>К08104457</v>
      </c>
      <c r="N1437" s="3" t="s">
        <v>248</v>
      </c>
      <c r="O1437" s="4" t="s">
        <v>340</v>
      </c>
      <c r="P1437" s="1"/>
      <c r="U1437" s="1"/>
      <c r="V1437" s="4"/>
      <c r="W1437" s="3"/>
    </row>
    <row r="1438" spans="1:23" x14ac:dyDescent="0.25">
      <c r="A1438" s="158">
        <v>1370</v>
      </c>
      <c r="B1438" s="136" t="s">
        <v>3552</v>
      </c>
      <c r="C1438" s="452" t="s">
        <v>3693</v>
      </c>
      <c r="D1438" s="154">
        <v>1428</v>
      </c>
      <c r="E1438" s="3" t="s">
        <v>306</v>
      </c>
      <c r="F1438" s="3" t="s">
        <v>307</v>
      </c>
      <c r="G1438" s="2">
        <v>929</v>
      </c>
      <c r="H1438" s="469" t="s">
        <v>159</v>
      </c>
      <c r="I1438" s="156" t="str">
        <f t="shared" si="79"/>
        <v>2012</v>
      </c>
      <c r="J1438" s="156">
        <v>2012</v>
      </c>
      <c r="K1438" s="156"/>
      <c r="L1438" s="2" t="s">
        <v>308</v>
      </c>
      <c r="M1438" s="157" t="str">
        <f t="shared" si="80"/>
        <v>К08102106_2</v>
      </c>
      <c r="N1438" s="3" t="s">
        <v>248</v>
      </c>
      <c r="O1438" s="4" t="s">
        <v>293</v>
      </c>
      <c r="P1438" s="1"/>
      <c r="U1438" s="1"/>
      <c r="V1438" s="4"/>
      <c r="W1438" s="3"/>
    </row>
    <row r="1439" spans="1:23" x14ac:dyDescent="0.25">
      <c r="A1439" s="154">
        <v>1381</v>
      </c>
      <c r="B1439" s="456" t="s">
        <v>3552</v>
      </c>
      <c r="C1439" s="452" t="s">
        <v>3693</v>
      </c>
      <c r="D1439" s="158">
        <v>1429</v>
      </c>
      <c r="E1439" s="3" t="s">
        <v>306</v>
      </c>
      <c r="F1439" s="3" t="s">
        <v>307</v>
      </c>
      <c r="G1439" s="2">
        <v>930</v>
      </c>
      <c r="H1439" s="469" t="s">
        <v>159</v>
      </c>
      <c r="I1439" s="156" t="str">
        <f t="shared" si="79"/>
        <v>2012</v>
      </c>
      <c r="J1439" s="156">
        <v>2012</v>
      </c>
      <c r="K1439" s="156"/>
      <c r="L1439" s="2" t="s">
        <v>309</v>
      </c>
      <c r="M1439" s="157" t="str">
        <f t="shared" si="80"/>
        <v>К08102107_2</v>
      </c>
      <c r="N1439" s="3" t="s">
        <v>248</v>
      </c>
      <c r="O1439" s="4" t="s">
        <v>293</v>
      </c>
      <c r="P1439" s="1"/>
      <c r="U1439" s="1"/>
      <c r="V1439" s="4"/>
      <c r="W1439" s="3"/>
    </row>
    <row r="1440" spans="1:23" x14ac:dyDescent="0.25">
      <c r="A1440" s="158">
        <v>1382</v>
      </c>
      <c r="B1440" s="136" t="s">
        <v>3552</v>
      </c>
      <c r="C1440" s="452" t="s">
        <v>3693</v>
      </c>
      <c r="D1440" s="154">
        <v>1430</v>
      </c>
      <c r="E1440" s="3" t="s">
        <v>306</v>
      </c>
      <c r="F1440" s="3" t="s">
        <v>307</v>
      </c>
      <c r="G1440" s="2">
        <v>973</v>
      </c>
      <c r="H1440" s="469" t="s">
        <v>159</v>
      </c>
      <c r="I1440" s="156" t="str">
        <f t="shared" si="79"/>
        <v>2012</v>
      </c>
      <c r="J1440" s="156">
        <v>2012</v>
      </c>
      <c r="K1440" s="156"/>
      <c r="L1440" s="2" t="s">
        <v>310</v>
      </c>
      <c r="M1440" s="157" t="str">
        <f t="shared" si="80"/>
        <v>К08102109_2</v>
      </c>
      <c r="N1440" s="3" t="s">
        <v>248</v>
      </c>
      <c r="O1440" s="4" t="s">
        <v>293</v>
      </c>
      <c r="P1440" s="1"/>
      <c r="U1440" s="1"/>
      <c r="V1440" s="4"/>
      <c r="W1440" s="3"/>
    </row>
    <row r="1441" spans="1:24" x14ac:dyDescent="0.25">
      <c r="A1441" s="154">
        <v>1391</v>
      </c>
      <c r="B1441" s="456" t="s">
        <v>3552</v>
      </c>
      <c r="C1441" s="452" t="s">
        <v>3693</v>
      </c>
      <c r="D1441" s="158">
        <v>1431</v>
      </c>
      <c r="E1441" s="3" t="s">
        <v>306</v>
      </c>
      <c r="F1441" s="3" t="s">
        <v>307</v>
      </c>
      <c r="G1441" s="2">
        <v>972</v>
      </c>
      <c r="H1441" s="469" t="s">
        <v>159</v>
      </c>
      <c r="I1441" s="156" t="str">
        <f t="shared" si="79"/>
        <v>2012</v>
      </c>
      <c r="J1441" s="156">
        <v>2012</v>
      </c>
      <c r="K1441" s="156"/>
      <c r="L1441" s="2"/>
      <c r="M1441" s="157" t="str">
        <f t="shared" si="80"/>
        <v>К</v>
      </c>
      <c r="N1441" s="3" t="s">
        <v>248</v>
      </c>
      <c r="O1441" s="4" t="s">
        <v>293</v>
      </c>
      <c r="P1441" s="1"/>
      <c r="U1441" s="1"/>
      <c r="V1441" s="4"/>
      <c r="W1441" s="3"/>
    </row>
    <row r="1442" spans="1:24" x14ac:dyDescent="0.25">
      <c r="A1442" s="158">
        <v>1392</v>
      </c>
      <c r="B1442" s="136" t="s">
        <v>3552</v>
      </c>
      <c r="C1442" s="452" t="s">
        <v>3693</v>
      </c>
      <c r="D1442" s="154">
        <v>1444</v>
      </c>
      <c r="E1442" s="3" t="s">
        <v>2305</v>
      </c>
      <c r="F1442" s="3" t="s">
        <v>266</v>
      </c>
      <c r="G1442" s="2" t="s">
        <v>267</v>
      </c>
      <c r="H1442" s="469" t="s">
        <v>159</v>
      </c>
      <c r="I1442" s="156" t="str">
        <f t="shared" si="79"/>
        <v>2012</v>
      </c>
      <c r="J1442" s="156">
        <v>2012</v>
      </c>
      <c r="K1442" s="156"/>
      <c r="L1442" s="2" t="s">
        <v>247</v>
      </c>
      <c r="M1442" s="157" t="str">
        <f t="shared" si="80"/>
        <v>К08104454</v>
      </c>
      <c r="N1442" s="3" t="s">
        <v>248</v>
      </c>
      <c r="O1442" s="4" t="s">
        <v>249</v>
      </c>
      <c r="P1442" s="1"/>
      <c r="U1442" s="1"/>
      <c r="V1442" s="4"/>
      <c r="W1442" s="3"/>
    </row>
    <row r="1443" spans="1:24" x14ac:dyDescent="0.25">
      <c r="A1443" s="154">
        <v>1393</v>
      </c>
      <c r="B1443" s="456" t="s">
        <v>3552</v>
      </c>
      <c r="C1443" s="455" t="s">
        <v>3693</v>
      </c>
      <c r="D1443" s="158">
        <v>1450</v>
      </c>
      <c r="E1443" s="3" t="s">
        <v>325</v>
      </c>
      <c r="F1443" s="3" t="s">
        <v>334</v>
      </c>
      <c r="G1443" s="2" t="s">
        <v>185</v>
      </c>
      <c r="H1443" s="589" t="s">
        <v>159</v>
      </c>
      <c r="I1443" s="156">
        <v>2012</v>
      </c>
      <c r="J1443" s="156">
        <v>2012</v>
      </c>
      <c r="K1443" s="156"/>
      <c r="L1443" s="2" t="s">
        <v>335</v>
      </c>
      <c r="M1443" s="157" t="str">
        <f t="shared" si="80"/>
        <v>К08104248</v>
      </c>
      <c r="N1443" s="3" t="s">
        <v>248</v>
      </c>
      <c r="O1443" s="4" t="s">
        <v>293</v>
      </c>
      <c r="P1443" s="1"/>
      <c r="U1443" s="1"/>
      <c r="V1443" s="4"/>
      <c r="W1443" s="3"/>
    </row>
    <row r="1444" spans="1:24" x14ac:dyDescent="0.25">
      <c r="A1444" s="158">
        <v>1394</v>
      </c>
      <c r="B1444" s="456" t="s">
        <v>3552</v>
      </c>
      <c r="C1444" s="455" t="s">
        <v>3693</v>
      </c>
      <c r="D1444" s="154">
        <v>1451</v>
      </c>
      <c r="E1444" s="3" t="s">
        <v>325</v>
      </c>
      <c r="F1444" s="3" t="s">
        <v>336</v>
      </c>
      <c r="G1444" s="178" t="s">
        <v>3764</v>
      </c>
      <c r="H1444" s="589" t="s">
        <v>159</v>
      </c>
      <c r="I1444" s="156">
        <v>2012</v>
      </c>
      <c r="J1444" s="156">
        <v>2012</v>
      </c>
      <c r="K1444" s="156"/>
      <c r="L1444" s="2" t="s">
        <v>335</v>
      </c>
      <c r="M1444" s="157" t="str">
        <f t="shared" si="80"/>
        <v>К08104248</v>
      </c>
      <c r="N1444" s="3" t="s">
        <v>248</v>
      </c>
      <c r="O1444" s="4" t="s">
        <v>293</v>
      </c>
      <c r="P1444" s="1"/>
      <c r="U1444" s="1"/>
      <c r="V1444" s="4"/>
      <c r="W1444" s="3"/>
    </row>
    <row r="1445" spans="1:24" x14ac:dyDescent="0.25">
      <c r="A1445" s="154">
        <v>1379</v>
      </c>
      <c r="B1445" s="136" t="s">
        <v>3552</v>
      </c>
      <c r="C1445" s="136"/>
      <c r="D1445" s="158">
        <v>1410</v>
      </c>
      <c r="E1445" s="3" t="s">
        <v>2309</v>
      </c>
      <c r="F1445" s="3" t="s">
        <v>250</v>
      </c>
      <c r="G1445" s="2" t="s">
        <v>251</v>
      </c>
      <c r="H1445" s="2" t="s">
        <v>252</v>
      </c>
      <c r="I1445" s="156" t="str">
        <f t="shared" ref="I1445:I1476" si="81">RIGHT(H1445,4)</f>
        <v>2014</v>
      </c>
      <c r="J1445" s="156">
        <v>2014</v>
      </c>
      <c r="K1445" s="156"/>
      <c r="L1445" s="2" t="s">
        <v>247</v>
      </c>
      <c r="M1445" s="157" t="str">
        <f t="shared" si="80"/>
        <v>К08104454</v>
      </c>
      <c r="N1445" s="3" t="s">
        <v>248</v>
      </c>
      <c r="O1445" s="4" t="s">
        <v>249</v>
      </c>
      <c r="P1445" s="1"/>
      <c r="U1445" s="1"/>
      <c r="V1445" s="4"/>
      <c r="W1445" s="3"/>
    </row>
    <row r="1446" spans="1:24" x14ac:dyDescent="0.25">
      <c r="A1446" s="158">
        <v>1380</v>
      </c>
      <c r="B1446" s="136" t="s">
        <v>3552</v>
      </c>
      <c r="C1446" s="452" t="s">
        <v>3693</v>
      </c>
      <c r="D1446" s="158">
        <v>1424</v>
      </c>
      <c r="E1446" s="3" t="s">
        <v>299</v>
      </c>
      <c r="F1446" s="3" t="s">
        <v>305</v>
      </c>
      <c r="G1446" s="2">
        <v>4164</v>
      </c>
      <c r="H1446" s="469" t="s">
        <v>615</v>
      </c>
      <c r="I1446" s="156" t="str">
        <f t="shared" si="81"/>
        <v>2016</v>
      </c>
      <c r="J1446" s="156">
        <v>2016</v>
      </c>
      <c r="K1446" s="156"/>
      <c r="L1446" s="2">
        <v>2360000185</v>
      </c>
      <c r="M1446" s="157" t="str">
        <f t="shared" si="80"/>
        <v>К2360000185</v>
      </c>
      <c r="N1446" s="3" t="s">
        <v>248</v>
      </c>
      <c r="O1446" s="4" t="s">
        <v>293</v>
      </c>
      <c r="P1446" s="1"/>
      <c r="U1446" s="1"/>
      <c r="V1446" s="4"/>
      <c r="W1446" s="3"/>
    </row>
    <row r="1447" spans="1:24" x14ac:dyDescent="0.25">
      <c r="A1447" s="154">
        <v>1395</v>
      </c>
      <c r="B1447" s="456" t="s">
        <v>3552</v>
      </c>
      <c r="C1447" s="452" t="s">
        <v>3693</v>
      </c>
      <c r="D1447" s="158">
        <v>1425</v>
      </c>
      <c r="E1447" s="3" t="s">
        <v>299</v>
      </c>
      <c r="F1447" s="3" t="s">
        <v>305</v>
      </c>
      <c r="G1447" s="2">
        <v>4163</v>
      </c>
      <c r="H1447" s="469" t="s">
        <v>615</v>
      </c>
      <c r="I1447" s="156" t="str">
        <f t="shared" si="81"/>
        <v>2016</v>
      </c>
      <c r="J1447" s="156">
        <v>2016</v>
      </c>
      <c r="K1447" s="156"/>
      <c r="L1447" s="2">
        <v>2360000186</v>
      </c>
      <c r="M1447" s="157" t="str">
        <f t="shared" ref="M1447:M1478" si="82">CONCATENATE("К",L1447)</f>
        <v>К2360000186</v>
      </c>
      <c r="N1447" s="3" t="s">
        <v>248</v>
      </c>
      <c r="O1447" s="4" t="s">
        <v>293</v>
      </c>
      <c r="P1447" s="1"/>
      <c r="U1447" s="1"/>
      <c r="V1447" s="4"/>
      <c r="W1447" s="3"/>
    </row>
    <row r="1448" spans="1:24" x14ac:dyDescent="0.25">
      <c r="A1448" s="158">
        <v>1458</v>
      </c>
      <c r="B1448" s="456" t="s">
        <v>3552</v>
      </c>
      <c r="C1448" s="456"/>
      <c r="D1448" s="154">
        <v>1419</v>
      </c>
      <c r="E1448" s="3" t="s">
        <v>2303</v>
      </c>
      <c r="F1448" s="3" t="s">
        <v>19</v>
      </c>
      <c r="G1448" s="2" t="s">
        <v>298</v>
      </c>
      <c r="H1448" s="2" t="s">
        <v>124</v>
      </c>
      <c r="I1448" s="156" t="str">
        <f t="shared" si="81"/>
        <v>2018</v>
      </c>
      <c r="J1448" s="156"/>
      <c r="K1448" s="156"/>
      <c r="L1448" s="2" t="s">
        <v>71</v>
      </c>
      <c r="M1448" s="157" t="str">
        <f t="shared" si="82"/>
        <v>К7240000606</v>
      </c>
      <c r="N1448" s="3" t="s">
        <v>248</v>
      </c>
      <c r="O1448" s="4" t="s">
        <v>293</v>
      </c>
      <c r="P1448" s="1"/>
      <c r="U1448" s="1"/>
      <c r="V1448" s="4"/>
      <c r="W1448" s="3"/>
    </row>
    <row r="1449" spans="1:24" x14ac:dyDescent="0.25">
      <c r="A1449" s="154">
        <v>1473</v>
      </c>
      <c r="B1449" s="136" t="s">
        <v>3552</v>
      </c>
      <c r="C1449" s="452" t="s">
        <v>3693</v>
      </c>
      <c r="D1449" s="158">
        <v>1432</v>
      </c>
      <c r="E1449" s="3" t="s">
        <v>311</v>
      </c>
      <c r="F1449" s="3" t="s">
        <v>312</v>
      </c>
      <c r="G1449" s="2" t="s">
        <v>313</v>
      </c>
      <c r="H1449" s="2" t="s">
        <v>124</v>
      </c>
      <c r="I1449" s="156" t="str">
        <f t="shared" si="81"/>
        <v>2018</v>
      </c>
      <c r="J1449" s="156">
        <v>2018</v>
      </c>
      <c r="K1449" s="156"/>
      <c r="L1449" s="2" t="s">
        <v>314</v>
      </c>
      <c r="M1449" s="157" t="str">
        <f t="shared" si="82"/>
        <v>К41012400123</v>
      </c>
      <c r="N1449" s="3" t="s">
        <v>248</v>
      </c>
      <c r="O1449" s="4" t="s">
        <v>293</v>
      </c>
      <c r="P1449" s="1"/>
      <c r="U1449" s="1"/>
      <c r="V1449" s="4"/>
      <c r="W1449" s="3"/>
    </row>
    <row r="1450" spans="1:24" x14ac:dyDescent="0.25">
      <c r="A1450" s="158">
        <v>1488</v>
      </c>
      <c r="B1450" s="456" t="s">
        <v>3552</v>
      </c>
      <c r="C1450" s="452" t="s">
        <v>3693</v>
      </c>
      <c r="D1450" s="154">
        <v>1433</v>
      </c>
      <c r="E1450" s="3" t="s">
        <v>311</v>
      </c>
      <c r="F1450" s="3" t="s">
        <v>312</v>
      </c>
      <c r="G1450" s="2" t="s">
        <v>315</v>
      </c>
      <c r="H1450" s="2" t="s">
        <v>124</v>
      </c>
      <c r="I1450" s="156" t="str">
        <f t="shared" si="81"/>
        <v>2018</v>
      </c>
      <c r="J1450" s="156">
        <v>2018</v>
      </c>
      <c r="K1450" s="156"/>
      <c r="L1450" s="2"/>
      <c r="M1450" s="157" t="str">
        <f t="shared" si="82"/>
        <v>К</v>
      </c>
      <c r="N1450" s="3" t="s">
        <v>248</v>
      </c>
      <c r="O1450" s="4" t="s">
        <v>293</v>
      </c>
      <c r="P1450" s="1"/>
      <c r="U1450" s="1"/>
      <c r="V1450" s="4"/>
      <c r="W1450" s="3"/>
    </row>
    <row r="1451" spans="1:24" x14ac:dyDescent="0.25">
      <c r="A1451" s="154">
        <v>1375</v>
      </c>
      <c r="B1451" s="136" t="s">
        <v>3552</v>
      </c>
      <c r="C1451" s="452" t="s">
        <v>3693</v>
      </c>
      <c r="D1451" s="158">
        <v>1434</v>
      </c>
      <c r="E1451" s="3" t="s">
        <v>311</v>
      </c>
      <c r="F1451" s="3" t="s">
        <v>342</v>
      </c>
      <c r="G1451" s="2">
        <v>13100182</v>
      </c>
      <c r="H1451" s="2" t="s">
        <v>124</v>
      </c>
      <c r="I1451" s="156" t="str">
        <f t="shared" si="81"/>
        <v>2018</v>
      </c>
      <c r="J1451" s="156">
        <v>2018</v>
      </c>
      <c r="K1451" s="156"/>
      <c r="L1451" s="2">
        <v>41012400124</v>
      </c>
      <c r="M1451" s="157" t="str">
        <f t="shared" si="82"/>
        <v>К41012400124</v>
      </c>
      <c r="N1451" s="3" t="s">
        <v>248</v>
      </c>
      <c r="O1451" s="4" t="s">
        <v>340</v>
      </c>
      <c r="P1451" s="1"/>
      <c r="U1451" s="1"/>
      <c r="V1451" s="4"/>
      <c r="W1451" s="3"/>
    </row>
    <row r="1452" spans="1:24" x14ac:dyDescent="0.25">
      <c r="A1452" s="158">
        <v>1376</v>
      </c>
      <c r="B1452" s="136" t="s">
        <v>3552</v>
      </c>
      <c r="C1452" s="452" t="s">
        <v>3693</v>
      </c>
      <c r="D1452" s="154">
        <v>1435</v>
      </c>
      <c r="E1452" s="3" t="s">
        <v>311</v>
      </c>
      <c r="F1452" s="3" t="s">
        <v>342</v>
      </c>
      <c r="G1452" s="2">
        <v>13100181</v>
      </c>
      <c r="H1452" s="2" t="s">
        <v>124</v>
      </c>
      <c r="I1452" s="156" t="str">
        <f t="shared" si="81"/>
        <v>2018</v>
      </c>
      <c r="J1452" s="156">
        <v>2018</v>
      </c>
      <c r="K1452" s="156"/>
      <c r="L1452" s="2" t="s">
        <v>314</v>
      </c>
      <c r="M1452" s="157" t="str">
        <f t="shared" si="82"/>
        <v>К41012400123</v>
      </c>
      <c r="N1452" s="3" t="s">
        <v>248</v>
      </c>
      <c r="O1452" s="4" t="s">
        <v>340</v>
      </c>
      <c r="P1452" s="1"/>
      <c r="U1452" s="1"/>
      <c r="V1452" s="4"/>
      <c r="W1452" s="3"/>
    </row>
    <row r="1453" spans="1:24" x14ac:dyDescent="0.25">
      <c r="A1453" s="154">
        <v>1373</v>
      </c>
      <c r="B1453" s="456" t="s">
        <v>3552</v>
      </c>
      <c r="C1453" s="452" t="s">
        <v>3693</v>
      </c>
      <c r="D1453" s="154">
        <v>1449</v>
      </c>
      <c r="E1453" s="3" t="s">
        <v>325</v>
      </c>
      <c r="F1453" s="3" t="s">
        <v>330</v>
      </c>
      <c r="G1453" s="2" t="s">
        <v>331</v>
      </c>
      <c r="H1453" s="2" t="s">
        <v>332</v>
      </c>
      <c r="I1453" s="156" t="str">
        <f t="shared" si="81"/>
        <v>2018</v>
      </c>
      <c r="J1453" s="156">
        <v>2018</v>
      </c>
      <c r="K1453" s="156"/>
      <c r="L1453" s="2" t="s">
        <v>333</v>
      </c>
      <c r="M1453" s="157" t="str">
        <f t="shared" si="82"/>
        <v>К41012400129</v>
      </c>
      <c r="N1453" s="3" t="s">
        <v>248</v>
      </c>
      <c r="O1453" s="4" t="s">
        <v>293</v>
      </c>
      <c r="P1453" s="1"/>
      <c r="U1453" s="1"/>
      <c r="V1453" s="4"/>
      <c r="W1453" s="162"/>
      <c r="X1453" s="162" t="s">
        <v>3034</v>
      </c>
    </row>
    <row r="1454" spans="1:24" x14ac:dyDescent="0.25">
      <c r="A1454" s="158">
        <v>1374</v>
      </c>
      <c r="B1454" s="136" t="s">
        <v>3552</v>
      </c>
      <c r="C1454" s="452" t="s">
        <v>3693</v>
      </c>
      <c r="D1454" s="158">
        <v>1403</v>
      </c>
      <c r="E1454" s="3" t="s">
        <v>289</v>
      </c>
      <c r="F1454" s="3" t="s">
        <v>294</v>
      </c>
      <c r="G1454" s="541" t="s">
        <v>295</v>
      </c>
      <c r="H1454" s="2" t="s">
        <v>296</v>
      </c>
      <c r="I1454" s="156" t="str">
        <f t="shared" si="81"/>
        <v>2020</v>
      </c>
      <c r="J1454" s="156">
        <v>2020</v>
      </c>
      <c r="K1454" s="156"/>
      <c r="L1454" s="2" t="s">
        <v>297</v>
      </c>
      <c r="M1454" s="157" t="str">
        <f t="shared" si="82"/>
        <v>К08106161</v>
      </c>
      <c r="N1454" s="3" t="s">
        <v>248</v>
      </c>
      <c r="O1454" s="4" t="s">
        <v>293</v>
      </c>
      <c r="P1454" s="1"/>
      <c r="U1454" s="1"/>
      <c r="V1454" s="4"/>
      <c r="W1454" s="3"/>
    </row>
    <row r="1455" spans="1:24" x14ac:dyDescent="0.25">
      <c r="A1455" s="158">
        <v>1364</v>
      </c>
      <c r="B1455" s="136" t="s">
        <v>3552</v>
      </c>
      <c r="C1455" s="136"/>
      <c r="D1455" s="154">
        <v>1407</v>
      </c>
      <c r="E1455" s="3" t="s">
        <v>2307</v>
      </c>
      <c r="F1455" s="3" t="s">
        <v>268</v>
      </c>
      <c r="G1455" s="2"/>
      <c r="H1455" s="2"/>
      <c r="I1455" s="156" t="str">
        <f t="shared" si="81"/>
        <v/>
      </c>
      <c r="J1455" s="156"/>
      <c r="K1455" s="156"/>
      <c r="L1455" s="2" t="s">
        <v>270</v>
      </c>
      <c r="M1455" s="157" t="str">
        <f t="shared" si="82"/>
        <v>К08102838_3</v>
      </c>
      <c r="N1455" s="3" t="s">
        <v>248</v>
      </c>
      <c r="O1455" s="4" t="s">
        <v>271</v>
      </c>
      <c r="P1455" s="1"/>
      <c r="U1455" s="1"/>
      <c r="V1455" s="4"/>
      <c r="W1455" s="3"/>
    </row>
    <row r="1456" spans="1:24" s="162" customFormat="1" x14ac:dyDescent="0.25">
      <c r="A1456" s="158">
        <v>1354</v>
      </c>
      <c r="B1456" s="136" t="s">
        <v>3552</v>
      </c>
      <c r="C1456" s="136"/>
      <c r="D1456" s="154">
        <v>1409</v>
      </c>
      <c r="E1456" s="3" t="s">
        <v>2308</v>
      </c>
      <c r="F1456" s="3" t="s">
        <v>272</v>
      </c>
      <c r="G1456" s="2"/>
      <c r="H1456" s="2"/>
      <c r="I1456" s="156" t="str">
        <f t="shared" si="81"/>
        <v/>
      </c>
      <c r="J1456" s="156"/>
      <c r="K1456" s="156"/>
      <c r="L1456" s="2" t="s">
        <v>270</v>
      </c>
      <c r="M1456" s="157" t="str">
        <f t="shared" si="82"/>
        <v>К08102838_3</v>
      </c>
      <c r="N1456" s="3" t="s">
        <v>248</v>
      </c>
      <c r="O1456" s="4" t="s">
        <v>271</v>
      </c>
      <c r="P1456" s="1"/>
      <c r="Q1456" s="1"/>
      <c r="R1456" s="3"/>
      <c r="S1456" s="1"/>
      <c r="T1456" s="3"/>
      <c r="U1456" s="153" t="s">
        <v>3646</v>
      </c>
      <c r="V1456" s="4"/>
      <c r="W1456" s="3"/>
      <c r="X1456" s="3"/>
    </row>
    <row r="1457" spans="1:24" s="162" customFormat="1" x14ac:dyDescent="0.25">
      <c r="A1457" s="154">
        <v>1365</v>
      </c>
      <c r="B1457" s="136" t="s">
        <v>3552</v>
      </c>
      <c r="C1457" s="136"/>
      <c r="D1457" s="158">
        <v>1413</v>
      </c>
      <c r="E1457" s="166" t="s">
        <v>2311</v>
      </c>
      <c r="F1457" s="3" t="s">
        <v>274</v>
      </c>
      <c r="G1457" s="2"/>
      <c r="H1457" s="2"/>
      <c r="I1457" s="156" t="str">
        <f t="shared" si="81"/>
        <v/>
      </c>
      <c r="J1457" s="156"/>
      <c r="K1457" s="156"/>
      <c r="L1457" s="2" t="s">
        <v>270</v>
      </c>
      <c r="M1457" s="157" t="str">
        <f t="shared" si="82"/>
        <v>К08102838_3</v>
      </c>
      <c r="N1457" s="3" t="s">
        <v>248</v>
      </c>
      <c r="O1457" s="4" t="s">
        <v>271</v>
      </c>
      <c r="P1457" s="1"/>
      <c r="Q1457" s="1"/>
      <c r="R1457" s="3"/>
      <c r="S1457" s="1"/>
      <c r="T1457" s="3"/>
      <c r="U1457" s="153" t="s">
        <v>3646</v>
      </c>
      <c r="V1457" s="4"/>
      <c r="W1457" s="3"/>
      <c r="X1457" s="3"/>
    </row>
    <row r="1458" spans="1:24" s="162" customFormat="1" x14ac:dyDescent="0.25">
      <c r="A1458" s="154">
        <v>1383</v>
      </c>
      <c r="B1458" s="136" t="s">
        <v>3552</v>
      </c>
      <c r="C1458" s="136"/>
      <c r="D1458" s="158">
        <v>1417</v>
      </c>
      <c r="E1458" s="3" t="s">
        <v>2314</v>
      </c>
      <c r="F1458" s="3" t="s">
        <v>276</v>
      </c>
      <c r="G1458" s="2"/>
      <c r="H1458" s="2"/>
      <c r="I1458" s="156" t="str">
        <f t="shared" si="81"/>
        <v/>
      </c>
      <c r="J1458" s="156"/>
      <c r="K1458" s="156"/>
      <c r="L1458" s="2" t="s">
        <v>270</v>
      </c>
      <c r="M1458" s="157" t="str">
        <f t="shared" si="82"/>
        <v>К08102838_3</v>
      </c>
      <c r="N1458" s="3" t="s">
        <v>248</v>
      </c>
      <c r="O1458" s="4" t="s">
        <v>271</v>
      </c>
      <c r="P1458" s="1"/>
      <c r="Q1458" s="1"/>
      <c r="R1458" s="3"/>
      <c r="S1458" s="1"/>
      <c r="T1458" s="3"/>
      <c r="U1458" s="153" t="s">
        <v>3646</v>
      </c>
      <c r="V1458" s="4"/>
      <c r="W1458" s="3"/>
      <c r="X1458" s="3"/>
    </row>
    <row r="1459" spans="1:24" x14ac:dyDescent="0.25">
      <c r="A1459" s="158">
        <v>1396</v>
      </c>
      <c r="B1459" s="136" t="s">
        <v>3552</v>
      </c>
      <c r="C1459" s="136"/>
      <c r="D1459" s="158">
        <v>1418</v>
      </c>
      <c r="E1459" s="3" t="s">
        <v>2315</v>
      </c>
      <c r="F1459" s="3" t="s">
        <v>262</v>
      </c>
      <c r="G1459" s="2" t="s">
        <v>263</v>
      </c>
      <c r="H1459" s="2"/>
      <c r="I1459" s="156" t="str">
        <f t="shared" si="81"/>
        <v/>
      </c>
      <c r="J1459" s="156"/>
      <c r="K1459" s="156"/>
      <c r="L1459" s="2"/>
      <c r="M1459" s="157" t="str">
        <f t="shared" si="82"/>
        <v>К</v>
      </c>
      <c r="N1459" s="3" t="s">
        <v>248</v>
      </c>
      <c r="O1459" s="4" t="s">
        <v>249</v>
      </c>
      <c r="P1459" s="1"/>
      <c r="U1459" s="153" t="s">
        <v>3646</v>
      </c>
      <c r="V1459" s="4"/>
      <c r="W1459" s="3"/>
    </row>
    <row r="1460" spans="1:24" x14ac:dyDescent="0.25">
      <c r="A1460" s="495">
        <v>1384</v>
      </c>
      <c r="B1460" s="1"/>
      <c r="C1460" s="1"/>
      <c r="D1460" s="158">
        <v>1436</v>
      </c>
      <c r="E1460" s="3" t="s">
        <v>279</v>
      </c>
      <c r="F1460" s="3" t="s">
        <v>280</v>
      </c>
      <c r="G1460" s="2" t="s">
        <v>281</v>
      </c>
      <c r="H1460" s="2"/>
      <c r="I1460" s="156" t="str">
        <f t="shared" si="81"/>
        <v/>
      </c>
      <c r="J1460" s="156"/>
      <c r="K1460" s="156"/>
      <c r="L1460" s="2" t="s">
        <v>270</v>
      </c>
      <c r="M1460" s="157" t="str">
        <f t="shared" si="82"/>
        <v>К08102838_3</v>
      </c>
      <c r="N1460" s="3" t="s">
        <v>248</v>
      </c>
      <c r="O1460" s="4" t="s">
        <v>271</v>
      </c>
      <c r="P1460" s="1"/>
      <c r="T1460" s="162"/>
      <c r="U1460" s="167"/>
      <c r="V1460" s="168"/>
      <c r="W1460" s="162"/>
      <c r="X1460" s="162"/>
    </row>
    <row r="1461" spans="1:24" x14ac:dyDescent="0.25">
      <c r="A1461" s="495">
        <v>1385</v>
      </c>
      <c r="B1461" s="167" t="s">
        <v>3552</v>
      </c>
      <c r="C1461" s="167"/>
      <c r="D1461" s="158">
        <v>1441</v>
      </c>
      <c r="E1461" s="162" t="s">
        <v>318</v>
      </c>
      <c r="F1461" s="162" t="s">
        <v>319</v>
      </c>
      <c r="G1461" s="449" t="s">
        <v>320</v>
      </c>
      <c r="H1461" s="449"/>
      <c r="I1461" s="495" t="str">
        <f t="shared" si="81"/>
        <v/>
      </c>
      <c r="J1461" s="495"/>
      <c r="K1461" s="495"/>
      <c r="L1461" s="449" t="s">
        <v>304</v>
      </c>
      <c r="M1461" s="496" t="str">
        <f t="shared" si="82"/>
        <v>К08102937_2</v>
      </c>
      <c r="N1461" s="162" t="s">
        <v>248</v>
      </c>
      <c r="O1461" s="168" t="s">
        <v>293</v>
      </c>
      <c r="P1461" s="167"/>
      <c r="Q1461" s="167"/>
      <c r="R1461" s="162"/>
      <c r="S1461" s="167"/>
      <c r="T1461" s="162"/>
      <c r="U1461" s="167"/>
      <c r="V1461" s="168"/>
      <c r="W1461" s="162"/>
      <c r="X1461" s="162"/>
    </row>
    <row r="1462" spans="1:24" x14ac:dyDescent="0.25">
      <c r="A1462" s="495">
        <v>1386</v>
      </c>
      <c r="B1462" s="167" t="s">
        <v>3552</v>
      </c>
      <c r="C1462" s="167"/>
      <c r="D1462" s="154">
        <v>1442</v>
      </c>
      <c r="E1462" s="162" t="s">
        <v>318</v>
      </c>
      <c r="F1462" s="162" t="s">
        <v>319</v>
      </c>
      <c r="G1462" s="449" t="s">
        <v>321</v>
      </c>
      <c r="H1462" s="449"/>
      <c r="I1462" s="495" t="str">
        <f t="shared" si="81"/>
        <v/>
      </c>
      <c r="J1462" s="495"/>
      <c r="K1462" s="495"/>
      <c r="L1462" s="449" t="s">
        <v>322</v>
      </c>
      <c r="M1462" s="496" t="str">
        <f t="shared" si="82"/>
        <v>К08102938_2</v>
      </c>
      <c r="N1462" s="162" t="s">
        <v>248</v>
      </c>
      <c r="O1462" s="168" t="s">
        <v>293</v>
      </c>
      <c r="P1462" s="167"/>
      <c r="Q1462" s="167"/>
      <c r="R1462" s="162"/>
      <c r="S1462" s="167"/>
      <c r="T1462" s="162"/>
      <c r="U1462" s="167"/>
      <c r="V1462" s="168"/>
      <c r="W1462" s="162"/>
      <c r="X1462" s="162"/>
    </row>
    <row r="1463" spans="1:24" x14ac:dyDescent="0.25">
      <c r="A1463" s="158">
        <v>772</v>
      </c>
      <c r="B1463" s="167" t="s">
        <v>3552</v>
      </c>
      <c r="C1463" s="167"/>
      <c r="D1463" s="158">
        <v>1443</v>
      </c>
      <c r="E1463" s="162" t="s">
        <v>318</v>
      </c>
      <c r="F1463" s="162" t="s">
        <v>319</v>
      </c>
      <c r="G1463" s="449" t="s">
        <v>323</v>
      </c>
      <c r="H1463" s="449"/>
      <c r="I1463" s="495" t="str">
        <f t="shared" si="81"/>
        <v/>
      </c>
      <c r="J1463" s="495"/>
      <c r="K1463" s="495"/>
      <c r="L1463" s="449" t="s">
        <v>324</v>
      </c>
      <c r="M1463" s="496" t="str">
        <f t="shared" si="82"/>
        <v>К08102939_2</v>
      </c>
      <c r="N1463" s="162" t="s">
        <v>248</v>
      </c>
      <c r="O1463" s="168" t="s">
        <v>293</v>
      </c>
      <c r="P1463" s="167"/>
      <c r="Q1463" s="167"/>
      <c r="R1463" s="162"/>
      <c r="S1463" s="167"/>
      <c r="U1463" s="1"/>
      <c r="V1463" s="4"/>
      <c r="W1463" s="3"/>
    </row>
    <row r="1464" spans="1:24" x14ac:dyDescent="0.25">
      <c r="A1464" s="158">
        <v>1372</v>
      </c>
      <c r="B1464" s="1"/>
      <c r="C1464" s="452" t="s">
        <v>3034</v>
      </c>
      <c r="D1464" s="158">
        <v>1452</v>
      </c>
      <c r="E1464" s="3" t="s">
        <v>352</v>
      </c>
      <c r="F1464" s="3" t="s">
        <v>1001</v>
      </c>
      <c r="G1464" s="2" t="s">
        <v>1002</v>
      </c>
      <c r="H1464" s="589" t="s">
        <v>159</v>
      </c>
      <c r="I1464" s="156" t="str">
        <f t="shared" si="81"/>
        <v>2012</v>
      </c>
      <c r="J1464" s="156">
        <v>2012</v>
      </c>
      <c r="K1464" s="156"/>
      <c r="L1464" s="2" t="s">
        <v>1003</v>
      </c>
      <c r="M1464" s="157" t="str">
        <f t="shared" si="82"/>
        <v>К08104189</v>
      </c>
      <c r="N1464" s="3" t="s">
        <v>1004</v>
      </c>
      <c r="O1464" s="4" t="s">
        <v>1005</v>
      </c>
      <c r="P1464" s="1">
        <v>13</v>
      </c>
      <c r="U1464" s="1"/>
      <c r="V1464" s="4"/>
      <c r="W1464" s="3"/>
    </row>
    <row r="1465" spans="1:24" x14ac:dyDescent="0.25">
      <c r="A1465" s="154">
        <v>1367</v>
      </c>
      <c r="B1465" s="1"/>
      <c r="C1465" s="452" t="s">
        <v>3034</v>
      </c>
      <c r="D1465" s="158">
        <v>1453</v>
      </c>
      <c r="E1465" s="3" t="s">
        <v>355</v>
      </c>
      <c r="F1465" s="3" t="s">
        <v>1006</v>
      </c>
      <c r="G1465" s="2" t="s">
        <v>1007</v>
      </c>
      <c r="H1465" s="2"/>
      <c r="I1465" s="156" t="str">
        <f t="shared" si="81"/>
        <v/>
      </c>
      <c r="J1465" s="156"/>
      <c r="K1465" s="156"/>
      <c r="L1465" s="2" t="s">
        <v>1008</v>
      </c>
      <c r="M1465" s="157" t="str">
        <f t="shared" si="82"/>
        <v>К04700104</v>
      </c>
      <c r="N1465" s="3" t="s">
        <v>1004</v>
      </c>
      <c r="O1465" s="4" t="s">
        <v>1005</v>
      </c>
      <c r="P1465" s="1">
        <v>13</v>
      </c>
      <c r="U1465" s="1"/>
      <c r="V1465" s="4"/>
      <c r="W1465" s="3"/>
    </row>
    <row r="1466" spans="1:24" x14ac:dyDescent="0.25">
      <c r="A1466" s="154">
        <v>1387</v>
      </c>
      <c r="B1466" s="136" t="s">
        <v>3552</v>
      </c>
      <c r="C1466" s="136"/>
      <c r="D1466" s="154">
        <v>1454</v>
      </c>
      <c r="E1466" s="138" t="s">
        <v>3555</v>
      </c>
      <c r="F1466" s="3" t="s">
        <v>455</v>
      </c>
      <c r="G1466" s="2" t="s">
        <v>1074</v>
      </c>
      <c r="H1466" s="2" t="s">
        <v>59</v>
      </c>
      <c r="I1466" s="156" t="str">
        <f t="shared" si="81"/>
        <v>2013</v>
      </c>
      <c r="J1466" s="156"/>
      <c r="K1466" s="156"/>
      <c r="L1466" s="2" t="s">
        <v>1075</v>
      </c>
      <c r="M1466" s="157" t="str">
        <f t="shared" si="82"/>
        <v>К08105912</v>
      </c>
      <c r="N1466" s="3" t="s">
        <v>1004</v>
      </c>
      <c r="O1466" s="4" t="s">
        <v>1076</v>
      </c>
      <c r="P1466" s="1">
        <v>13</v>
      </c>
      <c r="U1466" s="1"/>
      <c r="V1466" s="4"/>
      <c r="W1466" s="3"/>
    </row>
    <row r="1467" spans="1:24" x14ac:dyDescent="0.25">
      <c r="A1467" s="158">
        <v>1388</v>
      </c>
      <c r="B1467" s="456" t="s">
        <v>3552</v>
      </c>
      <c r="C1467" s="452"/>
      <c r="D1467" s="158">
        <v>1455</v>
      </c>
      <c r="E1467" s="3" t="s">
        <v>2319</v>
      </c>
      <c r="F1467" s="3" t="s">
        <v>2318</v>
      </c>
      <c r="G1467" s="2" t="s">
        <v>1097</v>
      </c>
      <c r="H1467" s="461" t="s">
        <v>969</v>
      </c>
      <c r="I1467" s="156" t="str">
        <f t="shared" si="81"/>
        <v>2017</v>
      </c>
      <c r="J1467" s="156"/>
      <c r="K1467" s="156"/>
      <c r="L1467" s="2"/>
      <c r="M1467" s="157" t="str">
        <f t="shared" si="82"/>
        <v>К</v>
      </c>
      <c r="N1467" s="3" t="s">
        <v>1004</v>
      </c>
      <c r="O1467" s="4"/>
      <c r="P1467" s="1"/>
      <c r="U1467" s="1"/>
      <c r="V1467" s="4"/>
      <c r="W1467" s="3"/>
    </row>
    <row r="1468" spans="1:24" x14ac:dyDescent="0.25">
      <c r="A1468" s="154">
        <v>1201</v>
      </c>
      <c r="B1468" s="1"/>
      <c r="C1468" s="452" t="s">
        <v>3034</v>
      </c>
      <c r="D1468" s="154">
        <v>1456</v>
      </c>
      <c r="E1468" s="3" t="s">
        <v>91</v>
      </c>
      <c r="F1468" s="3" t="s">
        <v>92</v>
      </c>
      <c r="G1468" s="2" t="s">
        <v>1009</v>
      </c>
      <c r="H1468" s="2" t="s">
        <v>59</v>
      </c>
      <c r="I1468" s="156" t="str">
        <f t="shared" si="81"/>
        <v>2013</v>
      </c>
      <c r="J1468" s="156"/>
      <c r="K1468" s="156"/>
      <c r="L1468" s="2" t="s">
        <v>1010</v>
      </c>
      <c r="M1468" s="157" t="str">
        <f t="shared" si="82"/>
        <v>К08105226</v>
      </c>
      <c r="N1468" s="3" t="s">
        <v>1004</v>
      </c>
      <c r="O1468" s="4" t="s">
        <v>1005</v>
      </c>
      <c r="P1468" s="1">
        <v>14</v>
      </c>
      <c r="U1468" s="1"/>
      <c r="V1468" s="4"/>
      <c r="W1468" s="3"/>
    </row>
    <row r="1469" spans="1:24" x14ac:dyDescent="0.25">
      <c r="A1469" s="154">
        <v>1389</v>
      </c>
      <c r="B1469" s="1"/>
      <c r="C1469" s="452" t="s">
        <v>3034</v>
      </c>
      <c r="D1469" s="158">
        <v>1457</v>
      </c>
      <c r="E1469" s="3" t="s">
        <v>91</v>
      </c>
      <c r="F1469" s="3" t="s">
        <v>92</v>
      </c>
      <c r="G1469" s="2" t="s">
        <v>1041</v>
      </c>
      <c r="H1469" s="2" t="s">
        <v>1042</v>
      </c>
      <c r="I1469" s="156" t="str">
        <f t="shared" si="81"/>
        <v>2004</v>
      </c>
      <c r="J1469" s="156"/>
      <c r="K1469" s="156"/>
      <c r="L1469" s="2" t="s">
        <v>1043</v>
      </c>
      <c r="M1469" s="157" t="str">
        <f t="shared" si="82"/>
        <v>К01370928</v>
      </c>
      <c r="N1469" s="3" t="s">
        <v>1004</v>
      </c>
      <c r="O1469" s="4" t="s">
        <v>1044</v>
      </c>
      <c r="P1469" s="1">
        <v>15</v>
      </c>
      <c r="U1469" s="1"/>
      <c r="V1469" s="4"/>
      <c r="W1469" s="3"/>
    </row>
    <row r="1470" spans="1:24" x14ac:dyDescent="0.25">
      <c r="A1470" s="158">
        <v>1390</v>
      </c>
      <c r="B1470" s="1"/>
      <c r="C1470" s="1"/>
      <c r="D1470" s="154">
        <v>1458</v>
      </c>
      <c r="E1470" s="3" t="s">
        <v>572</v>
      </c>
      <c r="F1470" s="3" t="s">
        <v>1061</v>
      </c>
      <c r="G1470" s="2" t="s">
        <v>1062</v>
      </c>
      <c r="H1470" s="2" t="s">
        <v>578</v>
      </c>
      <c r="I1470" s="156" t="str">
        <f t="shared" si="81"/>
        <v>2012</v>
      </c>
      <c r="J1470" s="156">
        <v>2012</v>
      </c>
      <c r="K1470" s="156"/>
      <c r="L1470" s="2" t="s">
        <v>1063</v>
      </c>
      <c r="M1470" s="157" t="str">
        <f t="shared" si="82"/>
        <v>К08104223</v>
      </c>
      <c r="N1470" s="3" t="s">
        <v>1004</v>
      </c>
      <c r="O1470" s="4" t="s">
        <v>1064</v>
      </c>
      <c r="P1470" s="1">
        <v>15</v>
      </c>
      <c r="U1470" s="1"/>
      <c r="V1470" s="4"/>
      <c r="W1470" s="3"/>
    </row>
    <row r="1471" spans="1:24" x14ac:dyDescent="0.25">
      <c r="A1471" s="154">
        <v>1397</v>
      </c>
      <c r="B1471" s="1"/>
      <c r="C1471" s="1"/>
      <c r="D1471" s="158">
        <v>1459</v>
      </c>
      <c r="E1471" s="3" t="s">
        <v>100</v>
      </c>
      <c r="F1471" s="3" t="s">
        <v>101</v>
      </c>
      <c r="G1471" s="2"/>
      <c r="H1471" s="589" t="s">
        <v>464</v>
      </c>
      <c r="I1471" s="156" t="str">
        <f t="shared" si="81"/>
        <v>2006</v>
      </c>
      <c r="J1471" s="156">
        <v>2006</v>
      </c>
      <c r="K1471" s="156"/>
      <c r="L1471" s="2" t="s">
        <v>1011</v>
      </c>
      <c r="M1471" s="157" t="str">
        <f t="shared" si="82"/>
        <v>К04700169</v>
      </c>
      <c r="N1471" s="3" t="s">
        <v>1004</v>
      </c>
      <c r="O1471" s="4" t="s">
        <v>1005</v>
      </c>
      <c r="P1471" s="1">
        <v>15</v>
      </c>
      <c r="U1471" s="1"/>
      <c r="V1471" s="4"/>
      <c r="W1471" s="3"/>
    </row>
    <row r="1472" spans="1:24" x14ac:dyDescent="0.25">
      <c r="A1472" s="158">
        <v>1398</v>
      </c>
      <c r="B1472" s="1"/>
      <c r="C1472" s="1"/>
      <c r="D1472" s="158">
        <v>1460</v>
      </c>
      <c r="E1472" s="3" t="s">
        <v>100</v>
      </c>
      <c r="F1472" s="43" t="s">
        <v>101</v>
      </c>
      <c r="G1472" s="2"/>
      <c r="H1472" s="589" t="s">
        <v>464</v>
      </c>
      <c r="I1472" s="156" t="str">
        <f t="shared" si="81"/>
        <v>2006</v>
      </c>
      <c r="J1472" s="156">
        <v>2006</v>
      </c>
      <c r="K1472" s="156"/>
      <c r="L1472" s="2" t="s">
        <v>1011</v>
      </c>
      <c r="M1472" s="157" t="str">
        <f t="shared" si="82"/>
        <v>К04700169</v>
      </c>
      <c r="N1472" s="475" t="s">
        <v>1004</v>
      </c>
      <c r="O1472" s="477" t="s">
        <v>1005</v>
      </c>
      <c r="P1472" s="1">
        <v>15</v>
      </c>
      <c r="U1472" s="1"/>
      <c r="V1472" s="4"/>
      <c r="W1472" s="3"/>
    </row>
    <row r="1473" spans="1:23" x14ac:dyDescent="0.25">
      <c r="A1473" s="158">
        <v>1430</v>
      </c>
      <c r="B1473" s="1"/>
      <c r="C1473" s="1"/>
      <c r="D1473" s="154">
        <v>1461</v>
      </c>
      <c r="E1473" s="3" t="s">
        <v>100</v>
      </c>
      <c r="F1473" s="3" t="s">
        <v>101</v>
      </c>
      <c r="G1473" s="2"/>
      <c r="H1473" s="589" t="s">
        <v>550</v>
      </c>
      <c r="I1473" s="156" t="str">
        <f t="shared" si="81"/>
        <v>2005</v>
      </c>
      <c r="J1473" s="156">
        <v>2005</v>
      </c>
      <c r="K1473" s="156"/>
      <c r="L1473" s="2" t="s">
        <v>1045</v>
      </c>
      <c r="M1473" s="157" t="str">
        <f t="shared" si="82"/>
        <v>К04700193</v>
      </c>
      <c r="N1473" s="3" t="s">
        <v>1004</v>
      </c>
      <c r="O1473" s="4" t="s">
        <v>1044</v>
      </c>
      <c r="P1473" s="1">
        <v>15</v>
      </c>
      <c r="U1473" s="1"/>
      <c r="V1473" s="4"/>
      <c r="W1473" s="3"/>
    </row>
    <row r="1474" spans="1:23" x14ac:dyDescent="0.25">
      <c r="A1474" s="154">
        <v>1437</v>
      </c>
      <c r="B1474" s="1"/>
      <c r="C1474" s="1"/>
      <c r="D1474" s="158">
        <v>1462</v>
      </c>
      <c r="E1474" s="3" t="s">
        <v>100</v>
      </c>
      <c r="F1474" s="43" t="s">
        <v>101</v>
      </c>
      <c r="G1474" s="2"/>
      <c r="H1474" s="589" t="s">
        <v>550</v>
      </c>
      <c r="I1474" s="156" t="str">
        <f t="shared" si="81"/>
        <v>2005</v>
      </c>
      <c r="J1474" s="156">
        <v>2005</v>
      </c>
      <c r="K1474" s="156"/>
      <c r="L1474" s="2" t="s">
        <v>1045</v>
      </c>
      <c r="M1474" s="157" t="str">
        <f t="shared" si="82"/>
        <v>К04700193</v>
      </c>
      <c r="N1474" s="475" t="s">
        <v>1004</v>
      </c>
      <c r="O1474" s="477" t="s">
        <v>1044</v>
      </c>
      <c r="P1474" s="1">
        <v>15</v>
      </c>
      <c r="U1474" s="1"/>
      <c r="V1474" s="4"/>
      <c r="W1474" s="3"/>
    </row>
    <row r="1475" spans="1:23" x14ac:dyDescent="0.25">
      <c r="A1475" s="154">
        <v>1399</v>
      </c>
      <c r="B1475" s="1"/>
      <c r="C1475" s="1"/>
      <c r="D1475" s="154">
        <v>1463</v>
      </c>
      <c r="E1475" s="3" t="s">
        <v>1251</v>
      </c>
      <c r="F1475" s="3" t="s">
        <v>2301</v>
      </c>
      <c r="G1475" s="2" t="s">
        <v>1017</v>
      </c>
      <c r="H1475" s="2" t="s">
        <v>59</v>
      </c>
      <c r="I1475" s="156" t="str">
        <f t="shared" si="81"/>
        <v>2013</v>
      </c>
      <c r="J1475" s="156">
        <v>2013</v>
      </c>
      <c r="K1475" s="156"/>
      <c r="L1475" s="2" t="s">
        <v>1018</v>
      </c>
      <c r="M1475" s="157" t="str">
        <f t="shared" si="82"/>
        <v>К08105107</v>
      </c>
      <c r="N1475" s="3" t="s">
        <v>1004</v>
      </c>
      <c r="O1475" s="4" t="s">
        <v>1019</v>
      </c>
      <c r="P1475" s="1">
        <v>14</v>
      </c>
      <c r="U1475" s="1"/>
      <c r="V1475" s="4"/>
      <c r="W1475" s="3"/>
    </row>
    <row r="1476" spans="1:23" x14ac:dyDescent="0.25">
      <c r="A1476" s="158">
        <v>1418</v>
      </c>
      <c r="B1476" s="1"/>
      <c r="C1476" s="1"/>
      <c r="D1476" s="158">
        <v>1464</v>
      </c>
      <c r="E1476" s="3" t="s">
        <v>1251</v>
      </c>
      <c r="F1476" s="3" t="s">
        <v>2301</v>
      </c>
      <c r="G1476" s="2" t="s">
        <v>1071</v>
      </c>
      <c r="H1476" s="2" t="s">
        <v>59</v>
      </c>
      <c r="I1476" s="156" t="str">
        <f t="shared" si="81"/>
        <v>2013</v>
      </c>
      <c r="J1476" s="156">
        <v>2013</v>
      </c>
      <c r="K1476" s="156"/>
      <c r="L1476" s="2" t="s">
        <v>1072</v>
      </c>
      <c r="M1476" s="157" t="str">
        <f t="shared" si="82"/>
        <v>К08105104</v>
      </c>
      <c r="N1476" s="3" t="s">
        <v>1004</v>
      </c>
      <c r="O1476" s="4" t="s">
        <v>1073</v>
      </c>
      <c r="P1476" s="1">
        <v>14</v>
      </c>
      <c r="U1476" s="1"/>
      <c r="V1476" s="4"/>
      <c r="W1476" s="3"/>
    </row>
    <row r="1477" spans="1:23" x14ac:dyDescent="0.25">
      <c r="A1477" s="158">
        <v>1426</v>
      </c>
      <c r="B1477" s="1"/>
      <c r="C1477" s="452"/>
      <c r="D1477" s="154">
        <v>1465</v>
      </c>
      <c r="E1477" s="3" t="s">
        <v>880</v>
      </c>
      <c r="F1477" s="3" t="s">
        <v>1082</v>
      </c>
      <c r="G1477" s="2"/>
      <c r="H1477" s="2"/>
      <c r="I1477" s="156" t="str">
        <f t="shared" ref="I1477:I1507" si="83">RIGHT(H1477,4)</f>
        <v/>
      </c>
      <c r="J1477" s="156"/>
      <c r="K1477" s="156"/>
      <c r="L1477" s="2" t="s">
        <v>882</v>
      </c>
      <c r="M1477" s="157" t="str">
        <f t="shared" si="82"/>
        <v>К08106151</v>
      </c>
      <c r="N1477" s="3" t="s">
        <v>1004</v>
      </c>
      <c r="O1477" s="4" t="s">
        <v>1083</v>
      </c>
      <c r="P1477" s="1">
        <v>15</v>
      </c>
      <c r="U1477" s="1"/>
      <c r="V1477" s="4"/>
      <c r="W1477" s="3"/>
    </row>
    <row r="1478" spans="1:23" x14ac:dyDescent="0.25">
      <c r="A1478" s="158">
        <v>1400</v>
      </c>
      <c r="B1478" s="1"/>
      <c r="C1478" s="452" t="s">
        <v>3034</v>
      </c>
      <c r="D1478" s="158">
        <v>1466</v>
      </c>
      <c r="E1478" s="3" t="s">
        <v>24</v>
      </c>
      <c r="F1478" s="3" t="s">
        <v>25</v>
      </c>
      <c r="G1478" s="2" t="s">
        <v>1012</v>
      </c>
      <c r="H1478" s="2" t="s">
        <v>79</v>
      </c>
      <c r="I1478" s="156" t="str">
        <f t="shared" si="83"/>
        <v>2009</v>
      </c>
      <c r="J1478" s="156"/>
      <c r="K1478" s="156"/>
      <c r="L1478" s="2" t="s">
        <v>1013</v>
      </c>
      <c r="M1478" s="157" t="str">
        <f t="shared" si="82"/>
        <v>К08102572_2</v>
      </c>
      <c r="N1478" s="3" t="s">
        <v>1004</v>
      </c>
      <c r="O1478" s="4" t="s">
        <v>1005</v>
      </c>
      <c r="P1478" s="1">
        <v>16</v>
      </c>
      <c r="U1478" s="1"/>
      <c r="V1478" s="4"/>
      <c r="W1478" s="3"/>
    </row>
    <row r="1479" spans="1:23" x14ac:dyDescent="0.25">
      <c r="A1479" s="154">
        <v>1401</v>
      </c>
      <c r="B1479" s="1"/>
      <c r="C1479" s="452" t="s">
        <v>3034</v>
      </c>
      <c r="D1479" s="158">
        <v>1467</v>
      </c>
      <c r="E1479" s="3" t="s">
        <v>24</v>
      </c>
      <c r="F1479" s="3" t="s">
        <v>104</v>
      </c>
      <c r="G1479" s="2"/>
      <c r="H1479" s="2">
        <v>2011</v>
      </c>
      <c r="I1479" s="156" t="str">
        <f t="shared" si="83"/>
        <v>2011</v>
      </c>
      <c r="J1479" s="156"/>
      <c r="K1479" s="156"/>
      <c r="L1479" s="2" t="s">
        <v>1020</v>
      </c>
      <c r="M1479" s="157" t="str">
        <f t="shared" ref="M1479:M1507" si="84">CONCATENATE("К",L1479)</f>
        <v>К08102994</v>
      </c>
      <c r="N1479" s="475" t="s">
        <v>1004</v>
      </c>
      <c r="O1479" s="477" t="s">
        <v>1019</v>
      </c>
      <c r="P1479" s="1">
        <v>16</v>
      </c>
      <c r="U1479" s="1"/>
      <c r="V1479" s="4"/>
      <c r="W1479" s="3"/>
    </row>
    <row r="1480" spans="1:23" x14ac:dyDescent="0.25">
      <c r="A1480" s="154">
        <v>1419</v>
      </c>
      <c r="B1480" s="1"/>
      <c r="C1480" s="452" t="s">
        <v>3034</v>
      </c>
      <c r="D1480" s="154">
        <v>1468</v>
      </c>
      <c r="E1480" s="3" t="s">
        <v>24</v>
      </c>
      <c r="F1480" s="3" t="s">
        <v>104</v>
      </c>
      <c r="G1480" s="2"/>
      <c r="H1480" s="2">
        <v>2011</v>
      </c>
      <c r="I1480" s="156" t="str">
        <f t="shared" si="83"/>
        <v>2011</v>
      </c>
      <c r="J1480" s="156"/>
      <c r="K1480" s="156"/>
      <c r="L1480" s="2" t="s">
        <v>1020</v>
      </c>
      <c r="M1480" s="157" t="str">
        <f t="shared" si="84"/>
        <v>К08102994</v>
      </c>
      <c r="N1480" s="3" t="s">
        <v>1004</v>
      </c>
      <c r="O1480" s="4" t="s">
        <v>1019</v>
      </c>
      <c r="P1480" s="1">
        <v>16</v>
      </c>
      <c r="U1480" s="1"/>
      <c r="V1480" s="4"/>
      <c r="W1480" s="3"/>
    </row>
    <row r="1481" spans="1:23" x14ac:dyDescent="0.25">
      <c r="A1481" s="158">
        <v>1420</v>
      </c>
      <c r="B1481" s="1"/>
      <c r="C1481" s="452" t="s">
        <v>3034</v>
      </c>
      <c r="D1481" s="158">
        <v>1469</v>
      </c>
      <c r="E1481" s="3" t="s">
        <v>24</v>
      </c>
      <c r="F1481" s="3" t="s">
        <v>37</v>
      </c>
      <c r="G1481" s="2" t="s">
        <v>1021</v>
      </c>
      <c r="H1481" s="2" t="s">
        <v>159</v>
      </c>
      <c r="I1481" s="156" t="str">
        <f t="shared" si="83"/>
        <v>2012</v>
      </c>
      <c r="J1481" s="156"/>
      <c r="K1481" s="156"/>
      <c r="L1481" s="2" t="s">
        <v>1022</v>
      </c>
      <c r="M1481" s="157" t="str">
        <f t="shared" si="84"/>
        <v>К08102901</v>
      </c>
      <c r="N1481" s="3" t="s">
        <v>1004</v>
      </c>
      <c r="O1481" s="4" t="s">
        <v>1023</v>
      </c>
      <c r="P1481" s="1">
        <v>16</v>
      </c>
      <c r="U1481" s="1"/>
      <c r="V1481" s="4"/>
      <c r="W1481" s="3"/>
    </row>
    <row r="1482" spans="1:23" x14ac:dyDescent="0.25">
      <c r="A1482" s="158">
        <v>1404</v>
      </c>
      <c r="B1482" s="1"/>
      <c r="C1482" s="452" t="s">
        <v>3034</v>
      </c>
      <c r="D1482" s="154">
        <v>1470</v>
      </c>
      <c r="E1482" s="3" t="s">
        <v>24</v>
      </c>
      <c r="F1482" s="3" t="s">
        <v>104</v>
      </c>
      <c r="G1482" s="2"/>
      <c r="H1482" s="2">
        <v>2011</v>
      </c>
      <c r="I1482" s="156" t="str">
        <f t="shared" si="83"/>
        <v>2011</v>
      </c>
      <c r="J1482" s="156"/>
      <c r="K1482" s="156"/>
      <c r="L1482" s="2" t="s">
        <v>1024</v>
      </c>
      <c r="M1482" s="157" t="str">
        <f t="shared" si="84"/>
        <v>К08102995</v>
      </c>
      <c r="N1482" s="475" t="s">
        <v>1004</v>
      </c>
      <c r="O1482" s="477" t="s">
        <v>1025</v>
      </c>
      <c r="P1482" s="1">
        <v>16</v>
      </c>
      <c r="U1482" s="1"/>
      <c r="V1482" s="4"/>
      <c r="W1482" s="3"/>
    </row>
    <row r="1483" spans="1:23" x14ac:dyDescent="0.25">
      <c r="A1483" s="154">
        <v>1429</v>
      </c>
      <c r="B1483" s="1"/>
      <c r="C1483" s="452" t="s">
        <v>3034</v>
      </c>
      <c r="D1483" s="158">
        <v>1471</v>
      </c>
      <c r="E1483" s="3" t="s">
        <v>24</v>
      </c>
      <c r="F1483" s="3" t="s">
        <v>104</v>
      </c>
      <c r="G1483" s="2"/>
      <c r="H1483" s="2">
        <v>2011</v>
      </c>
      <c r="I1483" s="156" t="str">
        <f t="shared" si="83"/>
        <v>2011</v>
      </c>
      <c r="J1483" s="156"/>
      <c r="K1483" s="156"/>
      <c r="L1483" s="2" t="s">
        <v>1024</v>
      </c>
      <c r="M1483" s="157" t="str">
        <f t="shared" si="84"/>
        <v>К08102995</v>
      </c>
      <c r="N1483" s="3" t="s">
        <v>1004</v>
      </c>
      <c r="O1483" s="4" t="s">
        <v>1025</v>
      </c>
      <c r="P1483" s="1">
        <v>16</v>
      </c>
      <c r="U1483" s="1"/>
      <c r="V1483" s="4"/>
      <c r="W1483" s="3"/>
    </row>
    <row r="1484" spans="1:23" x14ac:dyDescent="0.25">
      <c r="A1484" s="154">
        <v>1433</v>
      </c>
      <c r="B1484" s="1"/>
      <c r="C1484" s="452" t="s">
        <v>3034</v>
      </c>
      <c r="D1484" s="154">
        <v>1472</v>
      </c>
      <c r="E1484" s="3" t="s">
        <v>24</v>
      </c>
      <c r="F1484" s="3" t="s">
        <v>45</v>
      </c>
      <c r="G1484" s="2" t="s">
        <v>1026</v>
      </c>
      <c r="H1484" s="2" t="s">
        <v>969</v>
      </c>
      <c r="I1484" s="156" t="str">
        <f t="shared" si="83"/>
        <v>2017</v>
      </c>
      <c r="J1484" s="156"/>
      <c r="K1484" s="156"/>
      <c r="L1484" s="2" t="s">
        <v>1027</v>
      </c>
      <c r="M1484" s="157" t="str">
        <f t="shared" si="84"/>
        <v>К2240000073</v>
      </c>
      <c r="N1484" s="3" t="s">
        <v>1004</v>
      </c>
      <c r="O1484" s="4" t="s">
        <v>1028</v>
      </c>
      <c r="P1484" s="1">
        <v>16</v>
      </c>
      <c r="U1484" s="1"/>
      <c r="V1484" s="4"/>
      <c r="W1484" s="3"/>
    </row>
    <row r="1485" spans="1:23" x14ac:dyDescent="0.25">
      <c r="A1485" s="158">
        <v>1402</v>
      </c>
      <c r="B1485" s="1"/>
      <c r="C1485" s="452" t="s">
        <v>3034</v>
      </c>
      <c r="D1485" s="158">
        <v>1473</v>
      </c>
      <c r="E1485" s="3" t="s">
        <v>24</v>
      </c>
      <c r="F1485" s="3" t="s">
        <v>25</v>
      </c>
      <c r="G1485" s="2" t="s">
        <v>1029</v>
      </c>
      <c r="H1485" s="2" t="s">
        <v>969</v>
      </c>
      <c r="I1485" s="156" t="str">
        <f t="shared" si="83"/>
        <v>2017</v>
      </c>
      <c r="J1485" s="156"/>
      <c r="K1485" s="156"/>
      <c r="L1485" s="2" t="s">
        <v>1030</v>
      </c>
      <c r="M1485" s="157" t="str">
        <f t="shared" si="84"/>
        <v>К7240000727</v>
      </c>
      <c r="N1485" s="3" t="s">
        <v>1004</v>
      </c>
      <c r="O1485" s="4" t="s">
        <v>1031</v>
      </c>
      <c r="P1485" s="1">
        <v>16</v>
      </c>
      <c r="U1485" s="153" t="s">
        <v>3646</v>
      </c>
      <c r="V1485" s="4"/>
      <c r="W1485" s="3"/>
    </row>
    <row r="1486" spans="1:23" x14ac:dyDescent="0.25">
      <c r="A1486" s="158">
        <v>1406</v>
      </c>
      <c r="B1486" s="1"/>
      <c r="C1486" s="452" t="s">
        <v>3034</v>
      </c>
      <c r="D1486" s="158">
        <v>1474</v>
      </c>
      <c r="E1486" s="3" t="s">
        <v>24</v>
      </c>
      <c r="F1486" s="3" t="s">
        <v>37</v>
      </c>
      <c r="G1486" s="2" t="s">
        <v>1032</v>
      </c>
      <c r="H1486" s="2" t="s">
        <v>159</v>
      </c>
      <c r="I1486" s="156" t="str">
        <f t="shared" si="83"/>
        <v>2012</v>
      </c>
      <c r="J1486" s="156"/>
      <c r="K1486" s="156"/>
      <c r="L1486" s="2" t="s">
        <v>1033</v>
      </c>
      <c r="M1486" s="157" t="str">
        <f t="shared" si="84"/>
        <v>К08102916</v>
      </c>
      <c r="N1486" s="3" t="s">
        <v>1004</v>
      </c>
      <c r="O1486" s="4" t="s">
        <v>1034</v>
      </c>
      <c r="P1486" s="1">
        <v>16</v>
      </c>
      <c r="U1486" s="153" t="s">
        <v>3646</v>
      </c>
      <c r="V1486" s="4"/>
      <c r="W1486" s="3"/>
    </row>
    <row r="1487" spans="1:23" x14ac:dyDescent="0.25">
      <c r="A1487" s="154">
        <v>1405</v>
      </c>
      <c r="B1487" s="1"/>
      <c r="C1487" s="452" t="s">
        <v>3034</v>
      </c>
      <c r="D1487" s="154">
        <v>1475</v>
      </c>
      <c r="E1487" s="3" t="s">
        <v>24</v>
      </c>
      <c r="F1487" s="3" t="s">
        <v>37</v>
      </c>
      <c r="G1487" s="2"/>
      <c r="H1487" s="2"/>
      <c r="I1487" s="156" t="str">
        <f t="shared" si="83"/>
        <v/>
      </c>
      <c r="J1487" s="156"/>
      <c r="K1487" s="156"/>
      <c r="L1487" s="2" t="s">
        <v>1035</v>
      </c>
      <c r="M1487" s="157" t="str">
        <f t="shared" si="84"/>
        <v>К2240000070</v>
      </c>
      <c r="N1487" s="3" t="s">
        <v>1004</v>
      </c>
      <c r="O1487" s="4" t="s">
        <v>1034</v>
      </c>
      <c r="P1487" s="1">
        <v>16</v>
      </c>
      <c r="U1487" s="153" t="s">
        <v>3646</v>
      </c>
      <c r="V1487" s="4"/>
      <c r="W1487" s="3"/>
    </row>
    <row r="1488" spans="1:23" x14ac:dyDescent="0.25">
      <c r="A1488" s="154">
        <v>1407</v>
      </c>
      <c r="B1488" s="1"/>
      <c r="C1488" s="452" t="s">
        <v>3034</v>
      </c>
      <c r="D1488" s="158">
        <v>1476</v>
      </c>
      <c r="E1488" s="3" t="s">
        <v>24</v>
      </c>
      <c r="F1488" s="3" t="s">
        <v>37</v>
      </c>
      <c r="G1488" s="2"/>
      <c r="H1488" s="2"/>
      <c r="I1488" s="156" t="str">
        <f t="shared" si="83"/>
        <v/>
      </c>
      <c r="J1488" s="156"/>
      <c r="K1488" s="156"/>
      <c r="L1488" s="2" t="s">
        <v>1035</v>
      </c>
      <c r="M1488" s="157" t="str">
        <f t="shared" si="84"/>
        <v>К2240000070</v>
      </c>
      <c r="N1488" s="475" t="s">
        <v>1004</v>
      </c>
      <c r="O1488" s="477" t="s">
        <v>1034</v>
      </c>
      <c r="P1488" s="1">
        <v>16</v>
      </c>
      <c r="U1488" s="153" t="s">
        <v>3646</v>
      </c>
      <c r="V1488" s="4"/>
      <c r="W1488" s="3"/>
    </row>
    <row r="1489" spans="1:23" x14ac:dyDescent="0.25">
      <c r="A1489" s="154">
        <v>1409</v>
      </c>
      <c r="B1489" s="1"/>
      <c r="C1489" s="452" t="s">
        <v>3034</v>
      </c>
      <c r="D1489" s="154">
        <v>1477</v>
      </c>
      <c r="E1489" s="3" t="s">
        <v>24</v>
      </c>
      <c r="F1489" s="3" t="s">
        <v>37</v>
      </c>
      <c r="G1489" s="2" t="s">
        <v>1036</v>
      </c>
      <c r="H1489" s="2">
        <v>2012</v>
      </c>
      <c r="I1489" s="156" t="str">
        <f t="shared" si="83"/>
        <v>2012</v>
      </c>
      <c r="J1489" s="156"/>
      <c r="K1489" s="156"/>
      <c r="L1489" s="2" t="s">
        <v>1037</v>
      </c>
      <c r="M1489" s="157" t="str">
        <f t="shared" si="84"/>
        <v>К08102902</v>
      </c>
      <c r="N1489" s="3" t="s">
        <v>1004</v>
      </c>
      <c r="O1489" s="4" t="s">
        <v>1038</v>
      </c>
      <c r="P1489" s="1">
        <v>16</v>
      </c>
      <c r="U1489" s="153" t="s">
        <v>3646</v>
      </c>
      <c r="V1489" s="4"/>
      <c r="W1489" s="3"/>
    </row>
    <row r="1490" spans="1:23" x14ac:dyDescent="0.25">
      <c r="A1490" s="158">
        <v>1408</v>
      </c>
      <c r="B1490" s="1"/>
      <c r="C1490" s="452" t="s">
        <v>3034</v>
      </c>
      <c r="D1490" s="158">
        <v>1478</v>
      </c>
      <c r="E1490" s="3" t="s">
        <v>24</v>
      </c>
      <c r="F1490" s="3" t="s">
        <v>104</v>
      </c>
      <c r="G1490" s="2"/>
      <c r="H1490" s="2">
        <v>2011</v>
      </c>
      <c r="I1490" s="156" t="str">
        <f t="shared" si="83"/>
        <v>2011</v>
      </c>
      <c r="J1490" s="156"/>
      <c r="K1490" s="156"/>
      <c r="L1490" s="2" t="s">
        <v>1039</v>
      </c>
      <c r="M1490" s="157" t="str">
        <f t="shared" si="84"/>
        <v>К08102996</v>
      </c>
      <c r="N1490" s="3" t="s">
        <v>1004</v>
      </c>
      <c r="O1490" s="4" t="s">
        <v>1040</v>
      </c>
      <c r="P1490" s="1">
        <v>17</v>
      </c>
      <c r="U1490" s="153" t="s">
        <v>3646</v>
      </c>
      <c r="V1490" s="4"/>
      <c r="W1490" s="3"/>
    </row>
    <row r="1491" spans="1:23" x14ac:dyDescent="0.25">
      <c r="A1491" s="158">
        <v>1410</v>
      </c>
      <c r="B1491" s="1"/>
      <c r="C1491" s="452" t="s">
        <v>3034</v>
      </c>
      <c r="D1491" s="154">
        <v>1479</v>
      </c>
      <c r="E1491" s="3" t="s">
        <v>24</v>
      </c>
      <c r="F1491" s="3" t="s">
        <v>104</v>
      </c>
      <c r="G1491" s="2"/>
      <c r="H1491" s="2">
        <v>2011</v>
      </c>
      <c r="I1491" s="156" t="str">
        <f t="shared" si="83"/>
        <v>2011</v>
      </c>
      <c r="J1491" s="156"/>
      <c r="K1491" s="156"/>
      <c r="L1491" s="2" t="s">
        <v>1039</v>
      </c>
      <c r="M1491" s="157" t="str">
        <f t="shared" si="84"/>
        <v>К08102996</v>
      </c>
      <c r="N1491" s="475" t="s">
        <v>1004</v>
      </c>
      <c r="O1491" s="477" t="s">
        <v>1040</v>
      </c>
      <c r="P1491" s="1">
        <v>17</v>
      </c>
      <c r="U1491" s="153" t="s">
        <v>3646</v>
      </c>
      <c r="V1491" s="4"/>
      <c r="W1491" s="3"/>
    </row>
    <row r="1492" spans="1:23" x14ac:dyDescent="0.25">
      <c r="A1492" s="154">
        <v>1411</v>
      </c>
      <c r="B1492" s="1"/>
      <c r="C1492" s="452" t="s">
        <v>3034</v>
      </c>
      <c r="D1492" s="158">
        <v>1480</v>
      </c>
      <c r="E1492" s="3" t="s">
        <v>24</v>
      </c>
      <c r="F1492" s="3" t="s">
        <v>25</v>
      </c>
      <c r="G1492" s="2" t="s">
        <v>1046</v>
      </c>
      <c r="H1492" s="2" t="s">
        <v>969</v>
      </c>
      <c r="I1492" s="156" t="str">
        <f t="shared" si="83"/>
        <v>2017</v>
      </c>
      <c r="J1492" s="156"/>
      <c r="K1492" s="156"/>
      <c r="L1492" s="2" t="s">
        <v>1047</v>
      </c>
      <c r="M1492" s="157" t="str">
        <f t="shared" si="84"/>
        <v>К7240000726</v>
      </c>
      <c r="N1492" s="3" t="s">
        <v>1004</v>
      </c>
      <c r="O1492" s="4" t="s">
        <v>1044</v>
      </c>
      <c r="P1492" s="1">
        <v>16</v>
      </c>
      <c r="U1492" s="153" t="s">
        <v>3646</v>
      </c>
      <c r="V1492" s="4"/>
      <c r="W1492" s="3"/>
    </row>
    <row r="1493" spans="1:23" x14ac:dyDescent="0.25">
      <c r="A1493" s="158">
        <v>1412</v>
      </c>
      <c r="B1493" s="1"/>
      <c r="C1493" s="452" t="s">
        <v>3034</v>
      </c>
      <c r="D1493" s="158">
        <v>1481</v>
      </c>
      <c r="E1493" s="3" t="s">
        <v>24</v>
      </c>
      <c r="F1493" s="3" t="s">
        <v>45</v>
      </c>
      <c r="G1493" s="2" t="s">
        <v>1055</v>
      </c>
      <c r="H1493" s="2" t="s">
        <v>969</v>
      </c>
      <c r="I1493" s="156" t="str">
        <f t="shared" si="83"/>
        <v>2017</v>
      </c>
      <c r="J1493" s="156"/>
      <c r="K1493" s="156"/>
      <c r="L1493" s="2" t="s">
        <v>1056</v>
      </c>
      <c r="M1493" s="157" t="str">
        <f t="shared" si="84"/>
        <v>К2240000075</v>
      </c>
      <c r="N1493" s="3" t="s">
        <v>1004</v>
      </c>
      <c r="O1493" s="4" t="s">
        <v>1057</v>
      </c>
      <c r="P1493" s="1">
        <v>16</v>
      </c>
      <c r="U1493" s="153" t="s">
        <v>3646</v>
      </c>
      <c r="V1493" s="4"/>
      <c r="W1493" s="3"/>
    </row>
    <row r="1494" spans="1:23" x14ac:dyDescent="0.25">
      <c r="A1494" s="154">
        <v>1413</v>
      </c>
      <c r="B1494" s="1"/>
      <c r="C1494" s="452" t="s">
        <v>3034</v>
      </c>
      <c r="D1494" s="154">
        <v>1482</v>
      </c>
      <c r="E1494" s="3" t="s">
        <v>24</v>
      </c>
      <c r="F1494" s="3" t="s">
        <v>37</v>
      </c>
      <c r="G1494" s="2" t="s">
        <v>1058</v>
      </c>
      <c r="H1494" s="2" t="s">
        <v>615</v>
      </c>
      <c r="I1494" s="156" t="str">
        <f t="shared" si="83"/>
        <v>2016</v>
      </c>
      <c r="J1494" s="156"/>
      <c r="K1494" s="156"/>
      <c r="L1494" s="2" t="s">
        <v>1059</v>
      </c>
      <c r="M1494" s="157" t="str">
        <f t="shared" si="84"/>
        <v>К2240000072</v>
      </c>
      <c r="N1494" s="3" t="s">
        <v>1004</v>
      </c>
      <c r="O1494" s="4" t="s">
        <v>1060</v>
      </c>
      <c r="P1494" s="1">
        <v>16</v>
      </c>
      <c r="U1494" s="153" t="s">
        <v>3646</v>
      </c>
      <c r="V1494" s="4"/>
      <c r="W1494" s="3"/>
    </row>
    <row r="1495" spans="1:23" x14ac:dyDescent="0.25">
      <c r="A1495" s="158">
        <v>1414</v>
      </c>
      <c r="B1495" s="1"/>
      <c r="C1495" s="452" t="s">
        <v>3034</v>
      </c>
      <c r="D1495" s="158">
        <v>1483</v>
      </c>
      <c r="E1495" s="3" t="s">
        <v>24</v>
      </c>
      <c r="F1495" s="3" t="s">
        <v>1065</v>
      </c>
      <c r="G1495" s="2"/>
      <c r="H1495" s="2"/>
      <c r="I1495" s="156" t="str">
        <f t="shared" si="83"/>
        <v/>
      </c>
      <c r="J1495" s="156"/>
      <c r="K1495" s="156"/>
      <c r="L1495" s="2" t="s">
        <v>1066</v>
      </c>
      <c r="M1495" s="157" t="str">
        <f t="shared" si="84"/>
        <v>К08104833</v>
      </c>
      <c r="N1495" s="3" t="s">
        <v>1004</v>
      </c>
      <c r="O1495" s="4" t="s">
        <v>1067</v>
      </c>
      <c r="P1495" s="1">
        <v>15</v>
      </c>
      <c r="U1495" s="153" t="s">
        <v>3646</v>
      </c>
      <c r="V1495" s="4"/>
      <c r="W1495" s="3"/>
    </row>
    <row r="1496" spans="1:23" x14ac:dyDescent="0.25">
      <c r="A1496" s="154">
        <v>1415</v>
      </c>
      <c r="B1496" s="1"/>
      <c r="C1496" s="452" t="s">
        <v>3034</v>
      </c>
      <c r="D1496" s="154">
        <v>1484</v>
      </c>
      <c r="E1496" s="3" t="s">
        <v>24</v>
      </c>
      <c r="F1496" s="3" t="s">
        <v>45</v>
      </c>
      <c r="G1496" s="2" t="s">
        <v>1068</v>
      </c>
      <c r="H1496" s="2" t="s">
        <v>969</v>
      </c>
      <c r="I1496" s="156" t="str">
        <f t="shared" si="83"/>
        <v>2017</v>
      </c>
      <c r="J1496" s="156"/>
      <c r="K1496" s="156"/>
      <c r="L1496" s="2" t="s">
        <v>1069</v>
      </c>
      <c r="M1496" s="157" t="str">
        <f t="shared" si="84"/>
        <v>К2240000074</v>
      </c>
      <c r="N1496" s="3" t="s">
        <v>1004</v>
      </c>
      <c r="O1496" s="4" t="s">
        <v>1070</v>
      </c>
      <c r="P1496" s="1">
        <v>16</v>
      </c>
      <c r="U1496" s="153" t="s">
        <v>3646</v>
      </c>
      <c r="V1496" s="4"/>
      <c r="W1496" s="3"/>
    </row>
    <row r="1497" spans="1:23" x14ac:dyDescent="0.25">
      <c r="A1497" s="158">
        <v>1416</v>
      </c>
      <c r="B1497" s="1"/>
      <c r="C1497" s="452" t="s">
        <v>3034</v>
      </c>
      <c r="D1497" s="158">
        <v>1485</v>
      </c>
      <c r="E1497" s="3" t="s">
        <v>24</v>
      </c>
      <c r="F1497" s="3" t="s">
        <v>37</v>
      </c>
      <c r="G1497" s="2" t="s">
        <v>1077</v>
      </c>
      <c r="H1497" s="464" t="s">
        <v>969</v>
      </c>
      <c r="I1497" s="156" t="str">
        <f t="shared" si="83"/>
        <v>2017</v>
      </c>
      <c r="J1497" s="156"/>
      <c r="K1497" s="156"/>
      <c r="L1497" s="2" t="s">
        <v>1079</v>
      </c>
      <c r="M1497" s="157" t="str">
        <f t="shared" si="84"/>
        <v>К7240000728</v>
      </c>
      <c r="N1497" s="3" t="s">
        <v>1004</v>
      </c>
      <c r="O1497" s="4" t="s">
        <v>1076</v>
      </c>
      <c r="P1497" s="1">
        <v>16</v>
      </c>
      <c r="U1497" s="153" t="s">
        <v>3646</v>
      </c>
      <c r="V1497" s="4"/>
      <c r="W1497" s="3"/>
    </row>
    <row r="1498" spans="1:23" x14ac:dyDescent="0.25">
      <c r="A1498" s="154">
        <v>1417</v>
      </c>
      <c r="B1498" s="1"/>
      <c r="C1498" s="452" t="s">
        <v>3034</v>
      </c>
      <c r="D1498" s="154">
        <v>1486</v>
      </c>
      <c r="E1498" s="3" t="s">
        <v>24</v>
      </c>
      <c r="F1498" s="3" t="s">
        <v>72</v>
      </c>
      <c r="G1498" s="2"/>
      <c r="H1498" s="589" t="s">
        <v>47</v>
      </c>
      <c r="I1498" s="156" t="str">
        <f t="shared" si="83"/>
        <v>2010</v>
      </c>
      <c r="J1498" s="156"/>
      <c r="K1498" s="156"/>
      <c r="L1498" s="2" t="s">
        <v>1080</v>
      </c>
      <c r="M1498" s="157" t="str">
        <f t="shared" si="84"/>
        <v>К08102810</v>
      </c>
      <c r="N1498" s="3" t="s">
        <v>1004</v>
      </c>
      <c r="O1498" s="4" t="s">
        <v>1081</v>
      </c>
      <c r="P1498" s="1">
        <v>15</v>
      </c>
      <c r="U1498" s="153" t="s">
        <v>3646</v>
      </c>
      <c r="V1498" s="4"/>
      <c r="W1498" s="3"/>
    </row>
    <row r="1499" spans="1:23" x14ac:dyDescent="0.25">
      <c r="A1499" s="154">
        <v>1421</v>
      </c>
      <c r="B1499" s="1"/>
      <c r="C1499" s="452" t="s">
        <v>3034</v>
      </c>
      <c r="D1499" s="158">
        <v>1487</v>
      </c>
      <c r="E1499" s="3" t="s">
        <v>24</v>
      </c>
      <c r="F1499" s="3" t="s">
        <v>1084</v>
      </c>
      <c r="G1499" s="2" t="s">
        <v>1085</v>
      </c>
      <c r="H1499" s="2"/>
      <c r="I1499" s="156" t="str">
        <f t="shared" si="83"/>
        <v/>
      </c>
      <c r="J1499" s="156"/>
      <c r="K1499" s="156"/>
      <c r="L1499" s="2" t="s">
        <v>1086</v>
      </c>
      <c r="M1499" s="157" t="str">
        <f t="shared" si="84"/>
        <v>К08105181</v>
      </c>
      <c r="N1499" s="3" t="s">
        <v>1004</v>
      </c>
      <c r="O1499" s="4" t="s">
        <v>1083</v>
      </c>
      <c r="P1499" s="1">
        <v>16</v>
      </c>
      <c r="U1499" s="153" t="s">
        <v>3646</v>
      </c>
      <c r="V1499" s="4"/>
      <c r="W1499" s="3"/>
    </row>
    <row r="1500" spans="1:23" x14ac:dyDescent="0.25">
      <c r="A1500" s="158">
        <v>1424</v>
      </c>
      <c r="B1500" s="1"/>
      <c r="C1500" s="452" t="s">
        <v>3034</v>
      </c>
      <c r="D1500" s="158">
        <v>1488</v>
      </c>
      <c r="E1500" s="3" t="s">
        <v>24</v>
      </c>
      <c r="F1500" s="3" t="s">
        <v>1084</v>
      </c>
      <c r="G1500" s="2" t="s">
        <v>1087</v>
      </c>
      <c r="H1500" s="2" t="s">
        <v>550</v>
      </c>
      <c r="I1500" s="156" t="str">
        <f t="shared" si="83"/>
        <v>2005</v>
      </c>
      <c r="J1500" s="156"/>
      <c r="K1500" s="156"/>
      <c r="L1500" s="2" t="s">
        <v>1088</v>
      </c>
      <c r="M1500" s="157" t="str">
        <f t="shared" si="84"/>
        <v>К08105182</v>
      </c>
      <c r="N1500" s="3" t="s">
        <v>1004</v>
      </c>
      <c r="O1500" s="4" t="s">
        <v>1083</v>
      </c>
      <c r="P1500" s="1">
        <v>16</v>
      </c>
      <c r="U1500" s="153" t="s">
        <v>3646</v>
      </c>
      <c r="V1500" s="4"/>
      <c r="W1500" s="3"/>
    </row>
    <row r="1501" spans="1:23" x14ac:dyDescent="0.25">
      <c r="A1501" s="154">
        <v>1425</v>
      </c>
      <c r="B1501" s="1"/>
      <c r="C1501" s="452" t="s">
        <v>3034</v>
      </c>
      <c r="D1501" s="154">
        <v>1489</v>
      </c>
      <c r="E1501" s="3" t="s">
        <v>24</v>
      </c>
      <c r="F1501" s="3" t="s">
        <v>208</v>
      </c>
      <c r="G1501" s="2" t="s">
        <v>1089</v>
      </c>
      <c r="H1501" s="2" t="s">
        <v>59</v>
      </c>
      <c r="I1501" s="156" t="str">
        <f t="shared" si="83"/>
        <v>2013</v>
      </c>
      <c r="J1501" s="156"/>
      <c r="K1501" s="156"/>
      <c r="L1501" s="2" t="s">
        <v>1090</v>
      </c>
      <c r="M1501" s="157" t="str">
        <f t="shared" si="84"/>
        <v>К08105184</v>
      </c>
      <c r="N1501" s="3" t="s">
        <v>1004</v>
      </c>
      <c r="O1501" s="4" t="s">
        <v>1083</v>
      </c>
      <c r="P1501" s="1">
        <v>16</v>
      </c>
      <c r="U1501" s="153" t="s">
        <v>3646</v>
      </c>
      <c r="V1501" s="4"/>
      <c r="W1501" s="3"/>
    </row>
    <row r="1502" spans="1:23" x14ac:dyDescent="0.25">
      <c r="A1502" s="154">
        <v>1427</v>
      </c>
      <c r="B1502" s="1"/>
      <c r="C1502" s="452" t="s">
        <v>3034</v>
      </c>
      <c r="D1502" s="158">
        <v>1490</v>
      </c>
      <c r="E1502" s="3" t="s">
        <v>24</v>
      </c>
      <c r="F1502" s="3" t="s">
        <v>25</v>
      </c>
      <c r="G1502" s="2" t="s">
        <v>1092</v>
      </c>
      <c r="H1502" s="2" t="s">
        <v>124</v>
      </c>
      <c r="I1502" s="156" t="str">
        <f t="shared" si="83"/>
        <v>2018</v>
      </c>
      <c r="J1502" s="156"/>
      <c r="K1502" s="156"/>
      <c r="L1502" s="2" t="s">
        <v>1093</v>
      </c>
      <c r="M1502" s="157" t="str">
        <f t="shared" si="84"/>
        <v>К2240000071</v>
      </c>
      <c r="N1502" s="3" t="s">
        <v>1004</v>
      </c>
      <c r="O1502" s="4"/>
      <c r="P1502" s="1">
        <v>16</v>
      </c>
      <c r="U1502" s="153" t="s">
        <v>3646</v>
      </c>
      <c r="V1502" s="4"/>
      <c r="W1502" s="3"/>
    </row>
    <row r="1503" spans="1:23" x14ac:dyDescent="0.25">
      <c r="A1503" s="158">
        <v>1428</v>
      </c>
      <c r="B1503" s="1"/>
      <c r="C1503" s="452" t="s">
        <v>3034</v>
      </c>
      <c r="D1503" s="154">
        <v>1491</v>
      </c>
      <c r="E1503" s="3" t="s">
        <v>24</v>
      </c>
      <c r="F1503" s="3" t="s">
        <v>72</v>
      </c>
      <c r="G1503" s="2"/>
      <c r="H1503" s="589" t="s">
        <v>79</v>
      </c>
      <c r="I1503" s="156" t="str">
        <f t="shared" si="83"/>
        <v>2009</v>
      </c>
      <c r="J1503" s="156"/>
      <c r="K1503" s="156"/>
      <c r="L1503" s="2" t="s">
        <v>1091</v>
      </c>
      <c r="M1503" s="157" t="str">
        <f t="shared" si="84"/>
        <v>К08102641</v>
      </c>
      <c r="N1503" s="3" t="s">
        <v>1004</v>
      </c>
      <c r="O1503" s="4"/>
      <c r="P1503" s="1">
        <v>15</v>
      </c>
      <c r="U1503" s="153" t="s">
        <v>3646</v>
      </c>
      <c r="V1503" s="4"/>
      <c r="W1503" s="3"/>
    </row>
    <row r="1504" spans="1:23" x14ac:dyDescent="0.25">
      <c r="A1504" s="154">
        <v>1431</v>
      </c>
      <c r="B1504" s="1"/>
      <c r="C1504" s="1"/>
      <c r="D1504" s="158">
        <v>1492</v>
      </c>
      <c r="E1504" s="3" t="s">
        <v>1014</v>
      </c>
      <c r="F1504" s="3" t="s">
        <v>1015</v>
      </c>
      <c r="G1504" s="2" t="s">
        <v>1016</v>
      </c>
      <c r="H1504" s="2" t="s">
        <v>159</v>
      </c>
      <c r="I1504" s="156" t="str">
        <f t="shared" si="83"/>
        <v>2012</v>
      </c>
      <c r="J1504" s="156">
        <v>2012</v>
      </c>
      <c r="K1504" s="156"/>
      <c r="L1504" s="2"/>
      <c r="M1504" s="157" t="str">
        <f t="shared" si="84"/>
        <v>К</v>
      </c>
      <c r="N1504" s="3" t="s">
        <v>1004</v>
      </c>
      <c r="O1504" s="4" t="s">
        <v>1005</v>
      </c>
      <c r="P1504" s="1">
        <v>17</v>
      </c>
      <c r="U1504" s="153" t="s">
        <v>3646</v>
      </c>
      <c r="V1504" s="4"/>
      <c r="W1504" s="3"/>
    </row>
    <row r="1505" spans="1:24" x14ac:dyDescent="0.25">
      <c r="A1505" s="158">
        <v>1432</v>
      </c>
      <c r="B1505" s="1"/>
      <c r="C1505" s="457" t="s">
        <v>3034</v>
      </c>
      <c r="D1505" s="154">
        <v>1493</v>
      </c>
      <c r="E1505" s="3" t="s">
        <v>499</v>
      </c>
      <c r="F1505" s="459" t="s">
        <v>3469</v>
      </c>
      <c r="G1505" s="2" t="s">
        <v>1053</v>
      </c>
      <c r="H1505" s="2" t="s">
        <v>283</v>
      </c>
      <c r="I1505" s="156" t="str">
        <f t="shared" si="83"/>
        <v>2011</v>
      </c>
      <c r="J1505" s="156">
        <v>2011</v>
      </c>
      <c r="K1505" s="156"/>
      <c r="L1505" s="2" t="s">
        <v>1054</v>
      </c>
      <c r="M1505" s="157" t="str">
        <f t="shared" si="84"/>
        <v>К08104831</v>
      </c>
      <c r="N1505" s="3" t="s">
        <v>1004</v>
      </c>
      <c r="O1505" s="4" t="s">
        <v>1044</v>
      </c>
      <c r="P1505" s="1">
        <v>17</v>
      </c>
      <c r="U1505" s="153" t="s">
        <v>3646</v>
      </c>
      <c r="V1505" s="4"/>
      <c r="W1505" s="3"/>
    </row>
    <row r="1506" spans="1:24" s="162" customFormat="1" x14ac:dyDescent="0.25">
      <c r="A1506" s="158">
        <v>1434</v>
      </c>
      <c r="B1506" s="1"/>
      <c r="C1506" s="452" t="s">
        <v>3034</v>
      </c>
      <c r="D1506" s="158">
        <v>1494</v>
      </c>
      <c r="E1506" s="3" t="s">
        <v>911</v>
      </c>
      <c r="F1506" s="3" t="s">
        <v>912</v>
      </c>
      <c r="G1506" s="2" t="s">
        <v>1048</v>
      </c>
      <c r="H1506" s="2" t="s">
        <v>1049</v>
      </c>
      <c r="I1506" s="156" t="str">
        <f t="shared" si="83"/>
        <v>2011</v>
      </c>
      <c r="J1506" s="156">
        <v>2011</v>
      </c>
      <c r="K1506" s="156"/>
      <c r="L1506" s="2" t="s">
        <v>1050</v>
      </c>
      <c r="M1506" s="157" t="str">
        <f t="shared" si="84"/>
        <v>К08104230</v>
      </c>
      <c r="N1506" s="3" t="s">
        <v>1004</v>
      </c>
      <c r="O1506" s="4" t="s">
        <v>1044</v>
      </c>
      <c r="P1506" s="1">
        <v>17</v>
      </c>
      <c r="Q1506" s="1"/>
      <c r="R1506" s="3"/>
      <c r="S1506" s="1"/>
      <c r="T1506" s="3"/>
      <c r="U1506" s="153" t="s">
        <v>3646</v>
      </c>
      <c r="V1506" s="4"/>
      <c r="W1506" s="3"/>
      <c r="X1506" s="3"/>
    </row>
    <row r="1507" spans="1:24" s="162" customFormat="1" x14ac:dyDescent="0.25">
      <c r="A1507" s="154">
        <v>1435</v>
      </c>
      <c r="B1507" s="456" t="s">
        <v>3552</v>
      </c>
      <c r="C1507" s="456"/>
      <c r="D1507" s="158">
        <v>1495</v>
      </c>
      <c r="E1507" s="3" t="s">
        <v>61</v>
      </c>
      <c r="F1507" s="3" t="s">
        <v>62</v>
      </c>
      <c r="G1507" s="2" t="s">
        <v>1096</v>
      </c>
      <c r="H1507" s="2"/>
      <c r="I1507" s="156" t="str">
        <f t="shared" si="83"/>
        <v/>
      </c>
      <c r="J1507" s="156"/>
      <c r="K1507" s="156"/>
      <c r="L1507" s="2"/>
      <c r="M1507" s="157" t="str">
        <f t="shared" si="84"/>
        <v>К</v>
      </c>
      <c r="N1507" s="3" t="s">
        <v>1004</v>
      </c>
      <c r="O1507" s="4"/>
      <c r="P1507" s="1"/>
      <c r="Q1507" s="1"/>
      <c r="R1507" s="3"/>
      <c r="S1507" s="1"/>
      <c r="T1507" s="3"/>
      <c r="U1507" s="153" t="s">
        <v>3646</v>
      </c>
      <c r="V1507" s="4"/>
      <c r="W1507" s="3"/>
      <c r="X1507" s="3"/>
    </row>
    <row r="1508" spans="1:24" x14ac:dyDescent="0.25">
      <c r="A1508" s="158">
        <v>1436</v>
      </c>
      <c r="B1508" s="456"/>
      <c r="C1508" s="481" t="s">
        <v>3640</v>
      </c>
      <c r="D1508" s="154">
        <v>1496</v>
      </c>
      <c r="E1508" s="482" t="s">
        <v>2320</v>
      </c>
      <c r="F1508" s="3" t="s">
        <v>5517</v>
      </c>
      <c r="G1508" s="2" t="s">
        <v>5547</v>
      </c>
      <c r="H1508" s="2" t="s">
        <v>66</v>
      </c>
      <c r="I1508" s="156"/>
      <c r="J1508" s="156"/>
      <c r="K1508" s="156"/>
      <c r="L1508" s="2"/>
      <c r="M1508" s="157"/>
      <c r="N1508" s="3" t="s">
        <v>1004</v>
      </c>
      <c r="O1508" s="181" t="s">
        <v>1076</v>
      </c>
      <c r="P1508" s="1"/>
      <c r="U1508" s="153" t="s">
        <v>3646</v>
      </c>
      <c r="V1508" s="4"/>
      <c r="W1508" s="3"/>
    </row>
    <row r="1509" spans="1:24" x14ac:dyDescent="0.25">
      <c r="A1509" s="154">
        <v>1439</v>
      </c>
      <c r="B1509" s="456"/>
      <c r="C1509" s="481" t="s">
        <v>3640</v>
      </c>
      <c r="D1509" s="158">
        <v>1497</v>
      </c>
      <c r="E1509" s="482" t="s">
        <v>2320</v>
      </c>
      <c r="F1509" s="3" t="s">
        <v>5517</v>
      </c>
      <c r="G1509" s="2" t="s">
        <v>5548</v>
      </c>
      <c r="H1509" s="2" t="s">
        <v>66</v>
      </c>
      <c r="I1509" s="156"/>
      <c r="J1509" s="156"/>
      <c r="K1509" s="156"/>
      <c r="L1509" s="2"/>
      <c r="M1509" s="157"/>
      <c r="N1509" s="3" t="s">
        <v>1004</v>
      </c>
      <c r="O1509" s="483" t="s">
        <v>5549</v>
      </c>
      <c r="P1509" s="1"/>
      <c r="U1509" s="153" t="s">
        <v>3646</v>
      </c>
      <c r="V1509" s="4"/>
      <c r="W1509" s="3"/>
    </row>
    <row r="1510" spans="1:24" x14ac:dyDescent="0.25">
      <c r="A1510" s="158">
        <v>1438</v>
      </c>
      <c r="B1510" s="456" t="s">
        <v>3552</v>
      </c>
      <c r="C1510" s="452" t="s">
        <v>3034</v>
      </c>
      <c r="D1510" s="154">
        <v>1498</v>
      </c>
      <c r="E1510" s="3" t="s">
        <v>325</v>
      </c>
      <c r="F1510" s="3" t="s">
        <v>1936</v>
      </c>
      <c r="G1510" s="2" t="s">
        <v>1094</v>
      </c>
      <c r="H1510" s="589" t="s">
        <v>232</v>
      </c>
      <c r="I1510" s="156" t="str">
        <f t="shared" ref="I1510:I1541" si="85">RIGHT(H1510,4)</f>
        <v>2007</v>
      </c>
      <c r="J1510" s="156">
        <v>2007</v>
      </c>
      <c r="K1510" s="156"/>
      <c r="L1510" s="2" t="s">
        <v>1095</v>
      </c>
      <c r="M1510" s="157" t="str">
        <f t="shared" ref="M1510:M1517" si="86">CONCATENATE("К",L1510)</f>
        <v>К04700329</v>
      </c>
      <c r="N1510" s="3" t="s">
        <v>1004</v>
      </c>
      <c r="O1510" s="181" t="s">
        <v>1076</v>
      </c>
      <c r="P1510" s="1">
        <v>17</v>
      </c>
      <c r="U1510" s="153" t="s">
        <v>3646</v>
      </c>
      <c r="V1510" s="4"/>
      <c r="W1510" s="3"/>
    </row>
    <row r="1511" spans="1:24" x14ac:dyDescent="0.25">
      <c r="A1511" s="154">
        <v>1403</v>
      </c>
      <c r="B1511" s="1"/>
      <c r="C1511" s="452" t="s">
        <v>3034</v>
      </c>
      <c r="D1511" s="158">
        <v>1499</v>
      </c>
      <c r="E1511" s="3" t="s">
        <v>461</v>
      </c>
      <c r="F1511" s="3" t="s">
        <v>1726</v>
      </c>
      <c r="G1511" s="2" t="s">
        <v>1727</v>
      </c>
      <c r="H1511" s="2" t="s">
        <v>1728</v>
      </c>
      <c r="I1511" s="156" t="str">
        <f t="shared" si="85"/>
        <v>1996</v>
      </c>
      <c r="J1511" s="156">
        <v>1996</v>
      </c>
      <c r="K1511" s="156"/>
      <c r="L1511" s="2" t="s">
        <v>1729</v>
      </c>
      <c r="M1511" s="157" t="str">
        <f t="shared" si="86"/>
        <v>К01370545</v>
      </c>
      <c r="N1511" s="3" t="s">
        <v>1730</v>
      </c>
      <c r="O1511" s="4" t="s">
        <v>1731</v>
      </c>
      <c r="P1511" s="1"/>
      <c r="U1511" s="1"/>
      <c r="V1511" s="4"/>
      <c r="W1511" s="3"/>
    </row>
    <row r="1512" spans="1:24" x14ac:dyDescent="0.25">
      <c r="A1512" s="158">
        <v>1422</v>
      </c>
      <c r="B1512" s="1"/>
      <c r="C1512" s="452" t="s">
        <v>3034</v>
      </c>
      <c r="D1512" s="154">
        <v>1500</v>
      </c>
      <c r="E1512" s="3" t="s">
        <v>461</v>
      </c>
      <c r="F1512" s="3" t="s">
        <v>1732</v>
      </c>
      <c r="G1512" s="2" t="s">
        <v>1733</v>
      </c>
      <c r="H1512" s="2" t="s">
        <v>232</v>
      </c>
      <c r="I1512" s="156" t="str">
        <f t="shared" si="85"/>
        <v>2007</v>
      </c>
      <c r="J1512" s="156">
        <v>2007</v>
      </c>
      <c r="K1512" s="156"/>
      <c r="L1512" s="2" t="s">
        <v>1734</v>
      </c>
      <c r="M1512" s="157" t="str">
        <f t="shared" si="86"/>
        <v>К04700333</v>
      </c>
      <c r="N1512" s="3" t="s">
        <v>1730</v>
      </c>
      <c r="O1512" s="4" t="s">
        <v>1731</v>
      </c>
      <c r="P1512" s="1"/>
      <c r="U1512" s="1"/>
      <c r="V1512" s="4"/>
      <c r="W1512" s="3"/>
    </row>
    <row r="1513" spans="1:24" x14ac:dyDescent="0.25">
      <c r="A1513" s="154">
        <v>1423</v>
      </c>
      <c r="B1513" s="1"/>
      <c r="C1513" s="452" t="s">
        <v>3034</v>
      </c>
      <c r="D1513" s="158">
        <v>1502</v>
      </c>
      <c r="E1513" s="3" t="s">
        <v>24</v>
      </c>
      <c r="F1513" s="3" t="s">
        <v>1735</v>
      </c>
      <c r="G1513" s="2" t="s">
        <v>1736</v>
      </c>
      <c r="H1513" s="2" t="s">
        <v>232</v>
      </c>
      <c r="I1513" s="156" t="str">
        <f t="shared" si="85"/>
        <v>2007</v>
      </c>
      <c r="J1513" s="156"/>
      <c r="K1513" s="156"/>
      <c r="L1513" s="2" t="s">
        <v>1737</v>
      </c>
      <c r="M1513" s="157" t="str">
        <f t="shared" si="86"/>
        <v>К04800606</v>
      </c>
      <c r="N1513" s="3" t="s">
        <v>1730</v>
      </c>
      <c r="O1513" s="4" t="s">
        <v>1731</v>
      </c>
      <c r="P1513" s="1"/>
      <c r="U1513" s="1"/>
      <c r="V1513" s="4"/>
      <c r="W1513" s="3"/>
    </row>
    <row r="1514" spans="1:24" x14ac:dyDescent="0.25">
      <c r="A1514" s="158">
        <v>1440</v>
      </c>
      <c r="B1514" s="1"/>
      <c r="C1514" s="452" t="s">
        <v>3034</v>
      </c>
      <c r="D1514" s="154">
        <v>1503</v>
      </c>
      <c r="E1514" s="3" t="s">
        <v>24</v>
      </c>
      <c r="F1514" s="3" t="s">
        <v>1735</v>
      </c>
      <c r="G1514" s="2" t="s">
        <v>1738</v>
      </c>
      <c r="H1514" s="2" t="s">
        <v>232</v>
      </c>
      <c r="I1514" s="156" t="str">
        <f t="shared" si="85"/>
        <v>2007</v>
      </c>
      <c r="J1514" s="156"/>
      <c r="K1514" s="156"/>
      <c r="L1514" s="2" t="s">
        <v>1739</v>
      </c>
      <c r="M1514" s="157" t="str">
        <f t="shared" si="86"/>
        <v>К04800697</v>
      </c>
      <c r="N1514" s="3" t="s">
        <v>1730</v>
      </c>
      <c r="O1514" s="4" t="s">
        <v>1731</v>
      </c>
      <c r="P1514" s="1"/>
      <c r="U1514" s="1"/>
      <c r="V1514" s="4"/>
      <c r="W1514" s="3"/>
    </row>
    <row r="1515" spans="1:24" x14ac:dyDescent="0.25">
      <c r="A1515" s="154"/>
      <c r="B1515" s="1"/>
      <c r="C1515" s="1"/>
      <c r="D1515" s="154">
        <v>1505</v>
      </c>
      <c r="E1515" s="3" t="s">
        <v>1740</v>
      </c>
      <c r="F1515" s="3" t="s">
        <v>1741</v>
      </c>
      <c r="G1515" s="2" t="s">
        <v>1742</v>
      </c>
      <c r="H1515" s="2" t="s">
        <v>232</v>
      </c>
      <c r="I1515" s="156" t="str">
        <f t="shared" si="85"/>
        <v>2007</v>
      </c>
      <c r="J1515" s="156">
        <v>2007</v>
      </c>
      <c r="K1515" s="156"/>
      <c r="L1515" s="2" t="s">
        <v>1743</v>
      </c>
      <c r="M1515" s="157" t="str">
        <f t="shared" si="86"/>
        <v>К04700334</v>
      </c>
      <c r="N1515" s="3" t="s">
        <v>1730</v>
      </c>
      <c r="O1515" s="4" t="s">
        <v>1731</v>
      </c>
      <c r="P1515" s="1"/>
      <c r="U1515" s="1"/>
      <c r="V1515" s="4"/>
      <c r="W1515" s="3"/>
    </row>
    <row r="1516" spans="1:24" x14ac:dyDescent="0.25">
      <c r="A1516" s="154"/>
      <c r="B1516" s="1"/>
      <c r="C1516" s="1"/>
      <c r="D1516" s="158">
        <v>1506</v>
      </c>
      <c r="E1516" s="3" t="s">
        <v>1740</v>
      </c>
      <c r="F1516" s="3" t="s">
        <v>1741</v>
      </c>
      <c r="G1516" s="2" t="s">
        <v>1745</v>
      </c>
      <c r="H1516" s="2" t="s">
        <v>232</v>
      </c>
      <c r="I1516" s="156" t="str">
        <f t="shared" si="85"/>
        <v>2007</v>
      </c>
      <c r="J1516" s="156">
        <v>2007</v>
      </c>
      <c r="K1516" s="156"/>
      <c r="L1516" s="2" t="s">
        <v>1746</v>
      </c>
      <c r="M1516" s="157" t="str">
        <f t="shared" si="86"/>
        <v>К04700335</v>
      </c>
      <c r="N1516" s="3" t="s">
        <v>1730</v>
      </c>
      <c r="O1516" s="4" t="s">
        <v>1731</v>
      </c>
      <c r="P1516" s="1"/>
      <c r="U1516" s="1"/>
      <c r="V1516" s="4"/>
      <c r="W1516" s="3"/>
    </row>
    <row r="1517" spans="1:24" x14ac:dyDescent="0.25">
      <c r="A1517" s="154">
        <v>1441</v>
      </c>
      <c r="B1517" s="457" t="s">
        <v>3687</v>
      </c>
      <c r="C1517" s="452" t="s">
        <v>3034</v>
      </c>
      <c r="D1517" s="154">
        <v>1510</v>
      </c>
      <c r="E1517" s="3" t="s">
        <v>2010</v>
      </c>
      <c r="F1517" s="170" t="s">
        <v>1747</v>
      </c>
      <c r="G1517" s="470" t="s">
        <v>3684</v>
      </c>
      <c r="H1517" s="2" t="s">
        <v>153</v>
      </c>
      <c r="I1517" s="156" t="str">
        <f t="shared" si="85"/>
        <v>2012</v>
      </c>
      <c r="J1517" s="156">
        <v>2012</v>
      </c>
      <c r="K1517" s="169" t="s">
        <v>3680</v>
      </c>
      <c r="L1517" s="2" t="s">
        <v>1764</v>
      </c>
      <c r="M1517" s="157" t="str">
        <f t="shared" si="86"/>
        <v>К08104053</v>
      </c>
      <c r="N1517" s="3" t="s">
        <v>1730</v>
      </c>
      <c r="O1517" s="4" t="s">
        <v>1760</v>
      </c>
      <c r="P1517" s="1"/>
      <c r="R1517" s="170" t="s">
        <v>3748</v>
      </c>
      <c r="S1517" s="455" t="s">
        <v>3749</v>
      </c>
      <c r="U1517" s="1"/>
      <c r="V1517" s="4"/>
      <c r="W1517" s="3"/>
    </row>
    <row r="1518" spans="1:24" x14ac:dyDescent="0.25">
      <c r="A1518" s="158">
        <v>1442</v>
      </c>
      <c r="B1518" s="457" t="s">
        <v>3687</v>
      </c>
      <c r="C1518" s="452" t="s">
        <v>3034</v>
      </c>
      <c r="D1518" s="158">
        <v>1511</v>
      </c>
      <c r="E1518" s="3" t="s">
        <v>2010</v>
      </c>
      <c r="F1518" s="3" t="s">
        <v>1747</v>
      </c>
      <c r="G1518" s="470" t="s">
        <v>3683</v>
      </c>
      <c r="H1518" s="2" t="s">
        <v>153</v>
      </c>
      <c r="I1518" s="156" t="str">
        <f t="shared" si="85"/>
        <v>2012</v>
      </c>
      <c r="J1518" s="156">
        <v>2012</v>
      </c>
      <c r="K1518" s="169" t="s">
        <v>3680</v>
      </c>
      <c r="L1518" s="534" t="s">
        <v>3681</v>
      </c>
      <c r="M1518" s="489" t="s">
        <v>3681</v>
      </c>
      <c r="N1518" s="3" t="s">
        <v>1730</v>
      </c>
      <c r="O1518" s="4" t="s">
        <v>1760</v>
      </c>
      <c r="P1518" s="1"/>
      <c r="R1518" s="170" t="s">
        <v>3748</v>
      </c>
      <c r="S1518" s="455" t="s">
        <v>3749</v>
      </c>
      <c r="U1518" s="1"/>
      <c r="V1518" s="4"/>
      <c r="W1518" s="3"/>
    </row>
    <row r="1519" spans="1:24" x14ac:dyDescent="0.25">
      <c r="A1519" s="154">
        <v>1443</v>
      </c>
      <c r="B1519" s="136" t="s">
        <v>3552</v>
      </c>
      <c r="C1519" s="136"/>
      <c r="D1519" s="158">
        <v>1501</v>
      </c>
      <c r="E1519" s="138" t="s">
        <v>3555</v>
      </c>
      <c r="F1519" s="3" t="s">
        <v>455</v>
      </c>
      <c r="G1519" s="2" t="s">
        <v>1758</v>
      </c>
      <c r="H1519" s="2" t="s">
        <v>59</v>
      </c>
      <c r="I1519" s="156" t="str">
        <f t="shared" si="85"/>
        <v>2013</v>
      </c>
      <c r="J1519" s="156"/>
      <c r="K1519" s="156"/>
      <c r="L1519" s="2" t="s">
        <v>1759</v>
      </c>
      <c r="M1519" s="157" t="str">
        <f>CONCATENATE("К",L1519)</f>
        <v>К08105932</v>
      </c>
      <c r="N1519" s="3" t="s">
        <v>1730</v>
      </c>
      <c r="O1519" s="4" t="s">
        <v>1760</v>
      </c>
      <c r="P1519" s="1"/>
      <c r="U1519" s="1"/>
      <c r="V1519" s="4"/>
      <c r="W1519" s="3"/>
    </row>
    <row r="1520" spans="1:24" x14ac:dyDescent="0.25">
      <c r="A1520" s="158">
        <v>1452</v>
      </c>
      <c r="B1520" s="1"/>
      <c r="C1520" s="452" t="s">
        <v>3034</v>
      </c>
      <c r="D1520" s="158">
        <v>1504</v>
      </c>
      <c r="E1520" s="3" t="s">
        <v>24</v>
      </c>
      <c r="F1520" s="3" t="s">
        <v>1735</v>
      </c>
      <c r="G1520" s="2" t="s">
        <v>1761</v>
      </c>
      <c r="H1520" s="2" t="s">
        <v>59</v>
      </c>
      <c r="I1520" s="156" t="str">
        <f t="shared" si="85"/>
        <v>2013</v>
      </c>
      <c r="J1520" s="156"/>
      <c r="K1520" s="156"/>
      <c r="L1520" s="2" t="s">
        <v>1762</v>
      </c>
      <c r="M1520" s="157" t="str">
        <f>CONCATENATE("К",L1520)</f>
        <v>К08103009</v>
      </c>
      <c r="N1520" s="3" t="s">
        <v>1730</v>
      </c>
      <c r="O1520" s="4" t="s">
        <v>1760</v>
      </c>
      <c r="P1520" s="1"/>
      <c r="U1520" s="1"/>
      <c r="V1520" s="4"/>
      <c r="W1520" s="3"/>
    </row>
    <row r="1521" spans="1:24" x14ac:dyDescent="0.25">
      <c r="A1521" s="158">
        <v>1444</v>
      </c>
      <c r="B1521" s="457" t="s">
        <v>3687</v>
      </c>
      <c r="C1521" s="457" t="s">
        <v>3034</v>
      </c>
      <c r="D1521" s="158">
        <v>1508</v>
      </c>
      <c r="E1521" s="3" t="s">
        <v>2010</v>
      </c>
      <c r="F1521" s="3" t="s">
        <v>1747</v>
      </c>
      <c r="G1521" s="2" t="s">
        <v>1751</v>
      </c>
      <c r="H1521" s="2" t="s">
        <v>948</v>
      </c>
      <c r="I1521" s="156" t="str">
        <f t="shared" si="85"/>
        <v>2014</v>
      </c>
      <c r="J1521" s="156">
        <v>2014</v>
      </c>
      <c r="K1521" s="169" t="s">
        <v>3676</v>
      </c>
      <c r="L1521" s="2">
        <v>8104870</v>
      </c>
      <c r="M1521" s="157" t="str">
        <f>CONCATENATE("К",L1521)</f>
        <v>К8104870</v>
      </c>
      <c r="N1521" s="3" t="s">
        <v>1730</v>
      </c>
      <c r="O1521" s="4" t="s">
        <v>1731</v>
      </c>
      <c r="P1521" s="1"/>
      <c r="R1521" s="170" t="s">
        <v>3748</v>
      </c>
      <c r="S1521" s="455" t="s">
        <v>3749</v>
      </c>
      <c r="U1521" s="153" t="s">
        <v>3646</v>
      </c>
      <c r="V1521" s="4"/>
      <c r="W1521" s="3"/>
    </row>
    <row r="1522" spans="1:24" x14ac:dyDescent="0.25">
      <c r="A1522" s="154">
        <v>1445</v>
      </c>
      <c r="B1522" s="457" t="s">
        <v>3687</v>
      </c>
      <c r="C1522" s="457" t="s">
        <v>3034</v>
      </c>
      <c r="D1522" s="158">
        <v>1509</v>
      </c>
      <c r="E1522" s="3" t="s">
        <v>2010</v>
      </c>
      <c r="F1522" s="485" t="s">
        <v>3685</v>
      </c>
      <c r="G1522" s="2" t="s">
        <v>1755</v>
      </c>
      <c r="H1522" s="2" t="s">
        <v>1756</v>
      </c>
      <c r="I1522" s="156" t="str">
        <f t="shared" si="85"/>
        <v>2016</v>
      </c>
      <c r="J1522" s="156">
        <v>2016</v>
      </c>
      <c r="K1522" s="169" t="s">
        <v>3682</v>
      </c>
      <c r="L1522" s="2" t="s">
        <v>1757</v>
      </c>
      <c r="M1522" s="157" t="str">
        <f>CONCATENATE("К",L1522)</f>
        <v>К7360000338</v>
      </c>
      <c r="N1522" s="3" t="s">
        <v>1730</v>
      </c>
      <c r="O1522" s="4" t="s">
        <v>1731</v>
      </c>
      <c r="P1522" s="1"/>
      <c r="R1522" s="170" t="s">
        <v>3750</v>
      </c>
      <c r="S1522" s="455" t="s">
        <v>3749</v>
      </c>
      <c r="U1522" s="153" t="s">
        <v>3646</v>
      </c>
      <c r="V1522" s="4"/>
      <c r="W1522" s="3"/>
    </row>
    <row r="1523" spans="1:24" x14ac:dyDescent="0.25">
      <c r="A1523" s="154">
        <v>1453</v>
      </c>
      <c r="B1523" s="457" t="s">
        <v>3687</v>
      </c>
      <c r="C1523" s="457" t="s">
        <v>3034</v>
      </c>
      <c r="D1523" s="154">
        <v>1507</v>
      </c>
      <c r="E1523" s="3" t="s">
        <v>2010</v>
      </c>
      <c r="F1523" s="170" t="s">
        <v>2102</v>
      </c>
      <c r="G1523" s="2" t="s">
        <v>30</v>
      </c>
      <c r="H1523" s="2" t="s">
        <v>85</v>
      </c>
      <c r="I1523" s="156" t="str">
        <f t="shared" si="85"/>
        <v>2018</v>
      </c>
      <c r="J1523" s="156">
        <v>2018</v>
      </c>
      <c r="K1523" s="169" t="s">
        <v>3679</v>
      </c>
      <c r="L1523" s="2" t="s">
        <v>1754</v>
      </c>
      <c r="M1523" s="157" t="str">
        <f>CONCATENATE("К",L1523)</f>
        <v>К21012400179</v>
      </c>
      <c r="N1523" s="3" t="s">
        <v>1730</v>
      </c>
      <c r="O1523" s="4" t="s">
        <v>1731</v>
      </c>
      <c r="P1523" s="1"/>
      <c r="R1523" s="170" t="s">
        <v>3751</v>
      </c>
      <c r="S1523" s="455" t="s">
        <v>3752</v>
      </c>
      <c r="U1523" s="153" t="s">
        <v>3646</v>
      </c>
      <c r="V1523" s="4"/>
      <c r="W1523" s="3"/>
    </row>
    <row r="1524" spans="1:24" x14ac:dyDescent="0.25">
      <c r="A1524" s="158">
        <v>1446</v>
      </c>
      <c r="B1524" s="457"/>
      <c r="C1524" s="452"/>
      <c r="D1524" s="158"/>
      <c r="E1524" s="3" t="s">
        <v>2010</v>
      </c>
      <c r="F1524" s="574" t="s">
        <v>5605</v>
      </c>
      <c r="G1524" s="575" t="s">
        <v>5606</v>
      </c>
      <c r="H1524" s="575" t="s">
        <v>5607</v>
      </c>
      <c r="I1524" s="156" t="str">
        <f t="shared" si="85"/>
        <v>2022</v>
      </c>
      <c r="J1524" s="156">
        <v>2022</v>
      </c>
      <c r="K1524" s="576">
        <v>44905</v>
      </c>
      <c r="L1524" s="534">
        <v>41012415477</v>
      </c>
      <c r="M1524" s="489" t="s">
        <v>3681</v>
      </c>
      <c r="N1524" s="3" t="s">
        <v>1730</v>
      </c>
      <c r="O1524" s="4" t="s">
        <v>1731</v>
      </c>
      <c r="P1524" s="1"/>
      <c r="R1524" s="170"/>
      <c r="S1524" s="455"/>
      <c r="U1524" s="1"/>
      <c r="V1524" s="4" t="s">
        <v>1744</v>
      </c>
      <c r="W1524" s="3"/>
    </row>
    <row r="1525" spans="1:24" x14ac:dyDescent="0.25">
      <c r="A1525" s="154">
        <v>1447</v>
      </c>
      <c r="B1525" s="167"/>
      <c r="C1525" s="167"/>
      <c r="D1525" s="154">
        <v>1512</v>
      </c>
      <c r="E1525" s="162" t="s">
        <v>3678</v>
      </c>
      <c r="F1525" s="162" t="s">
        <v>1747</v>
      </c>
      <c r="G1525" s="449" t="s">
        <v>1748</v>
      </c>
      <c r="H1525" s="449" t="s">
        <v>1749</v>
      </c>
      <c r="I1525" s="156" t="str">
        <f t="shared" si="85"/>
        <v>2011</v>
      </c>
      <c r="J1525" s="156"/>
      <c r="K1525" s="156"/>
      <c r="L1525" s="2" t="s">
        <v>1750</v>
      </c>
      <c r="M1525" s="157" t="str">
        <f t="shared" ref="M1525:M1572" si="87">CONCATENATE("К",L1525)</f>
        <v>К04700155</v>
      </c>
      <c r="N1525" s="162" t="s">
        <v>1730</v>
      </c>
      <c r="O1525" s="4" t="s">
        <v>1731</v>
      </c>
      <c r="P1525" s="167"/>
      <c r="U1525" s="1"/>
      <c r="V1525" s="4" t="s">
        <v>1744</v>
      </c>
      <c r="W1525" s="3"/>
    </row>
    <row r="1526" spans="1:24" x14ac:dyDescent="0.25">
      <c r="A1526" s="158">
        <v>1448</v>
      </c>
      <c r="B1526" s="1"/>
      <c r="C1526" s="1"/>
      <c r="D1526" s="158">
        <v>1327</v>
      </c>
      <c r="E1526" s="3" t="s">
        <v>2948</v>
      </c>
      <c r="F1526" s="43" t="s">
        <v>2994</v>
      </c>
      <c r="G1526" s="2" t="s">
        <v>2825</v>
      </c>
      <c r="H1526" s="2"/>
      <c r="I1526" s="156" t="str">
        <f t="shared" si="85"/>
        <v/>
      </c>
      <c r="J1526" s="156"/>
      <c r="K1526" s="156"/>
      <c r="L1526" s="2" t="s">
        <v>2826</v>
      </c>
      <c r="M1526" s="157" t="str">
        <f t="shared" si="87"/>
        <v>К71012400292</v>
      </c>
      <c r="N1526" s="174" t="s">
        <v>3481</v>
      </c>
      <c r="O1526" s="4" t="s">
        <v>766</v>
      </c>
      <c r="P1526" s="1"/>
      <c r="U1526" s="1"/>
      <c r="V1526" s="4"/>
      <c r="W1526" s="162"/>
      <c r="X1526" s="162" t="s">
        <v>3034</v>
      </c>
    </row>
    <row r="1527" spans="1:24" x14ac:dyDescent="0.25">
      <c r="A1527" s="154">
        <v>1449</v>
      </c>
      <c r="B1527" s="1"/>
      <c r="C1527" s="1"/>
      <c r="D1527" s="158">
        <v>1331</v>
      </c>
      <c r="E1527" s="3"/>
      <c r="F1527" s="43" t="s">
        <v>2827</v>
      </c>
      <c r="G1527" s="2" t="s">
        <v>2828</v>
      </c>
      <c r="H1527" s="2"/>
      <c r="I1527" s="156" t="str">
        <f t="shared" si="85"/>
        <v/>
      </c>
      <c r="J1527" s="156"/>
      <c r="K1527" s="156"/>
      <c r="L1527" s="2" t="s">
        <v>2829</v>
      </c>
      <c r="M1527" s="157" t="str">
        <f t="shared" si="87"/>
        <v>К01370669</v>
      </c>
      <c r="N1527" s="174" t="s">
        <v>3481</v>
      </c>
      <c r="O1527" s="4" t="s">
        <v>766</v>
      </c>
      <c r="P1527" s="1"/>
      <c r="U1527" s="1"/>
      <c r="V1527" s="4"/>
      <c r="W1527" s="3"/>
    </row>
    <row r="1528" spans="1:24" x14ac:dyDescent="0.25">
      <c r="A1528" s="158">
        <v>1450</v>
      </c>
      <c r="B1528" s="456" t="s">
        <v>3552</v>
      </c>
      <c r="C1528" s="452" t="s">
        <v>3693</v>
      </c>
      <c r="D1528" s="158">
        <v>1541</v>
      </c>
      <c r="E1528" s="3" t="s">
        <v>370</v>
      </c>
      <c r="F1528" s="533" t="s">
        <v>4145</v>
      </c>
      <c r="G1528" s="540" t="s">
        <v>4146</v>
      </c>
      <c r="H1528" s="2" t="s">
        <v>232</v>
      </c>
      <c r="I1528" s="156" t="str">
        <f t="shared" si="85"/>
        <v>2007</v>
      </c>
      <c r="J1528" s="156">
        <v>2007</v>
      </c>
      <c r="K1528" s="156"/>
      <c r="L1528" s="534" t="s">
        <v>3810</v>
      </c>
      <c r="M1528" s="157" t="str">
        <f t="shared" si="87"/>
        <v>К04700272</v>
      </c>
      <c r="N1528" s="3" t="s">
        <v>348</v>
      </c>
      <c r="O1528" s="4" t="s">
        <v>349</v>
      </c>
      <c r="P1528" s="1"/>
      <c r="U1528" s="1"/>
      <c r="V1528" s="4"/>
      <c r="W1528" s="3"/>
    </row>
    <row r="1529" spans="1:24" x14ac:dyDescent="0.25">
      <c r="A1529" s="158">
        <v>1454</v>
      </c>
      <c r="B1529" s="1"/>
      <c r="C1529" s="452" t="s">
        <v>3034</v>
      </c>
      <c r="D1529" s="158">
        <v>1551</v>
      </c>
      <c r="E1529" s="3" t="s">
        <v>24</v>
      </c>
      <c r="F1529" s="3" t="s">
        <v>427</v>
      </c>
      <c r="G1529" s="2" t="s">
        <v>428</v>
      </c>
      <c r="H1529" s="2" t="s">
        <v>232</v>
      </c>
      <c r="I1529" s="156" t="str">
        <f t="shared" si="85"/>
        <v>2007</v>
      </c>
      <c r="J1529" s="156"/>
      <c r="K1529" s="156"/>
      <c r="L1529" s="2" t="s">
        <v>429</v>
      </c>
      <c r="M1529" s="157" t="str">
        <f t="shared" si="87"/>
        <v>К04800604</v>
      </c>
      <c r="N1529" s="3" t="s">
        <v>348</v>
      </c>
      <c r="O1529" s="4" t="s">
        <v>403</v>
      </c>
      <c r="P1529" s="1"/>
      <c r="U1529" s="1"/>
      <c r="V1529" s="4"/>
      <c r="W1529" s="3"/>
    </row>
    <row r="1530" spans="1:24" x14ac:dyDescent="0.25">
      <c r="A1530" s="154">
        <v>1455</v>
      </c>
      <c r="B1530" s="1"/>
      <c r="C1530" s="1"/>
      <c r="D1530" s="158">
        <v>1555</v>
      </c>
      <c r="E1530" s="3" t="s">
        <v>395</v>
      </c>
      <c r="F1530" s="3" t="s">
        <v>396</v>
      </c>
      <c r="G1530" s="2" t="s">
        <v>432</v>
      </c>
      <c r="H1530" s="589" t="s">
        <v>232</v>
      </c>
      <c r="I1530" s="156" t="str">
        <f t="shared" si="85"/>
        <v>2007</v>
      </c>
      <c r="J1530" s="156">
        <v>2007</v>
      </c>
      <c r="K1530" s="156"/>
      <c r="L1530" s="2" t="s">
        <v>433</v>
      </c>
      <c r="M1530" s="157" t="str">
        <f t="shared" si="87"/>
        <v>К04700348</v>
      </c>
      <c r="N1530" s="3" t="s">
        <v>348</v>
      </c>
      <c r="O1530" s="4" t="s">
        <v>403</v>
      </c>
      <c r="P1530" s="1"/>
      <c r="U1530" s="153"/>
      <c r="V1530" s="4"/>
      <c r="W1530" s="162"/>
      <c r="X1530" s="162"/>
    </row>
    <row r="1531" spans="1:24" x14ac:dyDescent="0.25">
      <c r="A1531" s="154"/>
      <c r="B1531" s="1"/>
      <c r="C1531" s="1"/>
      <c r="D1531" s="158">
        <v>1527</v>
      </c>
      <c r="E1531" s="3" t="s">
        <v>3739</v>
      </c>
      <c r="F1531" s="3" t="s">
        <v>409</v>
      </c>
      <c r="G1531" s="2" t="s">
        <v>410</v>
      </c>
      <c r="H1531" s="2" t="s">
        <v>411</v>
      </c>
      <c r="I1531" s="156" t="str">
        <f t="shared" si="85"/>
        <v>2008</v>
      </c>
      <c r="J1531" s="156">
        <v>2008</v>
      </c>
      <c r="K1531" s="156"/>
      <c r="L1531" s="2"/>
      <c r="M1531" s="157" t="str">
        <f t="shared" si="87"/>
        <v>К</v>
      </c>
      <c r="N1531" s="3" t="s">
        <v>348</v>
      </c>
      <c r="O1531" s="4" t="s">
        <v>403</v>
      </c>
      <c r="P1531" s="1"/>
      <c r="U1531" s="153"/>
      <c r="V1531" s="4"/>
      <c r="W1531" s="162"/>
      <c r="X1531" s="162"/>
    </row>
    <row r="1532" spans="1:24" x14ac:dyDescent="0.25">
      <c r="A1532" s="154">
        <v>1451</v>
      </c>
      <c r="B1532" s="1"/>
      <c r="C1532" s="452" t="s">
        <v>3034</v>
      </c>
      <c r="D1532" s="154">
        <v>1552</v>
      </c>
      <c r="E1532" s="3" t="s">
        <v>24</v>
      </c>
      <c r="F1532" s="3" t="s">
        <v>37</v>
      </c>
      <c r="G1532" s="2" t="s">
        <v>430</v>
      </c>
      <c r="H1532" s="2" t="s">
        <v>90</v>
      </c>
      <c r="I1532" s="156" t="str">
        <f t="shared" si="85"/>
        <v>2008</v>
      </c>
      <c r="J1532" s="156"/>
      <c r="K1532" s="156"/>
      <c r="L1532" s="2" t="s">
        <v>431</v>
      </c>
      <c r="M1532" s="157" t="str">
        <f t="shared" si="87"/>
        <v>К08101404</v>
      </c>
      <c r="N1532" s="3" t="s">
        <v>348</v>
      </c>
      <c r="O1532" s="4" t="s">
        <v>403</v>
      </c>
      <c r="P1532" s="1"/>
      <c r="T1532" s="162"/>
      <c r="U1532" s="167"/>
      <c r="V1532" s="168" t="s">
        <v>746</v>
      </c>
      <c r="W1532" s="3"/>
    </row>
    <row r="1533" spans="1:24" x14ac:dyDescent="0.25">
      <c r="A1533" s="158">
        <v>1456</v>
      </c>
      <c r="B1533" s="1"/>
      <c r="C1533" s="452" t="s">
        <v>3692</v>
      </c>
      <c r="D1533" s="158">
        <v>1523</v>
      </c>
      <c r="E1533" s="3" t="s">
        <v>357</v>
      </c>
      <c r="F1533" s="3" t="s">
        <v>358</v>
      </c>
      <c r="G1533" s="2">
        <v>2601410</v>
      </c>
      <c r="H1533" s="2" t="s">
        <v>5630</v>
      </c>
      <c r="I1533" s="156" t="str">
        <f t="shared" si="85"/>
        <v>2008</v>
      </c>
      <c r="J1533" s="156">
        <v>2008</v>
      </c>
      <c r="K1533" s="156"/>
      <c r="L1533" s="2"/>
      <c r="M1533" s="157" t="str">
        <f t="shared" si="87"/>
        <v>К</v>
      </c>
      <c r="N1533" s="3" t="s">
        <v>348</v>
      </c>
      <c r="O1533" s="4" t="s">
        <v>349</v>
      </c>
      <c r="P1533" s="1"/>
      <c r="T1533" s="162"/>
      <c r="U1533" s="167"/>
      <c r="V1533" s="168"/>
      <c r="W1533" s="3"/>
    </row>
    <row r="1534" spans="1:24" x14ac:dyDescent="0.25">
      <c r="A1534" s="154">
        <v>615</v>
      </c>
      <c r="B1534" s="1"/>
      <c r="C1534" s="452" t="s">
        <v>3692</v>
      </c>
      <c r="D1534" s="158">
        <v>1534</v>
      </c>
      <c r="E1534" s="581" t="s">
        <v>5636</v>
      </c>
      <c r="F1534" s="3" t="s">
        <v>366</v>
      </c>
      <c r="G1534" s="2">
        <v>2205206</v>
      </c>
      <c r="H1534" s="589" t="s">
        <v>90</v>
      </c>
      <c r="I1534" s="156" t="str">
        <f t="shared" si="85"/>
        <v>2008</v>
      </c>
      <c r="J1534" s="156">
        <v>2008</v>
      </c>
      <c r="K1534" s="156"/>
      <c r="L1534" s="2"/>
      <c r="M1534" s="157" t="str">
        <f t="shared" si="87"/>
        <v>К</v>
      </c>
      <c r="N1534" s="3" t="s">
        <v>348</v>
      </c>
      <c r="O1534" s="4" t="s">
        <v>349</v>
      </c>
      <c r="P1534" s="1"/>
      <c r="U1534" s="1"/>
      <c r="V1534" s="4" t="s">
        <v>729</v>
      </c>
      <c r="W1534" s="3"/>
    </row>
    <row r="1535" spans="1:24" x14ac:dyDescent="0.25">
      <c r="A1535" s="158">
        <v>480</v>
      </c>
      <c r="B1535" s="1"/>
      <c r="C1535" s="452" t="s">
        <v>3034</v>
      </c>
      <c r="D1535" s="158">
        <v>1546</v>
      </c>
      <c r="E1535" s="3" t="s">
        <v>91</v>
      </c>
      <c r="F1535" s="581" t="s">
        <v>92</v>
      </c>
      <c r="G1535" s="2" t="s">
        <v>383</v>
      </c>
      <c r="H1535" s="2" t="s">
        <v>79</v>
      </c>
      <c r="I1535" s="156" t="str">
        <f t="shared" si="85"/>
        <v>2009</v>
      </c>
      <c r="J1535" s="156"/>
      <c r="K1535" s="156"/>
      <c r="L1535" s="2" t="s">
        <v>384</v>
      </c>
      <c r="M1535" s="157" t="str">
        <f t="shared" si="87"/>
        <v>К08102727</v>
      </c>
      <c r="N1535" s="3" t="s">
        <v>348</v>
      </c>
      <c r="O1535" s="4" t="s">
        <v>349</v>
      </c>
      <c r="P1535" s="1"/>
      <c r="U1535" s="1"/>
      <c r="V1535" s="4" t="s">
        <v>729</v>
      </c>
      <c r="W1535" s="3"/>
    </row>
    <row r="1536" spans="1:24" x14ac:dyDescent="0.25">
      <c r="A1536" s="158">
        <v>360</v>
      </c>
      <c r="B1536" s="1"/>
      <c r="C1536" s="452" t="s">
        <v>3034</v>
      </c>
      <c r="D1536" s="158">
        <v>1548</v>
      </c>
      <c r="E1536" s="3" t="s">
        <v>24</v>
      </c>
      <c r="F1536" s="3" t="s">
        <v>37</v>
      </c>
      <c r="G1536" s="2" t="s">
        <v>388</v>
      </c>
      <c r="H1536" s="2" t="s">
        <v>47</v>
      </c>
      <c r="I1536" s="156" t="str">
        <f t="shared" si="85"/>
        <v>2010</v>
      </c>
      <c r="J1536" s="156"/>
      <c r="K1536" s="156"/>
      <c r="L1536" s="2" t="s">
        <v>389</v>
      </c>
      <c r="M1536" s="157" t="str">
        <f t="shared" si="87"/>
        <v>К08______ (№3)</v>
      </c>
      <c r="N1536" s="3" t="s">
        <v>348</v>
      </c>
      <c r="O1536" s="4" t="s">
        <v>349</v>
      </c>
      <c r="P1536" s="1"/>
      <c r="U1536" s="1"/>
      <c r="V1536" s="4"/>
      <c r="W1536" s="3"/>
    </row>
    <row r="1537" spans="1:23" x14ac:dyDescent="0.25">
      <c r="A1537" s="154">
        <v>361</v>
      </c>
      <c r="B1537" s="1"/>
      <c r="C1537" s="452" t="s">
        <v>3034</v>
      </c>
      <c r="D1537" s="154">
        <v>1549</v>
      </c>
      <c r="E1537" s="3" t="s">
        <v>24</v>
      </c>
      <c r="F1537" s="3" t="s">
        <v>37</v>
      </c>
      <c r="G1537" s="2" t="s">
        <v>390</v>
      </c>
      <c r="H1537" s="2" t="s">
        <v>47</v>
      </c>
      <c r="I1537" s="156" t="str">
        <f t="shared" si="85"/>
        <v>2010</v>
      </c>
      <c r="J1537" s="156"/>
      <c r="K1537" s="156"/>
      <c r="L1537" s="2" t="s">
        <v>391</v>
      </c>
      <c r="M1537" s="157" t="str">
        <f t="shared" si="87"/>
        <v>К08102802</v>
      </c>
      <c r="N1537" s="3" t="s">
        <v>348</v>
      </c>
      <c r="O1537" s="4" t="s">
        <v>349</v>
      </c>
      <c r="P1537" s="1"/>
      <c r="R1537" s="296"/>
      <c r="S1537" s="297"/>
      <c r="U1537" s="1"/>
      <c r="V1537" s="4"/>
      <c r="W1537" s="3"/>
    </row>
    <row r="1538" spans="1:23" x14ac:dyDescent="0.25">
      <c r="A1538" s="158">
        <v>1460</v>
      </c>
      <c r="B1538" s="136"/>
      <c r="C1538" s="452" t="s">
        <v>3692</v>
      </c>
      <c r="D1538" s="158">
        <v>1558</v>
      </c>
      <c r="E1538" s="482" t="s">
        <v>5576</v>
      </c>
      <c r="F1538" s="3" t="s">
        <v>402</v>
      </c>
      <c r="G1538" s="536" t="s">
        <v>3704</v>
      </c>
      <c r="H1538" s="589" t="s">
        <v>47</v>
      </c>
      <c r="I1538" s="156" t="str">
        <f t="shared" si="85"/>
        <v>2010</v>
      </c>
      <c r="J1538" s="156">
        <v>2010</v>
      </c>
      <c r="K1538" s="156"/>
      <c r="L1538" s="2" t="s">
        <v>426</v>
      </c>
      <c r="M1538" s="157" t="str">
        <f t="shared" si="87"/>
        <v>К08103077_2</v>
      </c>
      <c r="N1538" s="3" t="s">
        <v>348</v>
      </c>
      <c r="O1538" s="4" t="s">
        <v>403</v>
      </c>
      <c r="P1538" s="1"/>
      <c r="U1538" s="1"/>
      <c r="V1538" s="4"/>
      <c r="W1538" s="3"/>
    </row>
    <row r="1539" spans="1:23" x14ac:dyDescent="0.25">
      <c r="A1539" s="154">
        <v>1461</v>
      </c>
      <c r="B1539" s="1"/>
      <c r="C1539" s="452" t="s">
        <v>3692</v>
      </c>
      <c r="D1539" s="154">
        <v>1531</v>
      </c>
      <c r="E1539" s="581" t="s">
        <v>5636</v>
      </c>
      <c r="F1539" s="166" t="s">
        <v>364</v>
      </c>
      <c r="G1539" s="2">
        <v>2806625</v>
      </c>
      <c r="H1539" s="589" t="s">
        <v>5631</v>
      </c>
      <c r="I1539" s="156" t="str">
        <f t="shared" si="85"/>
        <v>2010</v>
      </c>
      <c r="J1539" s="156">
        <v>2010</v>
      </c>
      <c r="K1539" s="156"/>
      <c r="L1539" s="589" t="s">
        <v>5632</v>
      </c>
      <c r="M1539" s="157" t="str">
        <f t="shared" si="87"/>
        <v>КК08102846_3</v>
      </c>
      <c r="N1539" s="3" t="s">
        <v>348</v>
      </c>
      <c r="O1539" s="4" t="s">
        <v>349</v>
      </c>
      <c r="P1539" s="1"/>
      <c r="U1539" s="1"/>
      <c r="V1539" s="4"/>
      <c r="W1539" s="3"/>
    </row>
    <row r="1540" spans="1:23" x14ac:dyDescent="0.25">
      <c r="A1540" s="154">
        <v>1487</v>
      </c>
      <c r="B1540" s="1"/>
      <c r="C1540" s="452" t="s">
        <v>3692</v>
      </c>
      <c r="D1540" s="158">
        <v>1532</v>
      </c>
      <c r="E1540" s="581" t="s">
        <v>5636</v>
      </c>
      <c r="F1540" s="3" t="s">
        <v>364</v>
      </c>
      <c r="G1540" s="2">
        <v>2806627</v>
      </c>
      <c r="H1540" s="589" t="s">
        <v>5631</v>
      </c>
      <c r="I1540" s="156" t="str">
        <f t="shared" si="85"/>
        <v>2010</v>
      </c>
      <c r="J1540" s="156">
        <v>2010</v>
      </c>
      <c r="K1540" s="156"/>
      <c r="L1540" s="589" t="s">
        <v>5633</v>
      </c>
      <c r="M1540" s="157" t="str">
        <f t="shared" si="87"/>
        <v>КК08102847_3</v>
      </c>
      <c r="N1540" s="3" t="s">
        <v>348</v>
      </c>
      <c r="O1540" s="4" t="s">
        <v>349</v>
      </c>
      <c r="P1540" s="1"/>
      <c r="U1540" s="1"/>
      <c r="V1540" s="4"/>
      <c r="W1540" s="3"/>
    </row>
    <row r="1541" spans="1:23" x14ac:dyDescent="0.25">
      <c r="A1541" s="154">
        <v>1483</v>
      </c>
      <c r="B1541" s="1"/>
      <c r="C1541" s="452" t="s">
        <v>3692</v>
      </c>
      <c r="D1541" s="154">
        <v>1545</v>
      </c>
      <c r="E1541" s="3" t="s">
        <v>380</v>
      </c>
      <c r="F1541" s="3" t="s">
        <v>424</v>
      </c>
      <c r="G1541" s="2" t="s">
        <v>425</v>
      </c>
      <c r="H1541" s="589" t="s">
        <v>47</v>
      </c>
      <c r="I1541" s="156" t="str">
        <f t="shared" si="85"/>
        <v>2010</v>
      </c>
      <c r="J1541" s="156">
        <v>2010</v>
      </c>
      <c r="K1541" s="156"/>
      <c r="L1541" s="589" t="s">
        <v>5646</v>
      </c>
      <c r="M1541" s="157" t="str">
        <f t="shared" si="87"/>
        <v>КК08102779_2</v>
      </c>
      <c r="N1541" s="3" t="s">
        <v>348</v>
      </c>
      <c r="O1541" s="4" t="s">
        <v>403</v>
      </c>
      <c r="P1541" s="1"/>
      <c r="U1541" s="1"/>
      <c r="V1541" s="4"/>
    </row>
    <row r="1542" spans="1:23" x14ac:dyDescent="0.25">
      <c r="A1542" s="154">
        <v>1377</v>
      </c>
      <c r="B1542" s="1"/>
      <c r="C1542" s="452" t="s">
        <v>3034</v>
      </c>
      <c r="D1542" s="158">
        <v>1550</v>
      </c>
      <c r="E1542" s="3" t="s">
        <v>24</v>
      </c>
      <c r="F1542" s="3" t="s">
        <v>104</v>
      </c>
      <c r="G1542" s="2" t="s">
        <v>392</v>
      </c>
      <c r="H1542" s="2" t="s">
        <v>283</v>
      </c>
      <c r="I1542" s="156" t="str">
        <f t="shared" ref="I1542:I1572" si="88">RIGHT(H1542,4)</f>
        <v>2011</v>
      </c>
      <c r="J1542" s="156"/>
      <c r="K1542" s="156"/>
      <c r="L1542" s="2"/>
      <c r="M1542" s="157" t="str">
        <f t="shared" si="87"/>
        <v>К</v>
      </c>
      <c r="N1542" s="3" t="s">
        <v>348</v>
      </c>
      <c r="O1542" s="4" t="s">
        <v>349</v>
      </c>
      <c r="P1542" s="1"/>
      <c r="U1542" s="1"/>
      <c r="V1542" s="4"/>
      <c r="W1542" s="3"/>
    </row>
    <row r="1543" spans="1:23" x14ac:dyDescent="0.25">
      <c r="A1543" s="154">
        <v>1459</v>
      </c>
      <c r="B1543" s="1"/>
      <c r="C1543" s="452" t="s">
        <v>3692</v>
      </c>
      <c r="D1543" s="158">
        <v>1557</v>
      </c>
      <c r="E1543" s="482" t="s">
        <v>5576</v>
      </c>
      <c r="F1543" s="3" t="s">
        <v>402</v>
      </c>
      <c r="G1543" s="536" t="s">
        <v>3703</v>
      </c>
      <c r="H1543" s="589" t="s">
        <v>5635</v>
      </c>
      <c r="I1543" s="156" t="str">
        <f t="shared" si="88"/>
        <v>2011</v>
      </c>
      <c r="J1543" s="156">
        <v>2011</v>
      </c>
      <c r="K1543" s="156"/>
      <c r="L1543" s="589" t="s">
        <v>5634</v>
      </c>
      <c r="M1543" s="157" t="str">
        <f t="shared" si="87"/>
        <v>КК08103077_2</v>
      </c>
      <c r="N1543" s="3" t="s">
        <v>348</v>
      </c>
      <c r="O1543" s="4" t="s">
        <v>349</v>
      </c>
      <c r="P1543" s="1"/>
      <c r="U1543" s="1"/>
      <c r="V1543" s="4"/>
      <c r="W1543" s="3"/>
    </row>
    <row r="1544" spans="1:23" x14ac:dyDescent="0.25">
      <c r="A1544" s="158">
        <v>1462</v>
      </c>
      <c r="B1544" s="1"/>
      <c r="C1544" s="452"/>
      <c r="D1544" s="158">
        <v>1522</v>
      </c>
      <c r="E1544" s="3" t="s">
        <v>404</v>
      </c>
      <c r="F1544" s="743" t="s">
        <v>405</v>
      </c>
      <c r="G1544" s="2" t="s">
        <v>406</v>
      </c>
      <c r="H1544" s="469" t="s">
        <v>159</v>
      </c>
      <c r="I1544" s="156" t="str">
        <f t="shared" si="88"/>
        <v>2012</v>
      </c>
      <c r="J1544" s="156">
        <v>2012</v>
      </c>
      <c r="K1544" s="156"/>
      <c r="L1544" s="2" t="s">
        <v>407</v>
      </c>
      <c r="M1544" s="157" t="str">
        <f t="shared" si="87"/>
        <v>К08104206</v>
      </c>
      <c r="N1544" s="3" t="s">
        <v>348</v>
      </c>
      <c r="O1544" s="4" t="s">
        <v>403</v>
      </c>
      <c r="P1544" s="1"/>
      <c r="U1544" s="1"/>
      <c r="V1544" s="4"/>
      <c r="W1544" s="3"/>
    </row>
    <row r="1545" spans="1:23" x14ac:dyDescent="0.25">
      <c r="A1545" s="158">
        <v>1474</v>
      </c>
      <c r="B1545" s="1"/>
      <c r="C1545" s="481" t="s">
        <v>3692</v>
      </c>
      <c r="D1545" s="158">
        <v>1530</v>
      </c>
      <c r="E1545" s="3" t="s">
        <v>415</v>
      </c>
      <c r="F1545" s="3" t="s">
        <v>416</v>
      </c>
      <c r="G1545" s="469" t="s">
        <v>400</v>
      </c>
      <c r="H1545" s="589" t="s">
        <v>159</v>
      </c>
      <c r="I1545" s="156" t="str">
        <f t="shared" si="88"/>
        <v>2012</v>
      </c>
      <c r="J1545" s="156">
        <v>2012</v>
      </c>
      <c r="K1545" s="156"/>
      <c r="L1545" s="469" t="s">
        <v>401</v>
      </c>
      <c r="M1545" s="157" t="str">
        <f t="shared" si="87"/>
        <v>К08102778</v>
      </c>
      <c r="N1545" s="3" t="s">
        <v>348</v>
      </c>
      <c r="O1545" s="4"/>
      <c r="P1545" s="1"/>
      <c r="U1545" s="1"/>
      <c r="V1545" s="4"/>
    </row>
    <row r="1546" spans="1:23" x14ac:dyDescent="0.25">
      <c r="A1546" s="154">
        <v>1475</v>
      </c>
      <c r="B1546" s="1"/>
      <c r="C1546" s="452"/>
      <c r="D1546" s="154">
        <v>1540</v>
      </c>
      <c r="E1546" s="3" t="s">
        <v>419</v>
      </c>
      <c r="F1546" s="482" t="s">
        <v>5558</v>
      </c>
      <c r="G1546" s="2" t="s">
        <v>420</v>
      </c>
      <c r="H1546" s="469" t="s">
        <v>159</v>
      </c>
      <c r="I1546" s="156" t="str">
        <f t="shared" si="88"/>
        <v>2012</v>
      </c>
      <c r="J1546" s="156">
        <v>2012</v>
      </c>
      <c r="K1546" s="156"/>
      <c r="L1546" s="2"/>
      <c r="M1546" s="157" t="str">
        <f t="shared" si="87"/>
        <v>К</v>
      </c>
      <c r="N1546" s="3" t="s">
        <v>348</v>
      </c>
      <c r="O1546" s="4" t="s">
        <v>403</v>
      </c>
      <c r="P1546" s="1"/>
      <c r="U1546" s="1"/>
      <c r="V1546" s="4"/>
    </row>
    <row r="1547" spans="1:23" x14ac:dyDescent="0.25">
      <c r="A1547" s="154">
        <v>1489</v>
      </c>
      <c r="B1547" s="1"/>
      <c r="C1547" s="1"/>
      <c r="D1547" s="158">
        <v>1553</v>
      </c>
      <c r="E1547" s="3" t="s">
        <v>395</v>
      </c>
      <c r="F1547" s="3" t="s">
        <v>399</v>
      </c>
      <c r="G1547" s="2" t="s">
        <v>400</v>
      </c>
      <c r="H1547" s="589" t="s">
        <v>159</v>
      </c>
      <c r="I1547" s="156" t="str">
        <f t="shared" si="88"/>
        <v>2012</v>
      </c>
      <c r="J1547" s="156">
        <v>2012</v>
      </c>
      <c r="K1547" s="156"/>
      <c r="L1547" s="2" t="s">
        <v>401</v>
      </c>
      <c r="M1547" s="157" t="str">
        <f t="shared" si="87"/>
        <v>К08102778</v>
      </c>
      <c r="N1547" s="3" t="s">
        <v>348</v>
      </c>
      <c r="O1547" s="4" t="s">
        <v>349</v>
      </c>
      <c r="P1547" s="1"/>
      <c r="U1547" s="1"/>
      <c r="V1547" s="4"/>
    </row>
    <row r="1548" spans="1:23" x14ac:dyDescent="0.25">
      <c r="A1548" s="158">
        <v>1490</v>
      </c>
      <c r="B1548" s="1"/>
      <c r="C1548" s="1"/>
      <c r="D1548" s="154">
        <v>1554</v>
      </c>
      <c r="E1548" s="3" t="s">
        <v>395</v>
      </c>
      <c r="F1548" s="3" t="s">
        <v>396</v>
      </c>
      <c r="G1548" s="2" t="s">
        <v>397</v>
      </c>
      <c r="H1548" s="589" t="s">
        <v>159</v>
      </c>
      <c r="I1548" s="156" t="str">
        <f t="shared" si="88"/>
        <v>2012</v>
      </c>
      <c r="J1548" s="156">
        <v>2012</v>
      </c>
      <c r="K1548" s="156"/>
      <c r="L1548" s="2" t="s">
        <v>398</v>
      </c>
      <c r="M1548" s="157" t="str">
        <f t="shared" si="87"/>
        <v>К08102787</v>
      </c>
      <c r="N1548" s="3" t="s">
        <v>348</v>
      </c>
      <c r="O1548" s="4" t="s">
        <v>349</v>
      </c>
      <c r="P1548" s="1"/>
      <c r="U1548" s="1"/>
      <c r="V1548" s="4"/>
    </row>
    <row r="1549" spans="1:23" x14ac:dyDescent="0.25">
      <c r="A1549" s="154">
        <v>1463</v>
      </c>
      <c r="B1549" s="1"/>
      <c r="C1549" s="452" t="s">
        <v>3692</v>
      </c>
      <c r="D1549" s="158">
        <v>1529</v>
      </c>
      <c r="E1549" s="3" t="s">
        <v>415</v>
      </c>
      <c r="F1549" s="3" t="s">
        <v>416</v>
      </c>
      <c r="G1549" s="2" t="s">
        <v>417</v>
      </c>
      <c r="H1549" s="589" t="s">
        <v>5644</v>
      </c>
      <c r="I1549" s="156" t="str">
        <f t="shared" si="88"/>
        <v>2012</v>
      </c>
      <c r="J1549" s="156">
        <v>2012</v>
      </c>
      <c r="K1549" s="156"/>
      <c r="L1549" s="2" t="s">
        <v>418</v>
      </c>
      <c r="M1549" s="157" t="str">
        <f t="shared" si="87"/>
        <v>К08104620</v>
      </c>
      <c r="N1549" s="3" t="s">
        <v>348</v>
      </c>
      <c r="O1549" s="4" t="s">
        <v>403</v>
      </c>
      <c r="P1549" s="1"/>
      <c r="U1549" s="1"/>
      <c r="V1549" s="4"/>
    </row>
    <row r="1550" spans="1:23" x14ac:dyDescent="0.25">
      <c r="A1550" s="154"/>
      <c r="B1550" s="1"/>
      <c r="C1550" s="452" t="s">
        <v>3692</v>
      </c>
      <c r="D1550" s="154">
        <v>1535</v>
      </c>
      <c r="E1550" s="581" t="s">
        <v>5636</v>
      </c>
      <c r="F1550" s="3" t="s">
        <v>367</v>
      </c>
      <c r="G1550" s="2">
        <v>2203698</v>
      </c>
      <c r="H1550" s="589" t="s">
        <v>159</v>
      </c>
      <c r="I1550" s="156" t="str">
        <f t="shared" si="88"/>
        <v>2012</v>
      </c>
      <c r="J1550" s="156">
        <v>2012</v>
      </c>
      <c r="K1550" s="156"/>
      <c r="L1550" s="2"/>
      <c r="M1550" s="157" t="str">
        <f t="shared" si="87"/>
        <v>К</v>
      </c>
      <c r="N1550" s="3" t="s">
        <v>348</v>
      </c>
      <c r="O1550" s="4" t="s">
        <v>349</v>
      </c>
      <c r="P1550" s="1"/>
      <c r="U1550" s="1"/>
      <c r="V1550" s="4"/>
    </row>
    <row r="1551" spans="1:23" x14ac:dyDescent="0.25">
      <c r="A1551" s="158">
        <v>1464</v>
      </c>
      <c r="B1551" s="1"/>
      <c r="C1551" s="452" t="s">
        <v>3692</v>
      </c>
      <c r="D1551" s="158">
        <v>1537</v>
      </c>
      <c r="E1551" s="581" t="s">
        <v>5637</v>
      </c>
      <c r="F1551" s="3" t="s">
        <v>362</v>
      </c>
      <c r="G1551" s="589" t="s">
        <v>5645</v>
      </c>
      <c r="H1551" s="589" t="s">
        <v>159</v>
      </c>
      <c r="I1551" s="156" t="str">
        <f t="shared" si="88"/>
        <v>2012</v>
      </c>
      <c r="J1551" s="156">
        <v>2012</v>
      </c>
      <c r="K1551" s="156"/>
      <c r="L1551" s="2"/>
      <c r="M1551" s="157" t="str">
        <f t="shared" si="87"/>
        <v>К</v>
      </c>
      <c r="N1551" s="3" t="s">
        <v>348</v>
      </c>
      <c r="O1551" s="4" t="s">
        <v>349</v>
      </c>
      <c r="P1551" s="1"/>
      <c r="U1551" s="1"/>
      <c r="V1551" s="4"/>
    </row>
    <row r="1552" spans="1:23" x14ac:dyDescent="0.25">
      <c r="A1552" s="154">
        <v>1465</v>
      </c>
      <c r="B1552" s="1"/>
      <c r="C1552" s="452" t="s">
        <v>3692</v>
      </c>
      <c r="D1552" s="158">
        <v>1544</v>
      </c>
      <c r="E1552" s="3" t="s">
        <v>380</v>
      </c>
      <c r="F1552" s="578" t="s">
        <v>424</v>
      </c>
      <c r="G1552" s="2" t="s">
        <v>381</v>
      </c>
      <c r="H1552" s="589" t="s">
        <v>159</v>
      </c>
      <c r="I1552" s="156" t="str">
        <f t="shared" si="88"/>
        <v>2012</v>
      </c>
      <c r="J1552" s="156">
        <v>2012</v>
      </c>
      <c r="K1552" s="156"/>
      <c r="L1552" s="2" t="s">
        <v>382</v>
      </c>
      <c r="M1552" s="157" t="str">
        <f t="shared" si="87"/>
        <v>К08108442</v>
      </c>
      <c r="N1552" s="3" t="s">
        <v>348</v>
      </c>
      <c r="O1552" s="4" t="s">
        <v>349</v>
      </c>
      <c r="P1552" s="1"/>
      <c r="U1552" s="1"/>
      <c r="V1552" s="4"/>
    </row>
    <row r="1553" spans="1:23" x14ac:dyDescent="0.25">
      <c r="A1553" s="158">
        <v>1466</v>
      </c>
      <c r="B1553" s="1"/>
      <c r="C1553" s="452" t="s">
        <v>3692</v>
      </c>
      <c r="D1553" s="154">
        <v>1559</v>
      </c>
      <c r="E1553" s="3" t="s">
        <v>437</v>
      </c>
      <c r="F1553" s="3" t="s">
        <v>438</v>
      </c>
      <c r="G1553" s="2" t="s">
        <v>439</v>
      </c>
      <c r="H1553" s="589" t="s">
        <v>159</v>
      </c>
      <c r="I1553" s="156" t="str">
        <f t="shared" si="88"/>
        <v>2012</v>
      </c>
      <c r="J1553" s="156">
        <v>2012</v>
      </c>
      <c r="K1553" s="156"/>
      <c r="L1553" s="2" t="s">
        <v>440</v>
      </c>
      <c r="M1553" s="157" t="str">
        <f t="shared" si="87"/>
        <v>К08104618</v>
      </c>
      <c r="N1553" s="3" t="s">
        <v>348</v>
      </c>
      <c r="O1553" s="4" t="s">
        <v>403</v>
      </c>
      <c r="P1553" s="1"/>
      <c r="U1553" s="1"/>
      <c r="V1553" s="4"/>
    </row>
    <row r="1554" spans="1:23" x14ac:dyDescent="0.25">
      <c r="A1554" s="154">
        <v>1467</v>
      </c>
      <c r="B1554" s="1"/>
      <c r="C1554" s="452" t="s">
        <v>3692</v>
      </c>
      <c r="D1554" s="154">
        <v>1538</v>
      </c>
      <c r="E1554" s="581" t="s">
        <v>5638</v>
      </c>
      <c r="F1554" s="581" t="s">
        <v>363</v>
      </c>
      <c r="G1554" s="2">
        <v>2102361</v>
      </c>
      <c r="H1554" s="589" t="s">
        <v>59</v>
      </c>
      <c r="I1554" s="156" t="str">
        <f t="shared" si="88"/>
        <v>2013</v>
      </c>
      <c r="J1554" s="156">
        <v>2013</v>
      </c>
      <c r="K1554" s="156"/>
      <c r="L1554" s="2"/>
      <c r="M1554" s="157" t="str">
        <f t="shared" si="87"/>
        <v>К</v>
      </c>
      <c r="N1554" s="3" t="s">
        <v>348</v>
      </c>
      <c r="O1554" s="4" t="s">
        <v>349</v>
      </c>
      <c r="P1554" s="1"/>
      <c r="U1554" s="1"/>
      <c r="V1554" s="4"/>
    </row>
    <row r="1555" spans="1:23" x14ac:dyDescent="0.25">
      <c r="A1555" s="158">
        <v>1468</v>
      </c>
      <c r="B1555" s="1"/>
      <c r="C1555" s="452" t="s">
        <v>3692</v>
      </c>
      <c r="D1555" s="154">
        <v>1533</v>
      </c>
      <c r="E1555" s="581" t="s">
        <v>5636</v>
      </c>
      <c r="F1555" s="3" t="s">
        <v>365</v>
      </c>
      <c r="G1555" s="2">
        <v>2317461</v>
      </c>
      <c r="H1555" s="589" t="s">
        <v>5643</v>
      </c>
      <c r="I1555" s="156" t="str">
        <f t="shared" si="88"/>
        <v>2016</v>
      </c>
      <c r="J1555" s="156">
        <v>2016</v>
      </c>
      <c r="K1555" s="156"/>
      <c r="L1555" s="589" t="s">
        <v>5642</v>
      </c>
      <c r="M1555" s="157" t="str">
        <f t="shared" si="87"/>
        <v>КК7360000163</v>
      </c>
      <c r="N1555" s="3" t="s">
        <v>348</v>
      </c>
      <c r="O1555" s="4" t="s">
        <v>349</v>
      </c>
      <c r="P1555" s="1"/>
      <c r="U1555" s="1"/>
      <c r="V1555" s="4"/>
    </row>
    <row r="1556" spans="1:23" x14ac:dyDescent="0.25">
      <c r="A1556" s="154">
        <v>1469</v>
      </c>
      <c r="B1556" s="1"/>
      <c r="C1556" s="452" t="s">
        <v>3692</v>
      </c>
      <c r="D1556" s="158">
        <v>1536</v>
      </c>
      <c r="E1556" s="581" t="s">
        <v>5637</v>
      </c>
      <c r="F1556" s="3" t="s">
        <v>361</v>
      </c>
      <c r="G1556" s="2">
        <v>2300237</v>
      </c>
      <c r="H1556" s="589" t="s">
        <v>615</v>
      </c>
      <c r="I1556" s="156" t="str">
        <f t="shared" si="88"/>
        <v>2016</v>
      </c>
      <c r="J1556" s="156">
        <v>2016</v>
      </c>
      <c r="K1556" s="156"/>
      <c r="L1556" s="2"/>
      <c r="M1556" s="157" t="str">
        <f t="shared" si="87"/>
        <v>К</v>
      </c>
      <c r="N1556" s="3" t="s">
        <v>348</v>
      </c>
      <c r="O1556" s="4" t="s">
        <v>349</v>
      </c>
      <c r="P1556" s="1"/>
      <c r="U1556" s="1"/>
      <c r="V1556" s="4"/>
    </row>
    <row r="1557" spans="1:23" x14ac:dyDescent="0.25">
      <c r="A1557" s="158">
        <v>1470</v>
      </c>
      <c r="B1557" s="1"/>
      <c r="C1557" s="452" t="s">
        <v>3692</v>
      </c>
      <c r="D1557" s="154">
        <v>1524</v>
      </c>
      <c r="E1557" s="3" t="s">
        <v>359</v>
      </c>
      <c r="F1557" s="3" t="s">
        <v>360</v>
      </c>
      <c r="G1557" s="2">
        <v>2443414</v>
      </c>
      <c r="H1557" s="589" t="s">
        <v>5629</v>
      </c>
      <c r="I1557" s="156" t="str">
        <f t="shared" si="88"/>
        <v>2018</v>
      </c>
      <c r="J1557" s="156">
        <v>2018</v>
      </c>
      <c r="K1557" s="156"/>
      <c r="L1557" s="2"/>
      <c r="M1557" s="157" t="str">
        <f t="shared" si="87"/>
        <v>К</v>
      </c>
      <c r="N1557" s="3" t="s">
        <v>348</v>
      </c>
      <c r="O1557" s="4" t="s">
        <v>349</v>
      </c>
      <c r="P1557" s="1"/>
      <c r="U1557" s="1"/>
      <c r="V1557" s="4"/>
    </row>
    <row r="1558" spans="1:23" s="162" customFormat="1" x14ac:dyDescent="0.25">
      <c r="A1558" s="495"/>
      <c r="B1558" s="1"/>
      <c r="C1558" s="452"/>
      <c r="D1558" s="154">
        <v>1534</v>
      </c>
      <c r="E1558" s="581" t="s">
        <v>5636</v>
      </c>
      <c r="F1558" s="3" t="s">
        <v>365</v>
      </c>
      <c r="G1558" s="589" t="s">
        <v>5639</v>
      </c>
      <c r="H1558" s="589" t="s">
        <v>5640</v>
      </c>
      <c r="I1558" s="156" t="str">
        <f t="shared" si="88"/>
        <v>2022</v>
      </c>
      <c r="J1558" s="156">
        <v>2022</v>
      </c>
      <c r="K1558" s="156"/>
      <c r="L1558" s="589" t="s">
        <v>5641</v>
      </c>
      <c r="M1558" s="157" t="str">
        <f t="shared" si="87"/>
        <v>К71012413780</v>
      </c>
      <c r="N1558" s="3" t="s">
        <v>348</v>
      </c>
      <c r="O1558" s="4" t="s">
        <v>349</v>
      </c>
      <c r="P1558" s="1"/>
      <c r="Q1558" s="1"/>
      <c r="R1558" s="3"/>
      <c r="S1558" s="1"/>
      <c r="U1558" s="167"/>
      <c r="V1558" s="168"/>
      <c r="W1558" s="168"/>
    </row>
    <row r="1559" spans="1:23" s="162" customFormat="1" x14ac:dyDescent="0.25">
      <c r="A1559" s="495">
        <v>1471</v>
      </c>
      <c r="B1559" s="1"/>
      <c r="C1559" s="452"/>
      <c r="D1559" s="158">
        <v>1516</v>
      </c>
      <c r="E1559" s="3" t="s">
        <v>345</v>
      </c>
      <c r="F1559" s="3" t="s">
        <v>346</v>
      </c>
      <c r="G1559" s="2" t="s">
        <v>347</v>
      </c>
      <c r="H1559" s="2"/>
      <c r="I1559" s="156" t="str">
        <f t="shared" si="88"/>
        <v/>
      </c>
      <c r="J1559" s="156"/>
      <c r="K1559" s="156"/>
      <c r="L1559" s="2"/>
      <c r="M1559" s="157" t="str">
        <f t="shared" si="87"/>
        <v>К</v>
      </c>
      <c r="N1559" s="3" t="s">
        <v>348</v>
      </c>
      <c r="O1559" s="4" t="s">
        <v>349</v>
      </c>
      <c r="P1559" s="1"/>
      <c r="Q1559" s="1"/>
      <c r="R1559" s="3"/>
      <c r="S1559" s="1"/>
      <c r="U1559" s="167"/>
      <c r="V1559" s="168"/>
      <c r="W1559" s="168"/>
    </row>
    <row r="1560" spans="1:23" x14ac:dyDescent="0.25">
      <c r="A1560" s="158">
        <v>1472</v>
      </c>
      <c r="B1560" s="1"/>
      <c r="C1560" s="452" t="s">
        <v>3692</v>
      </c>
      <c r="D1560" s="154">
        <v>1517</v>
      </c>
      <c r="E1560" s="3" t="s">
        <v>352</v>
      </c>
      <c r="F1560" s="3" t="s">
        <v>353</v>
      </c>
      <c r="G1560" s="2" t="s">
        <v>354</v>
      </c>
      <c r="H1560" s="2"/>
      <c r="I1560" s="156" t="str">
        <f t="shared" si="88"/>
        <v/>
      </c>
      <c r="J1560" s="156"/>
      <c r="K1560" s="156"/>
      <c r="L1560" s="2"/>
      <c r="M1560" s="157" t="str">
        <f t="shared" si="87"/>
        <v>К</v>
      </c>
      <c r="N1560" s="3" t="s">
        <v>348</v>
      </c>
      <c r="O1560" s="4" t="s">
        <v>349</v>
      </c>
      <c r="P1560" s="1"/>
      <c r="U1560" s="1"/>
      <c r="V1560" s="4"/>
    </row>
    <row r="1561" spans="1:23" x14ac:dyDescent="0.25">
      <c r="A1561" s="158">
        <v>1378</v>
      </c>
      <c r="B1561" s="1"/>
      <c r="C1561" s="1"/>
      <c r="D1561" s="158">
        <v>1518</v>
      </c>
      <c r="E1561" s="3" t="s">
        <v>355</v>
      </c>
      <c r="F1561" s="3" t="s">
        <v>356</v>
      </c>
      <c r="G1561" s="2">
        <v>2725316</v>
      </c>
      <c r="H1561" s="2"/>
      <c r="I1561" s="156" t="str">
        <f t="shared" si="88"/>
        <v/>
      </c>
      <c r="J1561" s="156"/>
      <c r="K1561" s="156"/>
      <c r="L1561" s="2"/>
      <c r="M1561" s="157" t="str">
        <f t="shared" si="87"/>
        <v>К</v>
      </c>
      <c r="N1561" s="3" t="s">
        <v>348</v>
      </c>
      <c r="O1561" s="4" t="s">
        <v>349</v>
      </c>
      <c r="P1561" s="1"/>
      <c r="U1561" s="1"/>
      <c r="V1561" s="4"/>
    </row>
    <row r="1562" spans="1:23" x14ac:dyDescent="0.25">
      <c r="A1562" s="158">
        <v>1192</v>
      </c>
      <c r="B1562" s="167"/>
      <c r="C1562" s="167"/>
      <c r="D1562" s="495">
        <v>1519</v>
      </c>
      <c r="E1562" s="162" t="s">
        <v>355</v>
      </c>
      <c r="F1562" s="162" t="s">
        <v>356</v>
      </c>
      <c r="G1562" s="449">
        <v>21300072</v>
      </c>
      <c r="H1562" s="449"/>
      <c r="I1562" s="495" t="str">
        <f t="shared" si="88"/>
        <v/>
      </c>
      <c r="J1562" s="495"/>
      <c r="K1562" s="495"/>
      <c r="L1562" s="449"/>
      <c r="M1562" s="496" t="str">
        <f t="shared" si="87"/>
        <v>К</v>
      </c>
      <c r="N1562" s="162" t="s">
        <v>348</v>
      </c>
      <c r="O1562" s="168" t="s">
        <v>349</v>
      </c>
      <c r="P1562" s="167"/>
      <c r="Q1562" s="167"/>
      <c r="R1562" s="162"/>
      <c r="S1562" s="167"/>
      <c r="U1562" s="1"/>
      <c r="V1562" s="4"/>
      <c r="W1562" s="3"/>
    </row>
    <row r="1563" spans="1:23" x14ac:dyDescent="0.25">
      <c r="A1563" s="158">
        <v>1476</v>
      </c>
      <c r="B1563" s="167"/>
      <c r="C1563" s="167"/>
      <c r="D1563" s="495">
        <v>1520</v>
      </c>
      <c r="E1563" s="162" t="s">
        <v>355</v>
      </c>
      <c r="F1563" s="162" t="s">
        <v>356</v>
      </c>
      <c r="G1563" s="449" t="s">
        <v>3704</v>
      </c>
      <c r="H1563" s="449"/>
      <c r="I1563" s="495" t="str">
        <f t="shared" si="88"/>
        <v/>
      </c>
      <c r="J1563" s="495"/>
      <c r="K1563" s="495"/>
      <c r="L1563" s="449"/>
      <c r="M1563" s="496" t="str">
        <f t="shared" si="87"/>
        <v>К</v>
      </c>
      <c r="N1563" s="162" t="s">
        <v>348</v>
      </c>
      <c r="O1563" s="168" t="s">
        <v>403</v>
      </c>
      <c r="P1563" s="167"/>
      <c r="Q1563" s="167"/>
      <c r="R1563" s="162"/>
      <c r="S1563" s="167"/>
      <c r="U1563" s="1"/>
      <c r="V1563" s="4"/>
      <c r="W1563" s="3"/>
    </row>
    <row r="1564" spans="1:23" x14ac:dyDescent="0.25">
      <c r="A1564" s="154">
        <v>1477</v>
      </c>
      <c r="B1564" s="1"/>
      <c r="C1564" s="1"/>
      <c r="D1564" s="154">
        <v>1521</v>
      </c>
      <c r="E1564" s="170" t="s">
        <v>3728</v>
      </c>
      <c r="F1564" s="535" t="s">
        <v>393</v>
      </c>
      <c r="G1564" s="2" t="s">
        <v>394</v>
      </c>
      <c r="H1564" s="2"/>
      <c r="I1564" s="156" t="str">
        <f t="shared" si="88"/>
        <v/>
      </c>
      <c r="J1564" s="156"/>
      <c r="K1564" s="156"/>
      <c r="L1564" s="2"/>
      <c r="M1564" s="157" t="str">
        <f t="shared" si="87"/>
        <v>К</v>
      </c>
      <c r="N1564" s="3" t="s">
        <v>348</v>
      </c>
      <c r="O1564" s="4" t="s">
        <v>349</v>
      </c>
      <c r="P1564" s="1"/>
      <c r="U1564" s="1"/>
      <c r="V1564" s="4"/>
      <c r="W1564" s="3"/>
    </row>
    <row r="1565" spans="1:23" x14ac:dyDescent="0.25">
      <c r="A1565" s="158">
        <v>1486</v>
      </c>
      <c r="B1565" s="1"/>
      <c r="C1565" s="1"/>
      <c r="D1565" s="158">
        <v>1525</v>
      </c>
      <c r="E1565" s="3" t="s">
        <v>3739</v>
      </c>
      <c r="F1565" s="3" t="s">
        <v>374</v>
      </c>
      <c r="G1565" s="2" t="s">
        <v>375</v>
      </c>
      <c r="H1565" s="2"/>
      <c r="I1565" s="156" t="str">
        <f t="shared" si="88"/>
        <v/>
      </c>
      <c r="J1565" s="156"/>
      <c r="K1565" s="156"/>
      <c r="L1565" s="2"/>
      <c r="M1565" s="157" t="str">
        <f t="shared" si="87"/>
        <v>К</v>
      </c>
      <c r="N1565" s="3" t="s">
        <v>348</v>
      </c>
      <c r="O1565" s="4" t="s">
        <v>349</v>
      </c>
      <c r="P1565" s="1"/>
      <c r="U1565" s="1"/>
      <c r="V1565" s="4"/>
    </row>
    <row r="1566" spans="1:23" x14ac:dyDescent="0.25">
      <c r="A1566" s="154">
        <v>1491</v>
      </c>
      <c r="B1566" s="1"/>
      <c r="C1566" s="1"/>
      <c r="D1566" s="154">
        <v>1526</v>
      </c>
      <c r="E1566" s="3" t="s">
        <v>3739</v>
      </c>
      <c r="F1566" s="3" t="s">
        <v>376</v>
      </c>
      <c r="G1566" s="2" t="s">
        <v>377</v>
      </c>
      <c r="H1566" s="2"/>
      <c r="I1566" s="156" t="str">
        <f t="shared" si="88"/>
        <v/>
      </c>
      <c r="J1566" s="156"/>
      <c r="K1566" s="156"/>
      <c r="L1566" s="2"/>
      <c r="M1566" s="157" t="str">
        <f t="shared" si="87"/>
        <v>К</v>
      </c>
      <c r="N1566" s="3" t="s">
        <v>348</v>
      </c>
      <c r="O1566" s="4" t="s">
        <v>349</v>
      </c>
      <c r="P1566" s="1"/>
      <c r="U1566" s="1"/>
      <c r="V1566" s="4"/>
      <c r="W1566" s="3"/>
    </row>
    <row r="1567" spans="1:23" x14ac:dyDescent="0.25">
      <c r="A1567" s="158">
        <v>1478</v>
      </c>
      <c r="B1567" s="1"/>
      <c r="C1567" s="1"/>
      <c r="D1567" s="154">
        <v>1528</v>
      </c>
      <c r="E1567" s="3" t="s">
        <v>412</v>
      </c>
      <c r="F1567" s="3" t="s">
        <v>413</v>
      </c>
      <c r="G1567" s="2" t="s">
        <v>414</v>
      </c>
      <c r="H1567" s="2"/>
      <c r="I1567" s="156" t="str">
        <f t="shared" si="88"/>
        <v/>
      </c>
      <c r="J1567" s="156"/>
      <c r="K1567" s="156"/>
      <c r="L1567" s="2"/>
      <c r="M1567" s="157" t="str">
        <f t="shared" si="87"/>
        <v>К</v>
      </c>
      <c r="N1567" s="3" t="s">
        <v>348</v>
      </c>
      <c r="O1567" s="4" t="s">
        <v>403</v>
      </c>
      <c r="P1567" s="1"/>
      <c r="U1567" s="1"/>
      <c r="V1567" s="4"/>
      <c r="W1567" s="3"/>
    </row>
    <row r="1568" spans="1:23" x14ac:dyDescent="0.25">
      <c r="A1568" s="154">
        <v>1479</v>
      </c>
      <c r="B1568" s="1"/>
      <c r="C1568" s="452" t="s">
        <v>3692</v>
      </c>
      <c r="D1568" s="158">
        <v>1539</v>
      </c>
      <c r="E1568" s="3" t="s">
        <v>368</v>
      </c>
      <c r="F1568" s="166" t="s">
        <v>369</v>
      </c>
      <c r="G1568" s="2">
        <v>2204867</v>
      </c>
      <c r="H1568" s="2"/>
      <c r="I1568" s="156" t="str">
        <f t="shared" si="88"/>
        <v/>
      </c>
      <c r="J1568" s="156"/>
      <c r="K1568" s="156"/>
      <c r="L1568" s="2"/>
      <c r="M1568" s="157" t="str">
        <f t="shared" si="87"/>
        <v>К</v>
      </c>
      <c r="N1568" s="3" t="s">
        <v>348</v>
      </c>
      <c r="O1568" s="4" t="s">
        <v>349</v>
      </c>
      <c r="P1568" s="1"/>
      <c r="U1568" s="1"/>
      <c r="V1568" s="4"/>
      <c r="W1568" s="3"/>
    </row>
    <row r="1569" spans="1:23" x14ac:dyDescent="0.25">
      <c r="A1569" s="158">
        <v>1480</v>
      </c>
      <c r="B1569" s="1"/>
      <c r="C1569" s="1"/>
      <c r="D1569" s="154">
        <v>1542</v>
      </c>
      <c r="E1569" s="3" t="s">
        <v>18</v>
      </c>
      <c r="F1569" s="3" t="s">
        <v>378</v>
      </c>
      <c r="G1569" s="2"/>
      <c r="H1569" s="2"/>
      <c r="I1569" s="156" t="str">
        <f t="shared" si="88"/>
        <v/>
      </c>
      <c r="J1569" s="156"/>
      <c r="K1569" s="156"/>
      <c r="L1569" s="2" t="s">
        <v>379</v>
      </c>
      <c r="M1569" s="157" t="str">
        <f t="shared" si="87"/>
        <v>К101162</v>
      </c>
      <c r="N1569" s="3" t="s">
        <v>348</v>
      </c>
      <c r="O1569" s="4" t="s">
        <v>349</v>
      </c>
      <c r="P1569" s="1"/>
      <c r="U1569" s="153" t="s">
        <v>3646</v>
      </c>
      <c r="V1569" s="4"/>
      <c r="W1569" s="3"/>
    </row>
    <row r="1570" spans="1:23" x14ac:dyDescent="0.25">
      <c r="A1570" s="154">
        <v>1481</v>
      </c>
      <c r="B1570" s="1"/>
      <c r="C1570" s="452"/>
      <c r="D1570" s="158">
        <v>1543</v>
      </c>
      <c r="E1570" s="3" t="s">
        <v>421</v>
      </c>
      <c r="F1570" s="3" t="s">
        <v>422</v>
      </c>
      <c r="G1570" s="2" t="s">
        <v>423</v>
      </c>
      <c r="H1570" s="2"/>
      <c r="I1570" s="156" t="str">
        <f t="shared" si="88"/>
        <v/>
      </c>
      <c r="J1570" s="156"/>
      <c r="K1570" s="156"/>
      <c r="L1570" s="2"/>
      <c r="M1570" s="157" t="str">
        <f t="shared" si="87"/>
        <v>К</v>
      </c>
      <c r="N1570" s="3" t="s">
        <v>348</v>
      </c>
      <c r="O1570" s="4" t="s">
        <v>403</v>
      </c>
      <c r="P1570" s="1"/>
      <c r="U1570" s="153" t="s">
        <v>3646</v>
      </c>
      <c r="V1570" s="4"/>
      <c r="W1570" s="3"/>
    </row>
    <row r="1571" spans="1:23" x14ac:dyDescent="0.25">
      <c r="A1571" s="158">
        <v>1482</v>
      </c>
      <c r="B1571" s="1"/>
      <c r="C1571" s="1"/>
      <c r="D1571" s="154">
        <v>1547</v>
      </c>
      <c r="E1571" s="3" t="s">
        <v>385</v>
      </c>
      <c r="F1571" s="3" t="s">
        <v>386</v>
      </c>
      <c r="G1571" s="2"/>
      <c r="H1571" s="2"/>
      <c r="I1571" s="156" t="str">
        <f t="shared" si="88"/>
        <v/>
      </c>
      <c r="J1571" s="156"/>
      <c r="K1571" s="156"/>
      <c r="L1571" s="2" t="s">
        <v>387</v>
      </c>
      <c r="M1571" s="157" t="str">
        <f t="shared" si="87"/>
        <v>К08104972</v>
      </c>
      <c r="N1571" s="3" t="s">
        <v>348</v>
      </c>
      <c r="O1571" s="4" t="s">
        <v>349</v>
      </c>
      <c r="P1571" s="1"/>
      <c r="U1571" s="153" t="s">
        <v>3646</v>
      </c>
      <c r="V1571" s="4"/>
    </row>
    <row r="1572" spans="1:23" x14ac:dyDescent="0.25">
      <c r="A1572" s="154">
        <v>1495</v>
      </c>
      <c r="B1572" s="1"/>
      <c r="C1572" s="1"/>
      <c r="D1572" s="154">
        <v>1556</v>
      </c>
      <c r="E1572" s="3" t="s">
        <v>434</v>
      </c>
      <c r="F1572" s="3"/>
      <c r="G1572" s="2" t="s">
        <v>435</v>
      </c>
      <c r="H1572" s="2"/>
      <c r="I1572" s="156" t="str">
        <f t="shared" si="88"/>
        <v/>
      </c>
      <c r="J1572" s="156"/>
      <c r="K1572" s="156"/>
      <c r="L1572" s="2" t="s">
        <v>436</v>
      </c>
      <c r="M1572" s="157" t="str">
        <f t="shared" si="87"/>
        <v>К03100799</v>
      </c>
      <c r="N1572" s="3" t="s">
        <v>348</v>
      </c>
      <c r="O1572" s="4" t="s">
        <v>403</v>
      </c>
      <c r="P1572" s="1"/>
      <c r="U1572" s="153" t="s">
        <v>3646</v>
      </c>
      <c r="V1572" s="4"/>
      <c r="W1572" s="3"/>
    </row>
    <row r="1573" spans="1:23" x14ac:dyDescent="0.25">
      <c r="A1573" s="158">
        <v>1496</v>
      </c>
      <c r="B1573" s="1"/>
      <c r="C1573" s="457"/>
      <c r="D1573" s="154"/>
      <c r="E1573" s="162" t="s">
        <v>24</v>
      </c>
      <c r="F1573" s="162" t="s">
        <v>25</v>
      </c>
      <c r="G1573" s="449" t="s">
        <v>3108</v>
      </c>
      <c r="H1573" s="449" t="s">
        <v>124</v>
      </c>
      <c r="I1573" s="495">
        <v>2018</v>
      </c>
      <c r="J1573" s="495"/>
      <c r="K1573" s="495"/>
      <c r="L1573" s="449">
        <v>71012400142</v>
      </c>
      <c r="M1573" s="157"/>
      <c r="N1573" s="161"/>
      <c r="O1573" s="4"/>
      <c r="P1573" s="1"/>
      <c r="U1573" s="153" t="s">
        <v>3646</v>
      </c>
      <c r="V1573" s="4"/>
      <c r="W1573" s="3"/>
    </row>
    <row r="1574" spans="1:23" x14ac:dyDescent="0.25">
      <c r="A1574" s="158">
        <v>1484</v>
      </c>
      <c r="B1574" s="456" t="s">
        <v>3552</v>
      </c>
      <c r="C1574" s="456"/>
      <c r="D1574" s="158">
        <v>250</v>
      </c>
      <c r="E1574" s="3" t="s">
        <v>2319</v>
      </c>
      <c r="F1574" s="3" t="s">
        <v>54</v>
      </c>
      <c r="G1574" s="2" t="s">
        <v>1836</v>
      </c>
      <c r="H1574" s="171"/>
      <c r="I1574" s="156" t="str">
        <f t="shared" ref="I1574:I1580" si="89">RIGHT(H1574,4)</f>
        <v/>
      </c>
      <c r="J1574" s="156"/>
      <c r="K1574" s="156"/>
      <c r="L1574" s="2"/>
      <c r="M1574" s="157" t="str">
        <f t="shared" ref="M1574:M1579" si="90">CONCATENATE("К",L1574)</f>
        <v>К</v>
      </c>
      <c r="N1574" s="482" t="s">
        <v>1186</v>
      </c>
      <c r="O1574" s="4" t="s">
        <v>706</v>
      </c>
      <c r="P1574" s="1"/>
      <c r="U1574" s="1"/>
      <c r="V1574" s="4"/>
      <c r="W1574" s="3"/>
    </row>
    <row r="1575" spans="1:23" x14ac:dyDescent="0.25">
      <c r="A1575" s="154">
        <v>1485</v>
      </c>
      <c r="B1575" s="456" t="s">
        <v>3552</v>
      </c>
      <c r="C1575" s="456"/>
      <c r="D1575" s="154">
        <v>251</v>
      </c>
      <c r="E1575" s="3" t="s">
        <v>2319</v>
      </c>
      <c r="F1575" s="3" t="s">
        <v>54</v>
      </c>
      <c r="G1575" s="2" t="s">
        <v>1837</v>
      </c>
      <c r="H1575" s="171"/>
      <c r="I1575" s="156" t="str">
        <f t="shared" si="89"/>
        <v/>
      </c>
      <c r="J1575" s="156"/>
      <c r="K1575" s="156"/>
      <c r="L1575" s="2"/>
      <c r="M1575" s="157" t="str">
        <f t="shared" si="90"/>
        <v>К</v>
      </c>
      <c r="N1575" s="482" t="s">
        <v>1186</v>
      </c>
      <c r="O1575" s="4" t="s">
        <v>706</v>
      </c>
      <c r="P1575" s="1"/>
      <c r="U1575" s="1"/>
      <c r="V1575" s="4"/>
      <c r="W1575" s="3"/>
    </row>
    <row r="1576" spans="1:23" x14ac:dyDescent="0.25">
      <c r="A1576" s="154">
        <v>1497</v>
      </c>
      <c r="B1576" s="456" t="s">
        <v>3552</v>
      </c>
      <c r="C1576" s="456"/>
      <c r="D1576" s="158">
        <v>252</v>
      </c>
      <c r="E1576" s="3" t="s">
        <v>2319</v>
      </c>
      <c r="F1576" s="3" t="s">
        <v>54</v>
      </c>
      <c r="G1576" s="2" t="s">
        <v>1838</v>
      </c>
      <c r="H1576" s="171"/>
      <c r="I1576" s="156" t="str">
        <f t="shared" si="89"/>
        <v/>
      </c>
      <c r="J1576" s="156"/>
      <c r="K1576" s="156"/>
      <c r="L1576" s="2"/>
      <c r="M1576" s="157" t="str">
        <f t="shared" si="90"/>
        <v>К</v>
      </c>
      <c r="N1576" s="482" t="s">
        <v>1186</v>
      </c>
      <c r="O1576" s="4" t="s">
        <v>706</v>
      </c>
      <c r="P1576" s="1"/>
      <c r="U1576" s="1"/>
      <c r="V1576" s="4"/>
      <c r="W1576" s="3"/>
    </row>
    <row r="1577" spans="1:23" x14ac:dyDescent="0.25">
      <c r="A1577" s="158">
        <v>1498</v>
      </c>
      <c r="B1577" s="167"/>
      <c r="C1577" s="167"/>
      <c r="D1577" s="158">
        <v>1513</v>
      </c>
      <c r="E1577" s="162" t="s">
        <v>3678</v>
      </c>
      <c r="F1577" s="162" t="s">
        <v>1747</v>
      </c>
      <c r="G1577" s="449" t="s">
        <v>1765</v>
      </c>
      <c r="H1577" s="449" t="s">
        <v>1766</v>
      </c>
      <c r="I1577" s="156" t="str">
        <f t="shared" si="89"/>
        <v>2011</v>
      </c>
      <c r="J1577" s="156"/>
      <c r="K1577" s="156"/>
      <c r="L1577" s="2" t="s">
        <v>1767</v>
      </c>
      <c r="M1577" s="157" t="str">
        <f t="shared" si="90"/>
        <v>К08104054</v>
      </c>
      <c r="N1577" s="162" t="s">
        <v>1730</v>
      </c>
      <c r="O1577" s="4" t="s">
        <v>1760</v>
      </c>
      <c r="P1577" s="167"/>
      <c r="U1577" s="1"/>
      <c r="V1577" s="4"/>
      <c r="W1577" s="3"/>
    </row>
    <row r="1578" spans="1:23" x14ac:dyDescent="0.25">
      <c r="A1578" s="158">
        <v>1494</v>
      </c>
      <c r="B1578" s="1"/>
      <c r="C1578" s="1"/>
      <c r="D1578" s="158">
        <v>914</v>
      </c>
      <c r="E1578" s="3" t="s">
        <v>722</v>
      </c>
      <c r="F1578" s="3" t="s">
        <v>723</v>
      </c>
      <c r="G1578" s="2" t="s">
        <v>724</v>
      </c>
      <c r="H1578" s="2"/>
      <c r="I1578" s="156" t="str">
        <f t="shared" si="89"/>
        <v/>
      </c>
      <c r="J1578" s="156"/>
      <c r="K1578" s="156"/>
      <c r="L1578" s="2" t="s">
        <v>725</v>
      </c>
      <c r="M1578" s="157" t="str">
        <f t="shared" si="90"/>
        <v>К08103086_2</v>
      </c>
      <c r="N1578" s="482" t="s">
        <v>442</v>
      </c>
      <c r="O1578" s="4" t="s">
        <v>706</v>
      </c>
      <c r="P1578" s="1"/>
      <c r="U1578" s="1"/>
      <c r="V1578" s="4"/>
    </row>
    <row r="1579" spans="1:23" x14ac:dyDescent="0.25">
      <c r="A1579" s="154">
        <v>1499</v>
      </c>
      <c r="B1579" s="456" t="s">
        <v>3552</v>
      </c>
      <c r="C1579" s="456"/>
      <c r="D1579" s="158">
        <v>280</v>
      </c>
      <c r="E1579" s="3" t="s">
        <v>61</v>
      </c>
      <c r="F1579" s="3" t="s">
        <v>1779</v>
      </c>
      <c r="G1579" s="2" t="s">
        <v>1780</v>
      </c>
      <c r="H1579" s="171"/>
      <c r="I1579" s="156" t="str">
        <f t="shared" si="89"/>
        <v/>
      </c>
      <c r="J1579" s="156"/>
      <c r="K1579" s="156"/>
      <c r="L1579" s="2"/>
      <c r="M1579" s="157" t="str">
        <f t="shared" si="90"/>
        <v>К</v>
      </c>
      <c r="N1579" s="482" t="s">
        <v>1186</v>
      </c>
      <c r="O1579" s="4"/>
      <c r="P1579" s="1"/>
      <c r="U1579" s="1"/>
      <c r="V1579" s="4"/>
      <c r="W1579" s="3"/>
    </row>
    <row r="1580" spans="1:23" x14ac:dyDescent="0.25">
      <c r="A1580" s="158">
        <v>1500</v>
      </c>
      <c r="B1580" s="1"/>
      <c r="C1580" s="457"/>
      <c r="D1580" s="158"/>
      <c r="E1580" s="3" t="s">
        <v>24</v>
      </c>
      <c r="F1580" s="3" t="s">
        <v>37</v>
      </c>
      <c r="G1580" s="2"/>
      <c r="H1580" s="171"/>
      <c r="I1580" s="156" t="str">
        <f t="shared" si="89"/>
        <v/>
      </c>
      <c r="J1580" s="156"/>
      <c r="K1580" s="156"/>
      <c r="L1580" s="2"/>
      <c r="M1580" s="157"/>
      <c r="N1580" s="482" t="s">
        <v>1186</v>
      </c>
      <c r="O1580" s="4"/>
      <c r="P1580" s="1"/>
      <c r="U1580" s="1"/>
      <c r="V1580" s="4"/>
      <c r="W1580" s="3"/>
    </row>
    <row r="1581" spans="1:23" x14ac:dyDescent="0.25">
      <c r="B1581" s="1"/>
      <c r="C1581" s="1"/>
      <c r="D1581" s="537"/>
      <c r="E1581" s="3"/>
      <c r="F1581" s="3"/>
      <c r="G1581" s="2"/>
      <c r="H1581" s="171"/>
      <c r="I1581" s="173"/>
      <c r="J1581" s="173"/>
      <c r="K1581" s="173"/>
      <c r="L1581" s="2"/>
      <c r="M1581" s="157"/>
      <c r="N1581" s="3"/>
      <c r="O1581" s="4"/>
      <c r="P1581" s="1"/>
    </row>
    <row r="1582" spans="1:23" x14ac:dyDescent="0.25">
      <c r="B1582" s="1"/>
      <c r="C1582" s="1"/>
      <c r="D1582" s="537"/>
      <c r="E1582" s="3"/>
      <c r="F1582" s="3"/>
      <c r="G1582" s="2"/>
      <c r="H1582" s="171"/>
      <c r="I1582" s="173"/>
      <c r="J1582" s="173"/>
      <c r="K1582" s="173"/>
      <c r="L1582" s="2"/>
      <c r="M1582" s="157"/>
      <c r="N1582" s="3"/>
      <c r="O1582" s="4"/>
      <c r="P1582" s="1"/>
    </row>
    <row r="1583" spans="1:23" x14ac:dyDescent="0.25">
      <c r="B1583" s="1"/>
      <c r="C1583" s="1"/>
      <c r="D1583" s="537"/>
      <c r="E1583" s="3"/>
      <c r="F1583" s="3"/>
      <c r="G1583" s="2"/>
      <c r="H1583" s="171"/>
      <c r="I1583" s="173"/>
      <c r="J1583" s="173"/>
      <c r="K1583" s="173"/>
      <c r="L1583" s="2"/>
      <c r="M1583" s="157"/>
      <c r="N1583" s="3"/>
      <c r="O1583" s="4"/>
      <c r="P1583" s="1"/>
    </row>
    <row r="1584" spans="1:23" x14ac:dyDescent="0.25">
      <c r="B1584" s="1"/>
      <c r="C1584" s="1"/>
      <c r="D1584" s="537"/>
      <c r="E1584" s="3"/>
      <c r="F1584" s="3"/>
      <c r="G1584" s="2"/>
      <c r="H1584" s="171"/>
      <c r="I1584" s="173"/>
      <c r="J1584" s="173"/>
      <c r="K1584" s="173"/>
      <c r="L1584" s="2"/>
      <c r="M1584" s="157"/>
      <c r="N1584" s="3"/>
      <c r="O1584" s="4"/>
      <c r="P1584" s="1"/>
    </row>
    <row r="1585" spans="2:16" x14ac:dyDescent="0.25">
      <c r="B1585" s="1"/>
      <c r="C1585" s="1"/>
      <c r="D1585" s="537"/>
      <c r="E1585" s="3"/>
      <c r="F1585" s="3"/>
      <c r="G1585" s="3"/>
      <c r="H1585" s="3"/>
      <c r="I1585" s="1"/>
      <c r="J1585" s="1"/>
      <c r="K1585" s="3"/>
      <c r="L1585" s="3"/>
      <c r="M1585" s="3"/>
      <c r="N1585" s="3"/>
      <c r="O1585" s="4"/>
      <c r="P1585" s="1"/>
    </row>
    <row r="1586" spans="2:16" x14ac:dyDescent="0.25">
      <c r="B1586" s="1"/>
      <c r="C1586" s="1"/>
      <c r="D1586" s="537"/>
      <c r="E1586" s="3"/>
      <c r="F1586" s="3"/>
      <c r="G1586" s="3"/>
      <c r="H1586" s="3"/>
      <c r="I1586" s="1"/>
      <c r="J1586" s="1"/>
      <c r="K1586" s="3"/>
      <c r="L1586" s="3"/>
      <c r="M1586" s="3"/>
      <c r="N1586" s="3"/>
      <c r="O1586" s="4"/>
      <c r="P1586" s="1"/>
    </row>
    <row r="1587" spans="2:16" x14ac:dyDescent="0.25">
      <c r="B1587" s="1"/>
      <c r="C1587" s="1"/>
      <c r="D1587" s="537"/>
      <c r="E1587" s="3"/>
      <c r="F1587" s="3"/>
      <c r="G1587" s="3"/>
      <c r="H1587" s="3"/>
      <c r="I1587" s="1"/>
      <c r="J1587" s="1"/>
      <c r="K1587" s="3"/>
      <c r="L1587" s="3"/>
      <c r="M1587" s="3"/>
      <c r="N1587" s="3"/>
      <c r="O1587" s="4"/>
      <c r="P1587" s="1"/>
    </row>
    <row r="1588" spans="2:16" x14ac:dyDescent="0.25">
      <c r="B1588" s="1"/>
      <c r="C1588" s="1"/>
      <c r="D1588" s="537"/>
      <c r="E1588" s="3"/>
      <c r="F1588" s="3"/>
      <c r="G1588" s="3"/>
      <c r="H1588" s="3"/>
      <c r="I1588" s="1"/>
      <c r="J1588" s="1"/>
      <c r="K1588" s="3"/>
      <c r="L1588" s="3"/>
      <c r="M1588" s="3"/>
      <c r="N1588" s="3"/>
      <c r="O1588" s="4"/>
      <c r="P1588" s="1"/>
    </row>
    <row r="1589" spans="2:16" x14ac:dyDescent="0.25">
      <c r="B1589" s="1"/>
      <c r="C1589" s="1"/>
      <c r="D1589" s="537"/>
      <c r="E1589" s="3"/>
      <c r="F1589" s="3"/>
      <c r="G1589" s="3"/>
      <c r="H1589" s="3"/>
      <c r="I1589" s="1"/>
      <c r="J1589" s="1"/>
      <c r="K1589" s="3"/>
      <c r="L1589" s="3"/>
      <c r="M1589" s="3"/>
      <c r="N1589" s="3"/>
      <c r="O1589" s="4"/>
      <c r="P1589" s="1"/>
    </row>
    <row r="1590" spans="2:16" x14ac:dyDescent="0.25">
      <c r="B1590" s="1"/>
      <c r="C1590" s="1"/>
      <c r="D1590" s="537"/>
      <c r="E1590" s="3"/>
      <c r="F1590" s="3"/>
      <c r="G1590" s="3"/>
      <c r="H1590" s="3"/>
      <c r="I1590" s="1"/>
      <c r="J1590" s="1"/>
      <c r="K1590" s="3"/>
      <c r="L1590" s="3"/>
      <c r="M1590" s="3"/>
      <c r="N1590" s="3"/>
      <c r="O1590" s="4"/>
      <c r="P1590" s="1"/>
    </row>
    <row r="1591" spans="2:16" x14ac:dyDescent="0.25">
      <c r="B1591" s="1"/>
      <c r="C1591" s="1"/>
      <c r="D1591" s="537"/>
      <c r="E1591" s="3"/>
      <c r="F1591" s="3"/>
      <c r="G1591" s="3"/>
      <c r="H1591" s="3"/>
      <c r="I1591" s="1"/>
      <c r="J1591" s="1"/>
      <c r="K1591" s="3"/>
      <c r="L1591" s="3"/>
      <c r="M1591" s="3"/>
      <c r="N1591" s="3"/>
      <c r="O1591" s="4"/>
      <c r="P1591" s="1"/>
    </row>
    <row r="1592" spans="2:16" x14ac:dyDescent="0.25">
      <c r="B1592" s="1"/>
      <c r="C1592" s="1"/>
      <c r="D1592" s="537"/>
      <c r="E1592" s="3"/>
      <c r="F1592" s="3"/>
      <c r="G1592" s="3"/>
      <c r="H1592" s="3"/>
      <c r="I1592" s="1"/>
      <c r="J1592" s="1"/>
      <c r="K1592" s="3"/>
      <c r="L1592" s="3"/>
      <c r="M1592" s="3"/>
      <c r="N1592" s="3"/>
      <c r="O1592" s="4"/>
      <c r="P1592" s="1"/>
    </row>
    <row r="1593" spans="2:16" x14ac:dyDescent="0.25">
      <c r="B1593" s="1"/>
      <c r="C1593" s="1"/>
      <c r="D1593" s="537"/>
      <c r="E1593" s="3"/>
      <c r="F1593" s="3"/>
      <c r="G1593" s="3"/>
      <c r="H1593" s="3"/>
      <c r="I1593" s="1"/>
      <c r="J1593" s="1"/>
      <c r="K1593" s="3"/>
      <c r="L1593" s="3"/>
      <c r="M1593" s="3"/>
      <c r="N1593" s="3"/>
      <c r="O1593" s="4"/>
      <c r="P1593" s="1"/>
    </row>
    <row r="1594" spans="2:16" x14ac:dyDescent="0.25">
      <c r="B1594" s="1"/>
      <c r="C1594" s="1"/>
      <c r="D1594" s="537"/>
      <c r="E1594" s="3"/>
      <c r="F1594" s="3"/>
      <c r="G1594" s="3"/>
      <c r="H1594" s="3"/>
      <c r="I1594" s="1"/>
      <c r="J1594" s="1"/>
      <c r="K1594" s="3"/>
      <c r="L1594" s="3"/>
      <c r="M1594" s="3"/>
      <c r="N1594" s="3"/>
      <c r="O1594" s="4"/>
      <c r="P1594" s="1"/>
    </row>
    <row r="1595" spans="2:16" x14ac:dyDescent="0.25">
      <c r="B1595" s="1"/>
      <c r="C1595" s="1"/>
      <c r="D1595" s="537"/>
      <c r="E1595" s="3"/>
      <c r="F1595" s="3"/>
      <c r="G1595" s="3"/>
      <c r="H1595" s="3"/>
      <c r="I1595" s="1"/>
      <c r="J1595" s="1"/>
      <c r="K1595" s="3"/>
      <c r="L1595" s="3"/>
      <c r="M1595" s="3"/>
      <c r="N1595" s="3"/>
      <c r="O1595" s="4"/>
      <c r="P1595" s="1"/>
    </row>
    <row r="1596" spans="2:16" x14ac:dyDescent="0.25">
      <c r="B1596" s="1"/>
      <c r="C1596" s="1"/>
      <c r="D1596" s="537"/>
      <c r="E1596" s="3"/>
      <c r="F1596" s="3"/>
      <c r="G1596" s="2"/>
      <c r="H1596" s="171"/>
      <c r="I1596" s="173"/>
      <c r="J1596" s="173"/>
      <c r="K1596" s="173"/>
      <c r="L1596" s="2"/>
      <c r="M1596" s="157"/>
      <c r="N1596" s="3"/>
      <c r="O1596" s="4"/>
      <c r="P1596" s="1"/>
    </row>
    <row r="1597" spans="2:16" x14ac:dyDescent="0.25">
      <c r="B1597" s="1"/>
      <c r="C1597" s="1"/>
      <c r="D1597" s="537"/>
      <c r="E1597" s="3"/>
      <c r="F1597" s="3"/>
      <c r="G1597" s="2"/>
      <c r="H1597" s="171"/>
      <c r="I1597" s="173"/>
      <c r="J1597" s="173"/>
      <c r="K1597" s="173"/>
      <c r="L1597" s="2"/>
      <c r="M1597" s="157"/>
      <c r="N1597" s="3"/>
      <c r="O1597" s="4"/>
      <c r="P1597" s="1"/>
    </row>
    <row r="1598" spans="2:16" x14ac:dyDescent="0.25">
      <c r="B1598" s="676"/>
      <c r="C1598" s="677"/>
      <c r="D1598" s="678"/>
      <c r="E1598" s="624"/>
      <c r="F1598" s="624"/>
      <c r="G1598" s="625"/>
      <c r="H1598" s="679"/>
      <c r="I1598" s="627" t="str">
        <f>RIGHT(H1598,4)</f>
        <v/>
      </c>
      <c r="J1598" s="680"/>
      <c r="K1598" s="680"/>
      <c r="L1598" s="625"/>
      <c r="M1598" s="628"/>
      <c r="N1598" s="624"/>
      <c r="O1598" s="630"/>
      <c r="P1598" s="631"/>
    </row>
    <row r="1603" spans="9:9" x14ac:dyDescent="0.25">
      <c r="I1603" s="685"/>
    </row>
    <row r="1604" spans="9:9" x14ac:dyDescent="0.25">
      <c r="I1604" s="685"/>
    </row>
    <row r="1605" spans="9:9" x14ac:dyDescent="0.25">
      <c r="I1605" s="685"/>
    </row>
    <row r="1606" spans="9:9" x14ac:dyDescent="0.25">
      <c r="I1606" s="685"/>
    </row>
    <row r="1607" spans="9:9" x14ac:dyDescent="0.25">
      <c r="I1607" s="685"/>
    </row>
    <row r="1608" spans="9:9" x14ac:dyDescent="0.25">
      <c r="I1608" s="685"/>
    </row>
    <row r="1609" spans="9:9" x14ac:dyDescent="0.25">
      <c r="I1609" s="685"/>
    </row>
    <row r="1610" spans="9:9" x14ac:dyDescent="0.25">
      <c r="I1610" s="685"/>
    </row>
    <row r="1611" spans="9:9" x14ac:dyDescent="0.25">
      <c r="I1611" s="685"/>
    </row>
    <row r="1612" spans="9:9" x14ac:dyDescent="0.25">
      <c r="I1612" s="687"/>
    </row>
    <row r="1613" spans="9:9" x14ac:dyDescent="0.25">
      <c r="I1613" s="685"/>
    </row>
    <row r="1614" spans="9:9" x14ac:dyDescent="0.25">
      <c r="I1614" s="687"/>
    </row>
    <row r="1615" spans="9:9" x14ac:dyDescent="0.25">
      <c r="I1615" s="685"/>
    </row>
    <row r="1616" spans="9:9" x14ac:dyDescent="0.25">
      <c r="I1616" s="685"/>
    </row>
    <row r="1617" spans="9:9" x14ac:dyDescent="0.25">
      <c r="I1617" s="685"/>
    </row>
    <row r="1618" spans="9:9" x14ac:dyDescent="0.25">
      <c r="I1618" s="647"/>
    </row>
    <row r="1619" spans="9:9" x14ac:dyDescent="0.25">
      <c r="I1619" s="685"/>
    </row>
    <row r="1620" spans="9:9" x14ac:dyDescent="0.25">
      <c r="I1620" s="685"/>
    </row>
    <row r="1621" spans="9:9" x14ac:dyDescent="0.25">
      <c r="I1621" s="685"/>
    </row>
    <row r="1622" spans="9:9" x14ac:dyDescent="0.25">
      <c r="I1622" s="685"/>
    </row>
    <row r="1623" spans="9:9" x14ac:dyDescent="0.25">
      <c r="I1623" s="685"/>
    </row>
    <row r="1624" spans="9:9" x14ac:dyDescent="0.25">
      <c r="I1624" s="685"/>
    </row>
    <row r="1625" spans="9:9" x14ac:dyDescent="0.25">
      <c r="I1625" s="685"/>
    </row>
    <row r="1626" spans="9:9" x14ac:dyDescent="0.25">
      <c r="I1626" s="685"/>
    </row>
    <row r="1627" spans="9:9" x14ac:dyDescent="0.25">
      <c r="I1627" s="685"/>
    </row>
    <row r="1628" spans="9:9" x14ac:dyDescent="0.25">
      <c r="I1628" s="685"/>
    </row>
  </sheetData>
  <autoFilter ref="B1:S1597" xr:uid="{00000000-0009-0000-0000-000000000000}">
    <sortState xmlns:xlrd2="http://schemas.microsoft.com/office/spreadsheetml/2017/richdata2" ref="B287:S404">
      <sortCondition ref="J1:J1597"/>
    </sortState>
  </autoFilter>
  <sortState xmlns:xlrd2="http://schemas.microsoft.com/office/spreadsheetml/2017/richdata2" ref="A1:W1572">
    <sortCondition ref="D1:D1572"/>
  </sortState>
  <phoneticPr fontId="53" type="noConversion"/>
  <pageMargins left="0" right="0" top="0" bottom="0" header="0" footer="0"/>
  <pageSetup paperSize="9" scale="4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workbookViewId="0">
      <selection activeCell="C4" sqref="C4"/>
    </sheetView>
  </sheetViews>
  <sheetFormatPr defaultRowHeight="15" x14ac:dyDescent="0.25"/>
  <cols>
    <col min="1" max="1" width="5.42578125" customWidth="1"/>
    <col min="2" max="2" width="73.140625" customWidth="1"/>
    <col min="3" max="3" width="43.42578125" customWidth="1"/>
    <col min="4" max="4" width="24.7109375" customWidth="1"/>
    <col min="5" max="5" width="8.7109375" customWidth="1"/>
    <col min="6" max="6" width="24" customWidth="1"/>
    <col min="7" max="7" width="18.28515625" customWidth="1"/>
  </cols>
  <sheetData>
    <row r="1" spans="1:7" ht="30" x14ac:dyDescent="0.25">
      <c r="A1" s="154">
        <v>0</v>
      </c>
      <c r="B1" s="149" t="s">
        <v>2</v>
      </c>
      <c r="C1" s="149" t="s">
        <v>3</v>
      </c>
      <c r="D1" s="182" t="s">
        <v>4</v>
      </c>
      <c r="E1" s="150" t="s">
        <v>3648</v>
      </c>
      <c r="F1" s="149" t="s">
        <v>7</v>
      </c>
      <c r="G1" s="179" t="s">
        <v>8</v>
      </c>
    </row>
    <row r="2" spans="1:7" x14ac:dyDescent="0.25">
      <c r="A2" s="158">
        <v>1</v>
      </c>
      <c r="B2" s="159" t="s">
        <v>3721</v>
      </c>
      <c r="C2" s="160" t="s">
        <v>3720</v>
      </c>
      <c r="D2" s="155" t="s">
        <v>3705</v>
      </c>
      <c r="E2" s="453">
        <v>2010</v>
      </c>
      <c r="F2" s="138" t="s">
        <v>3557</v>
      </c>
      <c r="G2" s="180" t="s">
        <v>3558</v>
      </c>
    </row>
    <row r="3" spans="1:7" x14ac:dyDescent="0.25">
      <c r="A3" s="154">
        <v>2</v>
      </c>
      <c r="B3" s="159" t="s">
        <v>3719</v>
      </c>
      <c r="C3" s="160" t="s">
        <v>3706</v>
      </c>
      <c r="D3" s="155" t="s">
        <v>3707</v>
      </c>
      <c r="E3" s="454" t="s">
        <v>47</v>
      </c>
      <c r="F3" s="138" t="s">
        <v>3557</v>
      </c>
      <c r="G3" s="180" t="s">
        <v>116</v>
      </c>
    </row>
    <row r="4" spans="1:7" x14ac:dyDescent="0.25">
      <c r="A4" s="158">
        <v>3</v>
      </c>
      <c r="B4" s="159" t="s">
        <v>3719</v>
      </c>
      <c r="C4" s="160" t="s">
        <v>3722</v>
      </c>
      <c r="D4" s="155" t="s">
        <v>3708</v>
      </c>
      <c r="E4" s="454" t="s">
        <v>615</v>
      </c>
      <c r="F4" s="138" t="s">
        <v>3557</v>
      </c>
      <c r="G4" s="180" t="s">
        <v>116</v>
      </c>
    </row>
    <row r="5" spans="1:7" x14ac:dyDescent="0.25">
      <c r="A5" s="154">
        <v>4</v>
      </c>
      <c r="B5" s="159" t="s">
        <v>3719</v>
      </c>
      <c r="C5" s="160" t="s">
        <v>3723</v>
      </c>
      <c r="D5" s="155" t="s">
        <v>3709</v>
      </c>
      <c r="E5" s="454" t="s">
        <v>615</v>
      </c>
      <c r="F5" s="138" t="s">
        <v>3557</v>
      </c>
      <c r="G5" s="180" t="s">
        <v>116</v>
      </c>
    </row>
    <row r="6" spans="1:7" x14ac:dyDescent="0.25">
      <c r="A6" s="158">
        <v>5</v>
      </c>
      <c r="B6" s="159" t="s">
        <v>3719</v>
      </c>
      <c r="C6" s="160" t="s">
        <v>3723</v>
      </c>
      <c r="D6" s="155" t="s">
        <v>3710</v>
      </c>
      <c r="E6" s="454" t="s">
        <v>90</v>
      </c>
      <c r="F6" s="138" t="s">
        <v>3557</v>
      </c>
      <c r="G6" s="180" t="s">
        <v>116</v>
      </c>
    </row>
    <row r="7" spans="1:7" x14ac:dyDescent="0.25">
      <c r="A7" s="154">
        <v>6</v>
      </c>
      <c r="B7" s="159" t="s">
        <v>3719</v>
      </c>
      <c r="C7" s="138" t="s">
        <v>3711</v>
      </c>
      <c r="D7" s="155" t="s">
        <v>3712</v>
      </c>
      <c r="E7" s="454" t="s">
        <v>66</v>
      </c>
      <c r="F7" s="138" t="s">
        <v>3557</v>
      </c>
      <c r="G7" s="180" t="s">
        <v>116</v>
      </c>
    </row>
    <row r="8" spans="1:7" x14ac:dyDescent="0.25">
      <c r="A8" s="158">
        <v>7</v>
      </c>
      <c r="B8" s="159" t="s">
        <v>3719</v>
      </c>
      <c r="C8" s="138" t="s">
        <v>3711</v>
      </c>
      <c r="D8" s="155" t="s">
        <v>3713</v>
      </c>
      <c r="E8" s="454" t="s">
        <v>66</v>
      </c>
      <c r="F8" s="138" t="s">
        <v>3557</v>
      </c>
      <c r="G8" s="180" t="s">
        <v>116</v>
      </c>
    </row>
    <row r="9" spans="1:7" x14ac:dyDescent="0.25">
      <c r="A9" s="154">
        <v>8</v>
      </c>
      <c r="B9" s="159" t="s">
        <v>3719</v>
      </c>
      <c r="C9" s="138" t="s">
        <v>3711</v>
      </c>
      <c r="D9" s="155" t="s">
        <v>3714</v>
      </c>
      <c r="E9" s="454" t="s">
        <v>66</v>
      </c>
      <c r="F9" s="138" t="s">
        <v>3557</v>
      </c>
      <c r="G9" s="180" t="s">
        <v>116</v>
      </c>
    </row>
    <row r="10" spans="1:7" x14ac:dyDescent="0.25">
      <c r="A10" s="158">
        <v>9</v>
      </c>
      <c r="B10" s="159" t="s">
        <v>3719</v>
      </c>
      <c r="C10" s="170" t="s">
        <v>3715</v>
      </c>
      <c r="D10" s="155" t="s">
        <v>3716</v>
      </c>
      <c r="E10" s="454" t="s">
        <v>47</v>
      </c>
      <c r="F10" s="138" t="s">
        <v>3557</v>
      </c>
      <c r="G10" s="180" t="s">
        <v>116</v>
      </c>
    </row>
    <row r="11" spans="1:7" x14ac:dyDescent="0.25">
      <c r="A11" s="154">
        <v>10</v>
      </c>
      <c r="B11" s="159" t="s">
        <v>3719</v>
      </c>
      <c r="C11" s="170" t="s">
        <v>3724</v>
      </c>
      <c r="D11" s="155" t="s">
        <v>3717</v>
      </c>
      <c r="E11" s="454" t="s">
        <v>296</v>
      </c>
      <c r="F11" s="138" t="s">
        <v>3557</v>
      </c>
      <c r="G11" s="180" t="s">
        <v>116</v>
      </c>
    </row>
    <row r="12" spans="1:7" x14ac:dyDescent="0.25">
      <c r="A12" s="158">
        <v>11</v>
      </c>
      <c r="B12" s="159" t="s">
        <v>3719</v>
      </c>
      <c r="C12" s="160" t="s">
        <v>3724</v>
      </c>
      <c r="D12" s="155" t="s">
        <v>3718</v>
      </c>
      <c r="E12" s="454" t="s">
        <v>296</v>
      </c>
      <c r="F12" s="138" t="s">
        <v>3557</v>
      </c>
      <c r="G12" s="180" t="s">
        <v>116</v>
      </c>
    </row>
    <row r="13" spans="1:7" x14ac:dyDescent="0.25">
      <c r="A13" s="154">
        <v>12</v>
      </c>
      <c r="B13" s="159" t="s">
        <v>3719</v>
      </c>
      <c r="C13" s="160" t="s">
        <v>3724</v>
      </c>
      <c r="D13" s="178" t="s">
        <v>3753</v>
      </c>
      <c r="E13" s="454" t="s">
        <v>296</v>
      </c>
      <c r="F13" s="138" t="s">
        <v>3557</v>
      </c>
      <c r="G13" s="180" t="s">
        <v>116</v>
      </c>
    </row>
    <row r="14" spans="1:7" x14ac:dyDescent="0.25">
      <c r="A14" s="158">
        <v>13</v>
      </c>
      <c r="B14" s="3" t="s">
        <v>2320</v>
      </c>
      <c r="C14" s="43" t="s">
        <v>1879</v>
      </c>
      <c r="D14" s="2" t="s">
        <v>3252</v>
      </c>
      <c r="E14" s="156" t="s">
        <v>66</v>
      </c>
      <c r="F14" s="161" t="s">
        <v>3636</v>
      </c>
      <c r="G14" s="4" t="s">
        <v>1933</v>
      </c>
    </row>
    <row r="15" spans="1:7" x14ac:dyDescent="0.25">
      <c r="A15" s="154">
        <v>14</v>
      </c>
      <c r="B15" s="482" t="s">
        <v>5536</v>
      </c>
      <c r="C15" s="468" t="s">
        <v>5521</v>
      </c>
      <c r="D15" s="2" t="s">
        <v>5522</v>
      </c>
      <c r="E15" s="156" t="s">
        <v>90</v>
      </c>
      <c r="F15" s="161" t="s">
        <v>3637</v>
      </c>
      <c r="G15" s="483" t="s">
        <v>1925</v>
      </c>
    </row>
    <row r="16" spans="1:7" x14ac:dyDescent="0.25">
      <c r="A16" s="158">
        <v>15</v>
      </c>
      <c r="B16" s="482" t="s">
        <v>5536</v>
      </c>
      <c r="C16" s="468" t="s">
        <v>5521</v>
      </c>
      <c r="D16" s="2" t="s">
        <v>5523</v>
      </c>
      <c r="E16" s="156" t="s">
        <v>90</v>
      </c>
      <c r="F16" s="161" t="s">
        <v>3637</v>
      </c>
      <c r="G16" s="483" t="s">
        <v>1925</v>
      </c>
    </row>
    <row r="17" spans="1:7" x14ac:dyDescent="0.25">
      <c r="A17" s="154">
        <v>16</v>
      </c>
      <c r="B17" s="482" t="s">
        <v>5536</v>
      </c>
      <c r="C17" s="468" t="s">
        <v>5524</v>
      </c>
      <c r="D17" s="2" t="s">
        <v>5525</v>
      </c>
      <c r="E17" s="156" t="s">
        <v>969</v>
      </c>
      <c r="F17" s="161" t="s">
        <v>3637</v>
      </c>
      <c r="G17" s="483" t="s">
        <v>1925</v>
      </c>
    </row>
    <row r="18" spans="1:7" x14ac:dyDescent="0.25">
      <c r="A18" s="158">
        <v>17</v>
      </c>
      <c r="B18" s="482" t="s">
        <v>5536</v>
      </c>
      <c r="C18" s="468" t="s">
        <v>5526</v>
      </c>
      <c r="D18" s="2" t="s">
        <v>5527</v>
      </c>
      <c r="E18" s="156" t="s">
        <v>969</v>
      </c>
      <c r="F18" s="161" t="s">
        <v>3637</v>
      </c>
      <c r="G18" s="483" t="s">
        <v>5537</v>
      </c>
    </row>
    <row r="19" spans="1:7" x14ac:dyDescent="0.25">
      <c r="A19" s="154">
        <v>18</v>
      </c>
      <c r="B19" s="482" t="s">
        <v>5536</v>
      </c>
      <c r="C19" s="468" t="s">
        <v>5528</v>
      </c>
      <c r="D19" s="2" t="s">
        <v>5529</v>
      </c>
      <c r="E19" s="156" t="s">
        <v>66</v>
      </c>
      <c r="F19" s="161" t="s">
        <v>3637</v>
      </c>
      <c r="G19" s="483" t="s">
        <v>5537</v>
      </c>
    </row>
    <row r="20" spans="1:7" x14ac:dyDescent="0.25">
      <c r="A20" s="158">
        <v>19</v>
      </c>
      <c r="B20" s="482" t="s">
        <v>5536</v>
      </c>
      <c r="C20" s="468" t="s">
        <v>5530</v>
      </c>
      <c r="D20" s="2" t="s">
        <v>5531</v>
      </c>
      <c r="E20" s="156" t="s">
        <v>66</v>
      </c>
      <c r="F20" s="161" t="s">
        <v>3637</v>
      </c>
      <c r="G20" s="483" t="s">
        <v>5537</v>
      </c>
    </row>
    <row r="21" spans="1:7" x14ac:dyDescent="0.25">
      <c r="A21" s="154">
        <v>20</v>
      </c>
      <c r="B21" s="482" t="s">
        <v>5536</v>
      </c>
      <c r="C21" s="468" t="s">
        <v>5530</v>
      </c>
      <c r="D21" s="2" t="s">
        <v>5532</v>
      </c>
      <c r="E21" s="156" t="s">
        <v>66</v>
      </c>
      <c r="F21" s="161" t="s">
        <v>3637</v>
      </c>
      <c r="G21" s="483" t="s">
        <v>5537</v>
      </c>
    </row>
    <row r="22" spans="1:7" x14ac:dyDescent="0.25">
      <c r="A22" s="158">
        <v>21</v>
      </c>
      <c r="B22" s="482" t="s">
        <v>5536</v>
      </c>
      <c r="C22" s="468" t="s">
        <v>5524</v>
      </c>
      <c r="D22" s="2" t="s">
        <v>5533</v>
      </c>
      <c r="E22" s="156" t="s">
        <v>969</v>
      </c>
      <c r="F22" s="161" t="s">
        <v>3637</v>
      </c>
      <c r="G22" s="483" t="s">
        <v>5537</v>
      </c>
    </row>
    <row r="23" spans="1:7" x14ac:dyDescent="0.25">
      <c r="A23" s="154">
        <v>22</v>
      </c>
      <c r="B23" s="3" t="s">
        <v>2320</v>
      </c>
      <c r="C23" s="3" t="s">
        <v>1214</v>
      </c>
      <c r="D23" s="2" t="s">
        <v>1781</v>
      </c>
      <c r="E23" s="156" t="s">
        <v>66</v>
      </c>
      <c r="F23" s="482" t="s">
        <v>1186</v>
      </c>
      <c r="G23" s="4" t="s">
        <v>1076</v>
      </c>
    </row>
    <row r="24" spans="1:7" x14ac:dyDescent="0.25">
      <c r="A24" s="158">
        <v>23</v>
      </c>
      <c r="B24" s="3" t="s">
        <v>2320</v>
      </c>
      <c r="C24" s="3" t="s">
        <v>1214</v>
      </c>
      <c r="D24" s="2" t="s">
        <v>1810</v>
      </c>
      <c r="E24" s="156" t="s">
        <v>66</v>
      </c>
      <c r="F24" s="482" t="s">
        <v>1186</v>
      </c>
      <c r="G24" s="4" t="s">
        <v>706</v>
      </c>
    </row>
    <row r="25" spans="1:7" x14ac:dyDescent="0.25">
      <c r="A25" s="154">
        <v>24</v>
      </c>
      <c r="B25" s="3" t="s">
        <v>2320</v>
      </c>
      <c r="C25" s="170" t="s">
        <v>1214</v>
      </c>
      <c r="D25" s="2" t="s">
        <v>1939</v>
      </c>
      <c r="E25" s="156" t="s">
        <v>66</v>
      </c>
      <c r="F25" s="3" t="s">
        <v>1262</v>
      </c>
      <c r="G25" s="4" t="s">
        <v>1076</v>
      </c>
    </row>
    <row r="26" spans="1:7" x14ac:dyDescent="0.25">
      <c r="A26" s="158">
        <v>25</v>
      </c>
      <c r="B26" s="3" t="s">
        <v>2320</v>
      </c>
      <c r="C26" s="482" t="s">
        <v>5515</v>
      </c>
      <c r="D26" s="469" t="s">
        <v>5516</v>
      </c>
      <c r="E26" s="156" t="s">
        <v>66</v>
      </c>
      <c r="F26" s="3" t="s">
        <v>1262</v>
      </c>
      <c r="G26" s="483" t="s">
        <v>706</v>
      </c>
    </row>
    <row r="27" spans="1:7" x14ac:dyDescent="0.25">
      <c r="A27" s="154">
        <v>26</v>
      </c>
      <c r="B27" s="3" t="s">
        <v>2320</v>
      </c>
      <c r="C27" s="482" t="s">
        <v>5517</v>
      </c>
      <c r="D27" s="469" t="s">
        <v>5518</v>
      </c>
      <c r="E27" s="156" t="s">
        <v>66</v>
      </c>
      <c r="F27" s="3" t="s">
        <v>1262</v>
      </c>
      <c r="G27" s="483" t="s">
        <v>1263</v>
      </c>
    </row>
    <row r="28" spans="1:7" x14ac:dyDescent="0.25">
      <c r="A28" s="158">
        <v>27</v>
      </c>
      <c r="B28" s="482" t="s">
        <v>2320</v>
      </c>
      <c r="C28" s="43" t="s">
        <v>1214</v>
      </c>
      <c r="D28" s="2" t="s">
        <v>2138</v>
      </c>
      <c r="E28" s="3"/>
      <c r="F28" s="161" t="s">
        <v>3633</v>
      </c>
      <c r="G28" s="543" t="s">
        <v>2028</v>
      </c>
    </row>
    <row r="29" spans="1:7" x14ac:dyDescent="0.25">
      <c r="A29" s="154">
        <v>28</v>
      </c>
      <c r="B29" s="3" t="s">
        <v>2320</v>
      </c>
      <c r="C29" s="3" t="s">
        <v>1214</v>
      </c>
      <c r="D29" s="2" t="s">
        <v>2138</v>
      </c>
      <c r="E29" s="156" t="s">
        <v>66</v>
      </c>
      <c r="F29" s="161" t="s">
        <v>3633</v>
      </c>
      <c r="G29" s="4" t="s">
        <v>1773</v>
      </c>
    </row>
    <row r="30" spans="1:7" x14ac:dyDescent="0.25">
      <c r="A30" s="158">
        <v>29</v>
      </c>
      <c r="B30" s="482" t="s">
        <v>2320</v>
      </c>
      <c r="C30" s="43" t="s">
        <v>1214</v>
      </c>
      <c r="D30" s="2" t="s">
        <v>5540</v>
      </c>
      <c r="E30" s="3"/>
      <c r="F30" s="161" t="s">
        <v>3633</v>
      </c>
      <c r="G30" s="542" t="s">
        <v>1076</v>
      </c>
    </row>
    <row r="31" spans="1:7" x14ac:dyDescent="0.25">
      <c r="A31" s="154">
        <v>30</v>
      </c>
      <c r="B31" s="482" t="s">
        <v>2320</v>
      </c>
      <c r="C31" s="43" t="s">
        <v>1214</v>
      </c>
      <c r="D31" s="2" t="s">
        <v>5538</v>
      </c>
      <c r="E31" s="3"/>
      <c r="F31" s="161" t="s">
        <v>3633</v>
      </c>
      <c r="G31" s="542" t="s">
        <v>706</v>
      </c>
    </row>
    <row r="32" spans="1:7" x14ac:dyDescent="0.25">
      <c r="A32" s="158">
        <v>31</v>
      </c>
      <c r="B32" s="482" t="s">
        <v>2320</v>
      </c>
      <c r="C32" s="43" t="s">
        <v>1214</v>
      </c>
      <c r="D32" s="2" t="s">
        <v>5539</v>
      </c>
      <c r="E32" s="3"/>
      <c r="F32" s="161" t="s">
        <v>3633</v>
      </c>
      <c r="G32" s="542" t="s">
        <v>706</v>
      </c>
    </row>
    <row r="33" spans="1:7" x14ac:dyDescent="0.25">
      <c r="A33" s="154">
        <v>32</v>
      </c>
      <c r="B33" s="482" t="s">
        <v>2320</v>
      </c>
      <c r="C33" s="3" t="s">
        <v>5552</v>
      </c>
      <c r="D33" s="2" t="s">
        <v>5553</v>
      </c>
      <c r="E33" s="156" t="s">
        <v>969</v>
      </c>
      <c r="F33" s="3" t="s">
        <v>22</v>
      </c>
      <c r="G33" s="483" t="s">
        <v>4458</v>
      </c>
    </row>
    <row r="34" spans="1:7" x14ac:dyDescent="0.25">
      <c r="A34" s="158">
        <v>33</v>
      </c>
      <c r="B34" s="482" t="s">
        <v>2320</v>
      </c>
      <c r="C34" s="533" t="s">
        <v>5541</v>
      </c>
      <c r="D34" s="540" t="s">
        <v>5542</v>
      </c>
      <c r="E34" s="156" t="s">
        <v>51</v>
      </c>
      <c r="F34" s="482" t="s">
        <v>442</v>
      </c>
      <c r="G34" s="4" t="s">
        <v>567</v>
      </c>
    </row>
    <row r="35" spans="1:7" x14ac:dyDescent="0.25">
      <c r="A35" s="154">
        <v>34</v>
      </c>
      <c r="B35" s="482" t="s">
        <v>2320</v>
      </c>
      <c r="C35" s="533" t="s">
        <v>5528</v>
      </c>
      <c r="D35" s="540" t="s">
        <v>5543</v>
      </c>
      <c r="E35" s="156" t="s">
        <v>41</v>
      </c>
      <c r="F35" s="482" t="s">
        <v>442</v>
      </c>
      <c r="G35" s="4" t="s">
        <v>567</v>
      </c>
    </row>
    <row r="36" spans="1:7" x14ac:dyDescent="0.25">
      <c r="A36" s="158">
        <v>35</v>
      </c>
      <c r="B36" s="482" t="s">
        <v>2320</v>
      </c>
      <c r="C36" s="533" t="s">
        <v>5541</v>
      </c>
      <c r="D36" s="540" t="s">
        <v>5544</v>
      </c>
      <c r="E36" s="156" t="s">
        <v>51</v>
      </c>
      <c r="F36" s="482" t="s">
        <v>442</v>
      </c>
      <c r="G36" s="483" t="s">
        <v>4144</v>
      </c>
    </row>
    <row r="37" spans="1:7" x14ac:dyDescent="0.25">
      <c r="A37" s="154">
        <v>36</v>
      </c>
      <c r="B37" s="482" t="s">
        <v>2320</v>
      </c>
      <c r="C37" s="3" t="s">
        <v>5550</v>
      </c>
      <c r="D37" s="2" t="s">
        <v>5551</v>
      </c>
      <c r="E37" s="156"/>
      <c r="F37" s="3" t="s">
        <v>132</v>
      </c>
      <c r="G37" s="4" t="s">
        <v>179</v>
      </c>
    </row>
    <row r="38" spans="1:7" x14ac:dyDescent="0.25">
      <c r="A38" s="158">
        <v>37</v>
      </c>
      <c r="B38" s="3" t="s">
        <v>2320</v>
      </c>
      <c r="C38" s="3" t="s">
        <v>2224</v>
      </c>
      <c r="D38" s="2" t="s">
        <v>2223</v>
      </c>
      <c r="E38" s="156" t="s">
        <v>66</v>
      </c>
      <c r="F38" s="3" t="s">
        <v>2074</v>
      </c>
      <c r="G38" s="4" t="s">
        <v>2075</v>
      </c>
    </row>
    <row r="39" spans="1:7" x14ac:dyDescent="0.25">
      <c r="A39" s="154">
        <v>38</v>
      </c>
      <c r="B39" s="3" t="s">
        <v>2320</v>
      </c>
      <c r="C39" s="166" t="s">
        <v>2224</v>
      </c>
      <c r="D39" s="2" t="s">
        <v>2257</v>
      </c>
      <c r="E39" s="156" t="s">
        <v>66</v>
      </c>
      <c r="F39" s="3" t="s">
        <v>2074</v>
      </c>
      <c r="G39" s="4" t="s">
        <v>2078</v>
      </c>
    </row>
    <row r="40" spans="1:7" x14ac:dyDescent="0.25">
      <c r="A40" s="158">
        <v>39</v>
      </c>
      <c r="B40" s="3" t="s">
        <v>2320</v>
      </c>
      <c r="C40" s="3" t="s">
        <v>1879</v>
      </c>
      <c r="D40" s="2" t="s">
        <v>1880</v>
      </c>
      <c r="E40" s="156" t="s">
        <v>66</v>
      </c>
      <c r="F40" s="174" t="s">
        <v>3481</v>
      </c>
      <c r="G40" s="4" t="s">
        <v>1773</v>
      </c>
    </row>
    <row r="41" spans="1:7" x14ac:dyDescent="0.25">
      <c r="A41" s="154">
        <v>40</v>
      </c>
      <c r="B41" s="3" t="s">
        <v>2320</v>
      </c>
      <c r="C41" s="3" t="s">
        <v>1874</v>
      </c>
      <c r="D41" s="2" t="s">
        <v>1875</v>
      </c>
      <c r="E41" s="156" t="s">
        <v>79</v>
      </c>
      <c r="F41" s="174" t="s">
        <v>3481</v>
      </c>
      <c r="G41" s="4" t="s">
        <v>1877</v>
      </c>
    </row>
    <row r="42" spans="1:7" x14ac:dyDescent="0.25">
      <c r="A42" s="158">
        <v>41</v>
      </c>
      <c r="B42" s="3" t="s">
        <v>2320</v>
      </c>
      <c r="C42" s="3" t="s">
        <v>1141</v>
      </c>
      <c r="D42" s="2" t="s">
        <v>1142</v>
      </c>
      <c r="E42" s="156" t="s">
        <v>124</v>
      </c>
      <c r="F42" s="3" t="s">
        <v>1101</v>
      </c>
      <c r="G42" s="4" t="s">
        <v>1073</v>
      </c>
    </row>
    <row r="43" spans="1:7" x14ac:dyDescent="0.25">
      <c r="A43" s="154">
        <v>42</v>
      </c>
      <c r="B43" s="482" t="s">
        <v>2320</v>
      </c>
      <c r="C43" s="3" t="s">
        <v>1141</v>
      </c>
      <c r="D43" s="2" t="s">
        <v>1142</v>
      </c>
      <c r="E43" s="156" t="s">
        <v>124</v>
      </c>
      <c r="F43" s="3" t="s">
        <v>1101</v>
      </c>
      <c r="G43" s="483" t="s">
        <v>5175</v>
      </c>
    </row>
    <row r="44" spans="1:7" x14ac:dyDescent="0.25">
      <c r="A44" s="158">
        <v>43</v>
      </c>
      <c r="B44" s="3" t="s">
        <v>2320</v>
      </c>
      <c r="C44" s="3" t="s">
        <v>1214</v>
      </c>
      <c r="D44" s="2" t="s">
        <v>1215</v>
      </c>
      <c r="E44" s="156" t="s">
        <v>66</v>
      </c>
      <c r="F44" s="3" t="s">
        <v>1101</v>
      </c>
      <c r="G44" s="4" t="s">
        <v>1208</v>
      </c>
    </row>
    <row r="45" spans="1:7" x14ac:dyDescent="0.25">
      <c r="A45" s="154">
        <v>44</v>
      </c>
      <c r="B45" s="482" t="s">
        <v>2320</v>
      </c>
      <c r="C45" s="3" t="s">
        <v>1879</v>
      </c>
      <c r="D45" s="2" t="s">
        <v>5545</v>
      </c>
      <c r="E45" s="156" t="s">
        <v>124</v>
      </c>
      <c r="F45" s="3" t="s">
        <v>1101</v>
      </c>
      <c r="G45" s="483" t="s">
        <v>4458</v>
      </c>
    </row>
    <row r="46" spans="1:7" x14ac:dyDescent="0.25">
      <c r="A46" s="158">
        <v>45</v>
      </c>
      <c r="B46" s="482" t="s">
        <v>2320</v>
      </c>
      <c r="C46" s="3" t="s">
        <v>1214</v>
      </c>
      <c r="D46" s="2" t="s">
        <v>5546</v>
      </c>
      <c r="E46" s="156" t="s">
        <v>66</v>
      </c>
      <c r="F46" s="3" t="s">
        <v>1101</v>
      </c>
      <c r="G46" s="483" t="s">
        <v>4458</v>
      </c>
    </row>
    <row r="47" spans="1:7" x14ac:dyDescent="0.25">
      <c r="A47" s="154">
        <v>46</v>
      </c>
      <c r="B47" s="482" t="s">
        <v>2320</v>
      </c>
      <c r="C47" s="3" t="s">
        <v>5517</v>
      </c>
      <c r="D47" s="2" t="s">
        <v>5547</v>
      </c>
      <c r="E47" s="156"/>
      <c r="F47" s="3" t="s">
        <v>1004</v>
      </c>
      <c r="G47" s="181" t="s">
        <v>1076</v>
      </c>
    </row>
    <row r="48" spans="1:7" x14ac:dyDescent="0.25">
      <c r="A48" s="158">
        <v>47</v>
      </c>
      <c r="B48" s="482" t="s">
        <v>2320</v>
      </c>
      <c r="C48" s="3" t="s">
        <v>5517</v>
      </c>
      <c r="D48" s="2" t="s">
        <v>5548</v>
      </c>
      <c r="E48" s="156"/>
      <c r="F48" s="3" t="s">
        <v>1004</v>
      </c>
      <c r="G48" s="483" t="s">
        <v>5549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F8" sqref="F8"/>
    </sheetView>
  </sheetViews>
  <sheetFormatPr defaultRowHeight="15" x14ac:dyDescent="0.25"/>
  <cols>
    <col min="1" max="1" width="5.42578125" customWidth="1"/>
    <col min="2" max="2" width="73.140625" customWidth="1"/>
    <col min="3" max="3" width="43.42578125" customWidth="1"/>
    <col min="4" max="4" width="24.7109375" customWidth="1"/>
    <col min="5" max="5" width="8.7109375" customWidth="1"/>
    <col min="6" max="6" width="24" customWidth="1"/>
    <col min="7" max="7" width="18.28515625" customWidth="1"/>
  </cols>
  <sheetData>
    <row r="1" spans="1:7" ht="30" x14ac:dyDescent="0.25">
      <c r="A1" s="154">
        <v>0</v>
      </c>
      <c r="B1" s="149" t="s">
        <v>2</v>
      </c>
      <c r="C1" s="149" t="s">
        <v>3</v>
      </c>
      <c r="D1" s="182" t="s">
        <v>4</v>
      </c>
      <c r="E1" s="150" t="s">
        <v>3648</v>
      </c>
      <c r="F1" s="149" t="s">
        <v>7</v>
      </c>
      <c r="G1" s="179" t="s">
        <v>8</v>
      </c>
    </row>
    <row r="2" spans="1:7" x14ac:dyDescent="0.25">
      <c r="A2" s="158">
        <v>1</v>
      </c>
      <c r="B2" s="486" t="s">
        <v>3660</v>
      </c>
      <c r="C2" s="486" t="s">
        <v>3661</v>
      </c>
      <c r="D2" s="493" t="s">
        <v>3662</v>
      </c>
      <c r="E2" s="173">
        <v>2012</v>
      </c>
      <c r="F2" s="482" t="s">
        <v>1186</v>
      </c>
      <c r="G2" s="4" t="s">
        <v>515</v>
      </c>
    </row>
    <row r="3" spans="1:7" x14ac:dyDescent="0.25">
      <c r="A3" s="158">
        <v>2</v>
      </c>
      <c r="B3" s="485" t="s">
        <v>2331</v>
      </c>
      <c r="C3" s="468" t="s">
        <v>2367</v>
      </c>
      <c r="D3" s="2" t="s">
        <v>1965</v>
      </c>
      <c r="E3" s="156" t="s">
        <v>59</v>
      </c>
      <c r="F3" s="161" t="s">
        <v>3633</v>
      </c>
      <c r="G3" s="4" t="s">
        <v>1961</v>
      </c>
    </row>
    <row r="4" spans="1:7" x14ac:dyDescent="0.25">
      <c r="A4" s="158">
        <v>3</v>
      </c>
      <c r="B4" s="485" t="s">
        <v>2331</v>
      </c>
      <c r="C4" s="43" t="s">
        <v>3457</v>
      </c>
      <c r="D4" s="2" t="s">
        <v>3191</v>
      </c>
      <c r="E4" s="156" t="s">
        <v>283</v>
      </c>
      <c r="F4" s="161" t="s">
        <v>3633</v>
      </c>
      <c r="G4" s="4" t="s">
        <v>1961</v>
      </c>
    </row>
    <row r="5" spans="1:7" x14ac:dyDescent="0.25">
      <c r="A5" s="158">
        <v>4</v>
      </c>
      <c r="B5" s="3" t="s">
        <v>3097</v>
      </c>
      <c r="C5" s="43" t="s">
        <v>3442</v>
      </c>
      <c r="D5" s="2" t="s">
        <v>3098</v>
      </c>
      <c r="E5" s="156" t="s">
        <v>124</v>
      </c>
      <c r="F5" s="161" t="s">
        <v>3633</v>
      </c>
      <c r="G5" s="498" t="s">
        <v>1817</v>
      </c>
    </row>
    <row r="6" spans="1:7" x14ac:dyDescent="0.25">
      <c r="A6" s="158">
        <v>5</v>
      </c>
      <c r="B6" s="3" t="s">
        <v>3018</v>
      </c>
      <c r="C6" s="43" t="s">
        <v>3430</v>
      </c>
      <c r="D6" s="2" t="s">
        <v>3019</v>
      </c>
      <c r="E6" s="156" t="s">
        <v>124</v>
      </c>
      <c r="F6" s="161" t="s">
        <v>3633</v>
      </c>
      <c r="G6" s="4">
        <v>12</v>
      </c>
    </row>
    <row r="7" spans="1:7" x14ac:dyDescent="0.25">
      <c r="A7" s="158">
        <v>6</v>
      </c>
      <c r="B7" s="485" t="s">
        <v>3658</v>
      </c>
      <c r="C7" s="43" t="s">
        <v>3441</v>
      </c>
      <c r="D7" s="2" t="s">
        <v>3087</v>
      </c>
      <c r="E7" s="156" t="s">
        <v>159</v>
      </c>
      <c r="F7" s="161" t="s">
        <v>3633</v>
      </c>
      <c r="G7" s="4" t="s">
        <v>3082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A2" sqref="A2:A15"/>
    </sheetView>
  </sheetViews>
  <sheetFormatPr defaultRowHeight="15" x14ac:dyDescent="0.25"/>
  <cols>
    <col min="1" max="1" width="5.42578125" customWidth="1"/>
    <col min="2" max="2" width="73.140625" customWidth="1"/>
    <col min="3" max="3" width="16.42578125" bestFit="1" customWidth="1"/>
    <col min="4" max="4" width="24.7109375" customWidth="1"/>
    <col min="5" max="5" width="8.7109375" customWidth="1"/>
    <col min="6" max="6" width="24" customWidth="1"/>
    <col min="7" max="7" width="18.28515625" customWidth="1"/>
  </cols>
  <sheetData>
    <row r="1" spans="1:7" ht="30" x14ac:dyDescent="0.25">
      <c r="A1" s="154">
        <v>0</v>
      </c>
      <c r="B1" s="149" t="s">
        <v>2</v>
      </c>
      <c r="C1" s="149" t="s">
        <v>3</v>
      </c>
      <c r="D1" s="182" t="s">
        <v>4</v>
      </c>
      <c r="E1" s="150" t="s">
        <v>3648</v>
      </c>
      <c r="F1" s="149" t="s">
        <v>7</v>
      </c>
      <c r="G1" s="179" t="s">
        <v>8</v>
      </c>
    </row>
    <row r="2" spans="1:7" x14ac:dyDescent="0.25">
      <c r="A2" s="158">
        <v>1</v>
      </c>
      <c r="B2" s="137" t="s">
        <v>3575</v>
      </c>
      <c r="C2" s="3" t="s">
        <v>1505</v>
      </c>
      <c r="D2" s="2" t="s">
        <v>1506</v>
      </c>
      <c r="E2" s="156" t="s">
        <v>283</v>
      </c>
      <c r="F2" s="161" t="s">
        <v>3637</v>
      </c>
      <c r="G2" s="4" t="s">
        <v>1508</v>
      </c>
    </row>
    <row r="3" spans="1:7" x14ac:dyDescent="0.25">
      <c r="A3" s="158">
        <v>2</v>
      </c>
      <c r="B3" s="3" t="s">
        <v>1418</v>
      </c>
      <c r="C3" s="137" t="s">
        <v>3574</v>
      </c>
      <c r="D3" s="2" t="s">
        <v>1419</v>
      </c>
      <c r="E3" s="156" t="s">
        <v>66</v>
      </c>
      <c r="F3" s="161" t="s">
        <v>3637</v>
      </c>
      <c r="G3" s="4" t="s">
        <v>1422</v>
      </c>
    </row>
    <row r="4" spans="1:7" x14ac:dyDescent="0.25">
      <c r="A4" s="158">
        <v>3</v>
      </c>
      <c r="B4" s="3" t="s">
        <v>1426</v>
      </c>
      <c r="C4" s="3" t="s">
        <v>1427</v>
      </c>
      <c r="D4" s="2" t="s">
        <v>1428</v>
      </c>
      <c r="E4" s="156" t="s">
        <v>615</v>
      </c>
      <c r="F4" s="161" t="s">
        <v>3637</v>
      </c>
      <c r="G4" s="4" t="s">
        <v>1422</v>
      </c>
    </row>
    <row r="5" spans="1:7" x14ac:dyDescent="0.25">
      <c r="A5" s="158">
        <v>4</v>
      </c>
      <c r="B5" s="465" t="s">
        <v>1464</v>
      </c>
      <c r="C5" s="465" t="s">
        <v>2674</v>
      </c>
      <c r="D5" s="466" t="s">
        <v>2673</v>
      </c>
      <c r="E5" s="156" t="s">
        <v>66</v>
      </c>
      <c r="F5" s="161" t="s">
        <v>3637</v>
      </c>
      <c r="G5" s="467" t="s">
        <v>1468</v>
      </c>
    </row>
    <row r="6" spans="1:7" x14ac:dyDescent="0.25">
      <c r="A6" s="158">
        <v>5</v>
      </c>
      <c r="B6" s="3" t="s">
        <v>1485</v>
      </c>
      <c r="C6" s="3" t="s">
        <v>1486</v>
      </c>
      <c r="D6" s="2" t="s">
        <v>1487</v>
      </c>
      <c r="E6" s="156" t="s">
        <v>232</v>
      </c>
      <c r="F6" s="161" t="s">
        <v>3637</v>
      </c>
      <c r="G6" s="4" t="s">
        <v>1489</v>
      </c>
    </row>
    <row r="7" spans="1:7" ht="30" x14ac:dyDescent="0.25">
      <c r="A7" s="158">
        <v>6</v>
      </c>
      <c r="B7" s="138" t="s">
        <v>3551</v>
      </c>
      <c r="C7" s="3" t="s">
        <v>1641</v>
      </c>
      <c r="D7" s="155" t="s">
        <v>1642</v>
      </c>
      <c r="E7" s="156" t="s">
        <v>59</v>
      </c>
      <c r="F7" s="161" t="s">
        <v>3637</v>
      </c>
      <c r="G7" s="4" t="s">
        <v>1564</v>
      </c>
    </row>
    <row r="8" spans="1:7" x14ac:dyDescent="0.25">
      <c r="A8" s="158">
        <v>7</v>
      </c>
      <c r="B8" s="3" t="s">
        <v>1567</v>
      </c>
      <c r="C8" s="3" t="s">
        <v>1568</v>
      </c>
      <c r="D8" s="2" t="s">
        <v>1569</v>
      </c>
      <c r="E8" s="156" t="s">
        <v>159</v>
      </c>
      <c r="F8" s="161" t="s">
        <v>3637</v>
      </c>
      <c r="G8" s="4" t="s">
        <v>1564</v>
      </c>
    </row>
    <row r="9" spans="1:7" x14ac:dyDescent="0.25">
      <c r="A9" s="158">
        <v>8</v>
      </c>
      <c r="B9" s="3" t="s">
        <v>1572</v>
      </c>
      <c r="C9" s="3" t="s">
        <v>1573</v>
      </c>
      <c r="D9" s="2">
        <v>1176</v>
      </c>
      <c r="E9" s="156" t="s">
        <v>615</v>
      </c>
      <c r="F9" s="161" t="s">
        <v>3637</v>
      </c>
      <c r="G9" s="4" t="s">
        <v>1564</v>
      </c>
    </row>
    <row r="10" spans="1:7" x14ac:dyDescent="0.25">
      <c r="A10" s="158">
        <v>9</v>
      </c>
      <c r="B10" s="465" t="s">
        <v>1575</v>
      </c>
      <c r="C10" s="465" t="s">
        <v>1576</v>
      </c>
      <c r="D10" s="2" t="s">
        <v>1577</v>
      </c>
      <c r="E10" s="156" t="s">
        <v>124</v>
      </c>
      <c r="F10" s="161" t="s">
        <v>3637</v>
      </c>
      <c r="G10" s="4" t="s">
        <v>1564</v>
      </c>
    </row>
    <row r="11" spans="1:7" x14ac:dyDescent="0.25">
      <c r="A11" s="158">
        <v>10</v>
      </c>
      <c r="B11" s="170" t="s">
        <v>3763</v>
      </c>
      <c r="C11" s="3" t="s">
        <v>1709</v>
      </c>
      <c r="D11" s="155" t="s">
        <v>3547</v>
      </c>
      <c r="E11" s="156" t="s">
        <v>296</v>
      </c>
      <c r="F11" s="161" t="s">
        <v>3637</v>
      </c>
      <c r="G11" s="4" t="s">
        <v>1679</v>
      </c>
    </row>
    <row r="12" spans="1:7" x14ac:dyDescent="0.25">
      <c r="A12" s="158">
        <v>11</v>
      </c>
      <c r="B12" s="170" t="s">
        <v>3763</v>
      </c>
      <c r="C12" s="3" t="s">
        <v>1711</v>
      </c>
      <c r="D12" s="155" t="s">
        <v>3545</v>
      </c>
      <c r="E12" s="156" t="s">
        <v>225</v>
      </c>
      <c r="F12" s="161" t="s">
        <v>3637</v>
      </c>
      <c r="G12" s="4" t="s">
        <v>1679</v>
      </c>
    </row>
    <row r="13" spans="1:7" x14ac:dyDescent="0.25">
      <c r="A13" s="158">
        <v>12</v>
      </c>
      <c r="B13" s="137" t="s">
        <v>3573</v>
      </c>
      <c r="C13" s="3" t="s">
        <v>1473</v>
      </c>
      <c r="D13" s="2" t="s">
        <v>1474</v>
      </c>
      <c r="E13" s="156" t="s">
        <v>90</v>
      </c>
      <c r="F13" s="161" t="s">
        <v>3637</v>
      </c>
      <c r="G13" s="4" t="s">
        <v>1468</v>
      </c>
    </row>
    <row r="14" spans="1:7" x14ac:dyDescent="0.25">
      <c r="A14" s="158">
        <v>13</v>
      </c>
      <c r="B14" s="138" t="s">
        <v>3550</v>
      </c>
      <c r="C14" s="3" t="s">
        <v>1638</v>
      </c>
      <c r="D14" s="2" t="s">
        <v>1639</v>
      </c>
      <c r="E14" s="156" t="s">
        <v>90</v>
      </c>
      <c r="F14" s="161" t="s">
        <v>3637</v>
      </c>
      <c r="G14" s="4" t="s">
        <v>1564</v>
      </c>
    </row>
    <row r="15" spans="1:7" x14ac:dyDescent="0.25">
      <c r="A15" s="158">
        <v>14</v>
      </c>
      <c r="B15" s="3" t="s">
        <v>1430</v>
      </c>
      <c r="C15" s="3" t="s">
        <v>1431</v>
      </c>
      <c r="D15" s="464" t="s">
        <v>3634</v>
      </c>
      <c r="E15" s="156" t="s">
        <v>124</v>
      </c>
      <c r="F15" s="161" t="s">
        <v>3637</v>
      </c>
      <c r="G15" s="4" t="s">
        <v>1422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1"/>
  <sheetViews>
    <sheetView workbookViewId="0">
      <selection activeCell="F97" sqref="F97"/>
    </sheetView>
  </sheetViews>
  <sheetFormatPr defaultRowHeight="15" x14ac:dyDescent="0.25"/>
  <cols>
    <col min="1" max="1" width="5.42578125" customWidth="1"/>
    <col min="2" max="2" width="73.140625" customWidth="1"/>
    <col min="3" max="3" width="43.42578125" customWidth="1"/>
    <col min="4" max="4" width="24.7109375" customWidth="1"/>
    <col min="5" max="5" width="8.7109375" customWidth="1"/>
    <col min="6" max="6" width="24" customWidth="1"/>
    <col min="7" max="7" width="18.28515625" customWidth="1"/>
  </cols>
  <sheetData>
    <row r="1" spans="1:7" ht="30" x14ac:dyDescent="0.25">
      <c r="A1" s="154">
        <v>0</v>
      </c>
      <c r="B1" s="149" t="s">
        <v>2</v>
      </c>
      <c r="C1" s="149" t="s">
        <v>3</v>
      </c>
      <c r="D1" s="182" t="s">
        <v>4</v>
      </c>
      <c r="E1" s="150" t="s">
        <v>3648</v>
      </c>
      <c r="F1" s="149" t="s">
        <v>7</v>
      </c>
      <c r="G1" s="179" t="s">
        <v>8</v>
      </c>
    </row>
    <row r="2" spans="1:7" x14ac:dyDescent="0.25">
      <c r="A2" s="173">
        <v>1</v>
      </c>
      <c r="B2" s="3" t="s">
        <v>516</v>
      </c>
      <c r="C2" s="3" t="s">
        <v>544</v>
      </c>
      <c r="D2" s="556" t="s">
        <v>5587</v>
      </c>
      <c r="E2" s="156" t="s">
        <v>5584</v>
      </c>
      <c r="F2" s="559" t="s">
        <v>1186</v>
      </c>
      <c r="G2" s="4" t="s">
        <v>2831</v>
      </c>
    </row>
    <row r="3" spans="1:7" x14ac:dyDescent="0.25">
      <c r="A3" s="154">
        <v>2</v>
      </c>
      <c r="B3" s="3" t="s">
        <v>512</v>
      </c>
      <c r="C3" s="3" t="s">
        <v>514</v>
      </c>
      <c r="D3" s="545" t="s">
        <v>730</v>
      </c>
      <c r="E3" s="156" t="s">
        <v>79</v>
      </c>
      <c r="F3" s="482" t="s">
        <v>1186</v>
      </c>
      <c r="G3" s="483" t="s">
        <v>3767</v>
      </c>
    </row>
    <row r="4" spans="1:7" x14ac:dyDescent="0.25">
      <c r="A4" s="173">
        <v>3</v>
      </c>
      <c r="B4" s="3" t="s">
        <v>526</v>
      </c>
      <c r="C4" s="482" t="s">
        <v>3725</v>
      </c>
      <c r="D4" s="469" t="s">
        <v>5554</v>
      </c>
      <c r="E4" s="156" t="s">
        <v>159</v>
      </c>
      <c r="F4" s="170" t="s">
        <v>1186</v>
      </c>
      <c r="G4" s="4" t="s">
        <v>515</v>
      </c>
    </row>
    <row r="5" spans="1:7" x14ac:dyDescent="0.25">
      <c r="A5" s="154">
        <v>4</v>
      </c>
      <c r="B5" s="3" t="s">
        <v>370</v>
      </c>
      <c r="C5" s="3" t="s">
        <v>608</v>
      </c>
      <c r="D5" s="469" t="s">
        <v>5572</v>
      </c>
      <c r="E5" s="156" t="s">
        <v>47</v>
      </c>
      <c r="F5" s="482" t="s">
        <v>1186</v>
      </c>
      <c r="G5" s="4" t="s">
        <v>515</v>
      </c>
    </row>
    <row r="6" spans="1:7" x14ac:dyDescent="0.25">
      <c r="A6" s="173">
        <v>5</v>
      </c>
      <c r="B6" s="3" t="s">
        <v>444</v>
      </c>
      <c r="C6" s="170" t="s">
        <v>445</v>
      </c>
      <c r="D6" s="2" t="s">
        <v>672</v>
      </c>
      <c r="E6" s="156" t="s">
        <v>464</v>
      </c>
      <c r="F6" s="482" t="s">
        <v>1186</v>
      </c>
      <c r="G6" s="4" t="s">
        <v>515</v>
      </c>
    </row>
    <row r="7" spans="1:7" x14ac:dyDescent="0.25">
      <c r="A7" s="154">
        <v>6</v>
      </c>
      <c r="B7" s="440" t="s">
        <v>5561</v>
      </c>
      <c r="C7" s="440" t="s">
        <v>5560</v>
      </c>
      <c r="D7" s="548" t="s">
        <v>653</v>
      </c>
      <c r="E7" s="156" t="s">
        <v>159</v>
      </c>
      <c r="F7" s="448" t="s">
        <v>5506</v>
      </c>
      <c r="G7" s="172"/>
    </row>
    <row r="8" spans="1:7" x14ac:dyDescent="0.25">
      <c r="A8" s="173">
        <v>7</v>
      </c>
      <c r="B8" s="440" t="s">
        <v>5562</v>
      </c>
      <c r="C8" s="440" t="s">
        <v>5563</v>
      </c>
      <c r="D8" s="447" t="s">
        <v>4511</v>
      </c>
      <c r="E8" s="156" t="s">
        <v>159</v>
      </c>
      <c r="F8" s="448" t="s">
        <v>5506</v>
      </c>
      <c r="G8" s="172"/>
    </row>
    <row r="9" spans="1:7" x14ac:dyDescent="0.25">
      <c r="A9" s="154">
        <v>8</v>
      </c>
      <c r="B9" s="440" t="s">
        <v>5564</v>
      </c>
      <c r="C9" s="440" t="s">
        <v>5565</v>
      </c>
      <c r="D9" s="447">
        <v>593</v>
      </c>
      <c r="E9" s="156" t="s">
        <v>159</v>
      </c>
      <c r="F9" s="448" t="s">
        <v>5506</v>
      </c>
      <c r="G9" s="172"/>
    </row>
    <row r="10" spans="1:7" x14ac:dyDescent="0.25">
      <c r="A10" s="173">
        <v>9</v>
      </c>
      <c r="B10" s="440" t="s">
        <v>5577</v>
      </c>
      <c r="C10" s="440" t="s">
        <v>5566</v>
      </c>
      <c r="D10" s="447" t="s">
        <v>4539</v>
      </c>
      <c r="E10" s="156" t="s">
        <v>1042</v>
      </c>
      <c r="F10" s="448" t="s">
        <v>5506</v>
      </c>
      <c r="G10" s="172"/>
    </row>
    <row r="11" spans="1:7" x14ac:dyDescent="0.25">
      <c r="A11" s="154">
        <v>10</v>
      </c>
      <c r="B11" s="440" t="s">
        <v>5567</v>
      </c>
      <c r="C11" s="440" t="s">
        <v>5568</v>
      </c>
      <c r="D11" s="447" t="s">
        <v>4483</v>
      </c>
      <c r="E11" s="156" t="s">
        <v>47</v>
      </c>
      <c r="F11" s="448" t="s">
        <v>5506</v>
      </c>
      <c r="G11" s="172"/>
    </row>
    <row r="12" spans="1:7" x14ac:dyDescent="0.25">
      <c r="A12" s="173">
        <v>11</v>
      </c>
      <c r="B12" s="440" t="s">
        <v>5567</v>
      </c>
      <c r="C12" s="482" t="s">
        <v>5571</v>
      </c>
      <c r="D12" s="469" t="s">
        <v>653</v>
      </c>
      <c r="E12" s="156" t="s">
        <v>296</v>
      </c>
      <c r="F12" s="448" t="s">
        <v>5506</v>
      </c>
      <c r="G12" s="4"/>
    </row>
    <row r="13" spans="1:7" x14ac:dyDescent="0.25">
      <c r="A13" s="154">
        <v>12</v>
      </c>
      <c r="B13" s="440" t="s">
        <v>5567</v>
      </c>
      <c r="C13" s="482" t="s">
        <v>5573</v>
      </c>
      <c r="D13" s="469" t="s">
        <v>653</v>
      </c>
      <c r="E13" s="156" t="s">
        <v>296</v>
      </c>
      <c r="F13" s="448" t="s">
        <v>5506</v>
      </c>
      <c r="G13" s="4"/>
    </row>
    <row r="14" spans="1:7" x14ac:dyDescent="0.25">
      <c r="A14" s="173">
        <v>13</v>
      </c>
      <c r="B14" s="440" t="s">
        <v>5569</v>
      </c>
      <c r="C14" s="440" t="s">
        <v>5570</v>
      </c>
      <c r="D14" s="552">
        <v>30320</v>
      </c>
      <c r="E14" s="156" t="s">
        <v>159</v>
      </c>
      <c r="F14" s="448" t="s">
        <v>5506</v>
      </c>
      <c r="G14" s="172"/>
    </row>
    <row r="15" spans="1:7" x14ac:dyDescent="0.25">
      <c r="A15" s="154">
        <v>14</v>
      </c>
      <c r="B15" s="553" t="s">
        <v>5578</v>
      </c>
      <c r="C15" s="440"/>
      <c r="D15" s="553">
        <v>149313</v>
      </c>
      <c r="E15" s="156" t="s">
        <v>51</v>
      </c>
      <c r="F15" s="448" t="s">
        <v>5506</v>
      </c>
      <c r="G15" s="172"/>
    </row>
    <row r="16" spans="1:7" x14ac:dyDescent="0.25">
      <c r="A16" s="173">
        <v>15</v>
      </c>
      <c r="B16" s="553" t="s">
        <v>5579</v>
      </c>
      <c r="C16" s="440"/>
      <c r="D16" s="553">
        <v>20120</v>
      </c>
      <c r="E16" s="156" t="s">
        <v>59</v>
      </c>
      <c r="F16" s="448" t="s">
        <v>5506</v>
      </c>
      <c r="G16" s="172"/>
    </row>
    <row r="17" spans="1:7" x14ac:dyDescent="0.25">
      <c r="A17" s="154">
        <v>16</v>
      </c>
      <c r="B17" s="560" t="s">
        <v>5592</v>
      </c>
      <c r="C17" s="440" t="s">
        <v>5593</v>
      </c>
      <c r="D17" s="558" t="s">
        <v>5582</v>
      </c>
      <c r="E17" s="156" t="s">
        <v>59</v>
      </c>
      <c r="F17" s="448" t="s">
        <v>5506</v>
      </c>
      <c r="G17" s="172"/>
    </row>
    <row r="18" spans="1:7" x14ac:dyDescent="0.25">
      <c r="A18" s="173">
        <v>17</v>
      </c>
      <c r="B18" s="553" t="s">
        <v>5580</v>
      </c>
      <c r="C18" s="440"/>
      <c r="D18" s="553">
        <v>1732037</v>
      </c>
      <c r="E18" s="156" t="s">
        <v>124</v>
      </c>
      <c r="F18" s="448" t="s">
        <v>5506</v>
      </c>
      <c r="G18" s="172"/>
    </row>
    <row r="19" spans="1:7" x14ac:dyDescent="0.25">
      <c r="A19" s="154">
        <v>18</v>
      </c>
      <c r="B19" s="485" t="s">
        <v>2305</v>
      </c>
      <c r="C19" s="3" t="s">
        <v>778</v>
      </c>
      <c r="D19" s="2" t="s">
        <v>779</v>
      </c>
      <c r="E19" s="156" t="s">
        <v>159</v>
      </c>
      <c r="F19" s="3" t="s">
        <v>766</v>
      </c>
      <c r="G19" s="4" t="s">
        <v>767</v>
      </c>
    </row>
    <row r="20" spans="1:7" x14ac:dyDescent="0.25">
      <c r="A20" s="173">
        <v>19</v>
      </c>
      <c r="B20" s="3" t="s">
        <v>2112</v>
      </c>
      <c r="C20" s="43" t="s">
        <v>3436</v>
      </c>
      <c r="D20" s="2" t="s">
        <v>3054</v>
      </c>
      <c r="E20" s="156" t="s">
        <v>47</v>
      </c>
      <c r="F20" s="161" t="s">
        <v>3633</v>
      </c>
      <c r="G20" s="4" t="s">
        <v>1847</v>
      </c>
    </row>
    <row r="21" spans="1:7" x14ac:dyDescent="0.25">
      <c r="A21" s="154">
        <v>20</v>
      </c>
      <c r="B21" s="3" t="s">
        <v>2112</v>
      </c>
      <c r="C21" s="43" t="s">
        <v>3449</v>
      </c>
      <c r="D21" s="2" t="s">
        <v>3132</v>
      </c>
      <c r="E21" s="156" t="s">
        <v>124</v>
      </c>
      <c r="F21" s="161" t="s">
        <v>3633</v>
      </c>
      <c r="G21" s="4" t="s">
        <v>2635</v>
      </c>
    </row>
    <row r="22" spans="1:7" x14ac:dyDescent="0.25">
      <c r="A22" s="173">
        <v>21</v>
      </c>
      <c r="B22" s="3" t="s">
        <v>512</v>
      </c>
      <c r="C22" s="3" t="s">
        <v>350</v>
      </c>
      <c r="D22" s="2" t="s">
        <v>1983</v>
      </c>
      <c r="E22" s="156" t="s">
        <v>90</v>
      </c>
      <c r="F22" s="161" t="s">
        <v>3633</v>
      </c>
      <c r="G22" s="4" t="s">
        <v>1961</v>
      </c>
    </row>
    <row r="23" spans="1:7" x14ac:dyDescent="0.25">
      <c r="A23" s="154">
        <v>22</v>
      </c>
      <c r="B23" s="3" t="s">
        <v>370</v>
      </c>
      <c r="C23" s="3" t="s">
        <v>459</v>
      </c>
      <c r="D23" s="469" t="s">
        <v>4941</v>
      </c>
      <c r="E23" s="156" t="s">
        <v>79</v>
      </c>
      <c r="F23" s="161" t="s">
        <v>3633</v>
      </c>
      <c r="G23" s="4" t="s">
        <v>515</v>
      </c>
    </row>
    <row r="24" spans="1:7" x14ac:dyDescent="0.25">
      <c r="A24" s="173">
        <v>23</v>
      </c>
      <c r="B24" s="3" t="s">
        <v>444</v>
      </c>
      <c r="C24" s="459" t="s">
        <v>445</v>
      </c>
      <c r="D24" s="2" t="s">
        <v>3180</v>
      </c>
      <c r="E24" s="156" t="s">
        <v>464</v>
      </c>
      <c r="F24" s="161" t="s">
        <v>3633</v>
      </c>
      <c r="G24" s="4"/>
    </row>
    <row r="25" spans="1:7" x14ac:dyDescent="0.25">
      <c r="A25" s="154">
        <v>24</v>
      </c>
      <c r="B25" s="3" t="s">
        <v>444</v>
      </c>
      <c r="C25" s="459" t="s">
        <v>445</v>
      </c>
      <c r="D25" s="2" t="s">
        <v>3182</v>
      </c>
      <c r="E25" s="156" t="s">
        <v>90</v>
      </c>
      <c r="F25" s="161" t="s">
        <v>3633</v>
      </c>
      <c r="G25" s="4"/>
    </row>
    <row r="26" spans="1:7" x14ac:dyDescent="0.25">
      <c r="A26" s="173">
        <v>25</v>
      </c>
      <c r="B26" s="3" t="s">
        <v>2965</v>
      </c>
      <c r="C26" s="43" t="s">
        <v>648</v>
      </c>
      <c r="D26" s="2" t="s">
        <v>3186</v>
      </c>
      <c r="E26" s="156" t="s">
        <v>5588</v>
      </c>
      <c r="F26" s="161" t="s">
        <v>3633</v>
      </c>
      <c r="G26" s="181" t="s">
        <v>3767</v>
      </c>
    </row>
    <row r="27" spans="1:7" x14ac:dyDescent="0.25">
      <c r="A27" s="154">
        <v>26</v>
      </c>
      <c r="B27" s="459" t="s">
        <v>3472</v>
      </c>
      <c r="C27" s="459" t="s">
        <v>3438</v>
      </c>
      <c r="D27" s="2" t="s">
        <v>3068</v>
      </c>
      <c r="E27" s="156" t="s">
        <v>283</v>
      </c>
      <c r="F27" s="161" t="s">
        <v>3633</v>
      </c>
      <c r="G27" s="4" t="s">
        <v>1847</v>
      </c>
    </row>
    <row r="28" spans="1:7" x14ac:dyDescent="0.25">
      <c r="A28" s="173">
        <v>27</v>
      </c>
      <c r="B28" s="459" t="s">
        <v>3472</v>
      </c>
      <c r="C28" s="43" t="s">
        <v>3452</v>
      </c>
      <c r="D28" s="2"/>
      <c r="E28" s="156" t="s">
        <v>124</v>
      </c>
      <c r="F28" s="161" t="s">
        <v>3633</v>
      </c>
      <c r="G28" s="4" t="s">
        <v>2635</v>
      </c>
    </row>
    <row r="29" spans="1:7" x14ac:dyDescent="0.25">
      <c r="A29" s="154">
        <v>28</v>
      </c>
      <c r="B29" s="3" t="s">
        <v>3027</v>
      </c>
      <c r="C29" s="43" t="s">
        <v>3432</v>
      </c>
      <c r="D29" s="2" t="s">
        <v>3028</v>
      </c>
      <c r="E29" s="156" t="s">
        <v>124</v>
      </c>
      <c r="F29" s="161" t="s">
        <v>3633</v>
      </c>
      <c r="G29" s="4">
        <v>12</v>
      </c>
    </row>
    <row r="30" spans="1:7" x14ac:dyDescent="0.25">
      <c r="A30" s="173">
        <v>29</v>
      </c>
      <c r="B30" s="485" t="s">
        <v>2305</v>
      </c>
      <c r="C30" s="482" t="s">
        <v>266</v>
      </c>
      <c r="D30" s="469" t="s">
        <v>5559</v>
      </c>
      <c r="E30" s="156">
        <v>2018</v>
      </c>
      <c r="F30" s="3" t="s">
        <v>2110</v>
      </c>
      <c r="G30" s="4"/>
    </row>
    <row r="31" spans="1:7" x14ac:dyDescent="0.25">
      <c r="A31" s="154">
        <v>30</v>
      </c>
      <c r="B31" s="3" t="s">
        <v>325</v>
      </c>
      <c r="C31" s="43" t="s">
        <v>3388</v>
      </c>
      <c r="D31" s="2" t="s">
        <v>3351</v>
      </c>
      <c r="E31" s="156">
        <v>2018</v>
      </c>
      <c r="F31" s="3" t="s">
        <v>2110</v>
      </c>
      <c r="G31" s="4" t="s">
        <v>1895</v>
      </c>
    </row>
    <row r="32" spans="1:7" x14ac:dyDescent="0.25">
      <c r="A32" s="173">
        <v>31</v>
      </c>
      <c r="B32" s="3" t="s">
        <v>564</v>
      </c>
      <c r="C32" s="482" t="s">
        <v>5556</v>
      </c>
      <c r="D32" s="463" t="s">
        <v>565</v>
      </c>
      <c r="E32" s="156" t="s">
        <v>90</v>
      </c>
      <c r="F32" s="482" t="s">
        <v>442</v>
      </c>
      <c r="G32" s="4" t="s">
        <v>567</v>
      </c>
    </row>
    <row r="33" spans="1:7" x14ac:dyDescent="0.25">
      <c r="A33" s="154">
        <v>32</v>
      </c>
      <c r="B33" s="3" t="s">
        <v>564</v>
      </c>
      <c r="C33" s="170" t="s">
        <v>3760</v>
      </c>
      <c r="D33" s="463" t="s">
        <v>3782</v>
      </c>
      <c r="E33" s="156" t="s">
        <v>296</v>
      </c>
      <c r="F33" s="482" t="s">
        <v>442</v>
      </c>
      <c r="G33" s="4" t="s">
        <v>567</v>
      </c>
    </row>
    <row r="34" spans="1:7" x14ac:dyDescent="0.25">
      <c r="A34" s="173">
        <v>33</v>
      </c>
      <c r="B34" s="3" t="s">
        <v>564</v>
      </c>
      <c r="C34" s="170" t="s">
        <v>3760</v>
      </c>
      <c r="D34" s="547" t="s">
        <v>3762</v>
      </c>
      <c r="E34" s="156" t="s">
        <v>296</v>
      </c>
      <c r="F34" s="482" t="s">
        <v>442</v>
      </c>
      <c r="G34" s="4" t="s">
        <v>567</v>
      </c>
    </row>
    <row r="35" spans="1:7" x14ac:dyDescent="0.25">
      <c r="A35" s="154">
        <v>34</v>
      </c>
      <c r="B35" s="3" t="s">
        <v>564</v>
      </c>
      <c r="C35" s="3" t="s">
        <v>596</v>
      </c>
      <c r="D35" s="463" t="s">
        <v>568</v>
      </c>
      <c r="E35" s="156" t="s">
        <v>159</v>
      </c>
      <c r="F35" s="482" t="s">
        <v>442</v>
      </c>
      <c r="G35" s="4" t="s">
        <v>567</v>
      </c>
    </row>
    <row r="36" spans="1:7" x14ac:dyDescent="0.25">
      <c r="A36" s="173">
        <v>35</v>
      </c>
      <c r="B36" s="3" t="s">
        <v>564</v>
      </c>
      <c r="C36" s="482" t="s">
        <v>5557</v>
      </c>
      <c r="D36" s="463" t="s">
        <v>597</v>
      </c>
      <c r="E36" s="156" t="s">
        <v>159</v>
      </c>
      <c r="F36" s="482" t="s">
        <v>442</v>
      </c>
      <c r="G36" s="4" t="s">
        <v>599</v>
      </c>
    </row>
    <row r="37" spans="1:7" x14ac:dyDescent="0.25">
      <c r="A37" s="154">
        <v>36</v>
      </c>
      <c r="B37" s="3" t="s">
        <v>564</v>
      </c>
      <c r="C37" s="3" t="s">
        <v>596</v>
      </c>
      <c r="D37" s="463" t="s">
        <v>600</v>
      </c>
      <c r="E37" s="156" t="s">
        <v>283</v>
      </c>
      <c r="F37" s="482" t="s">
        <v>442</v>
      </c>
      <c r="G37" s="4" t="s">
        <v>599</v>
      </c>
    </row>
    <row r="38" spans="1:7" x14ac:dyDescent="0.25">
      <c r="A38" s="173">
        <v>37</v>
      </c>
      <c r="B38" s="3" t="s">
        <v>564</v>
      </c>
      <c r="C38" s="3" t="s">
        <v>596</v>
      </c>
      <c r="D38" s="463" t="s">
        <v>602</v>
      </c>
      <c r="E38" s="156" t="s">
        <v>90</v>
      </c>
      <c r="F38" s="482" t="s">
        <v>442</v>
      </c>
      <c r="G38" s="4" t="s">
        <v>599</v>
      </c>
    </row>
    <row r="39" spans="1:7" x14ac:dyDescent="0.25">
      <c r="A39" s="154">
        <v>38</v>
      </c>
      <c r="B39" s="3" t="s">
        <v>512</v>
      </c>
      <c r="C39" s="3" t="s">
        <v>350</v>
      </c>
      <c r="D39" s="546" t="s">
        <v>5555</v>
      </c>
      <c r="E39" s="156" t="s">
        <v>1329</v>
      </c>
      <c r="F39" s="482" t="s">
        <v>442</v>
      </c>
      <c r="G39" s="4" t="s">
        <v>349</v>
      </c>
    </row>
    <row r="40" spans="1:7" x14ac:dyDescent="0.25">
      <c r="A40" s="173">
        <v>39</v>
      </c>
      <c r="B40" s="3" t="s">
        <v>512</v>
      </c>
      <c r="C40" s="3" t="s">
        <v>513</v>
      </c>
      <c r="D40" s="463" t="s">
        <v>168</v>
      </c>
      <c r="E40" s="156" t="s">
        <v>47</v>
      </c>
      <c r="F40" s="482" t="s">
        <v>442</v>
      </c>
      <c r="G40" s="4" t="s">
        <v>149</v>
      </c>
    </row>
    <row r="41" spans="1:7" x14ac:dyDescent="0.25">
      <c r="A41" s="154">
        <v>40</v>
      </c>
      <c r="B41" s="3" t="s">
        <v>512</v>
      </c>
      <c r="C41" s="3" t="s">
        <v>514</v>
      </c>
      <c r="D41" s="463" t="s">
        <v>519</v>
      </c>
      <c r="E41" s="156" t="s">
        <v>79</v>
      </c>
      <c r="F41" s="482" t="s">
        <v>442</v>
      </c>
      <c r="G41" s="4" t="s">
        <v>515</v>
      </c>
    </row>
    <row r="42" spans="1:7" x14ac:dyDescent="0.25">
      <c r="A42" s="173">
        <v>41</v>
      </c>
      <c r="B42" s="3" t="s">
        <v>512</v>
      </c>
      <c r="C42" s="3" t="s">
        <v>514</v>
      </c>
      <c r="D42" s="463" t="s">
        <v>521</v>
      </c>
      <c r="E42" s="156" t="s">
        <v>90</v>
      </c>
      <c r="F42" s="482" t="s">
        <v>442</v>
      </c>
      <c r="G42" s="4" t="s">
        <v>515</v>
      </c>
    </row>
    <row r="43" spans="1:7" x14ac:dyDescent="0.25">
      <c r="A43" s="154">
        <v>42</v>
      </c>
      <c r="B43" s="3" t="s">
        <v>512</v>
      </c>
      <c r="C43" s="3" t="s">
        <v>514</v>
      </c>
      <c r="D43" s="463" t="s">
        <v>524</v>
      </c>
      <c r="E43" s="156" t="s">
        <v>51</v>
      </c>
      <c r="F43" s="482" t="s">
        <v>442</v>
      </c>
      <c r="G43" s="4" t="s">
        <v>515</v>
      </c>
    </row>
    <row r="44" spans="1:7" x14ac:dyDescent="0.25">
      <c r="A44" s="173">
        <v>43</v>
      </c>
      <c r="B44" s="3" t="s">
        <v>526</v>
      </c>
      <c r="C44" s="170" t="s">
        <v>3725</v>
      </c>
      <c r="D44" s="2" t="s">
        <v>527</v>
      </c>
      <c r="E44" s="156" t="s">
        <v>159</v>
      </c>
      <c r="F44" s="482" t="s">
        <v>442</v>
      </c>
      <c r="G44" s="4" t="s">
        <v>515</v>
      </c>
    </row>
    <row r="45" spans="1:7" x14ac:dyDescent="0.25">
      <c r="A45" s="154">
        <v>44</v>
      </c>
      <c r="B45" s="3" t="s">
        <v>370</v>
      </c>
      <c r="C45" s="3" t="s">
        <v>459</v>
      </c>
      <c r="D45" s="2" t="s">
        <v>371</v>
      </c>
      <c r="E45" s="156" t="s">
        <v>90</v>
      </c>
      <c r="F45" s="482" t="s">
        <v>442</v>
      </c>
      <c r="G45" s="4" t="s">
        <v>460</v>
      </c>
    </row>
    <row r="46" spans="1:7" x14ac:dyDescent="0.25">
      <c r="A46" s="173">
        <v>45</v>
      </c>
      <c r="B46" s="3" t="s">
        <v>370</v>
      </c>
      <c r="C46" s="3" t="s">
        <v>608</v>
      </c>
      <c r="D46" s="2" t="s">
        <v>529</v>
      </c>
      <c r="E46" s="156" t="s">
        <v>283</v>
      </c>
      <c r="F46" s="482" t="s">
        <v>442</v>
      </c>
      <c r="G46" s="4" t="s">
        <v>515</v>
      </c>
    </row>
    <row r="47" spans="1:7" x14ac:dyDescent="0.25">
      <c r="A47" s="154">
        <v>46</v>
      </c>
      <c r="B47" s="3" t="s">
        <v>370</v>
      </c>
      <c r="C47" s="3" t="s">
        <v>608</v>
      </c>
      <c r="D47" s="2" t="s">
        <v>609</v>
      </c>
      <c r="E47" s="156" t="s">
        <v>283</v>
      </c>
      <c r="F47" s="482" t="s">
        <v>442</v>
      </c>
      <c r="G47" s="4" t="s">
        <v>599</v>
      </c>
    </row>
    <row r="48" spans="1:7" x14ac:dyDescent="0.25">
      <c r="A48" s="173">
        <v>47</v>
      </c>
      <c r="B48" s="3" t="s">
        <v>531</v>
      </c>
      <c r="C48" s="3" t="s">
        <v>532</v>
      </c>
      <c r="D48" s="2" t="s">
        <v>533</v>
      </c>
      <c r="E48" s="156" t="s">
        <v>47</v>
      </c>
      <c r="F48" s="482" t="s">
        <v>442</v>
      </c>
      <c r="G48" s="4" t="s">
        <v>515</v>
      </c>
    </row>
    <row r="49" spans="1:7" x14ac:dyDescent="0.25">
      <c r="A49" s="154">
        <v>48</v>
      </c>
      <c r="B49" s="3" t="s">
        <v>531</v>
      </c>
      <c r="C49" s="3" t="s">
        <v>532</v>
      </c>
      <c r="D49" s="2" t="s">
        <v>536</v>
      </c>
      <c r="E49" s="156" t="s">
        <v>41</v>
      </c>
      <c r="F49" s="482" t="s">
        <v>442</v>
      </c>
      <c r="G49" s="4" t="s">
        <v>515</v>
      </c>
    </row>
    <row r="50" spans="1:7" x14ac:dyDescent="0.25">
      <c r="A50" s="173">
        <v>49</v>
      </c>
      <c r="B50" s="3" t="s">
        <v>531</v>
      </c>
      <c r="C50" s="3" t="s">
        <v>532</v>
      </c>
      <c r="D50" s="2" t="s">
        <v>535</v>
      </c>
      <c r="E50" s="156" t="s">
        <v>283</v>
      </c>
      <c r="F50" s="482" t="s">
        <v>442</v>
      </c>
      <c r="G50" s="4" t="s">
        <v>515</v>
      </c>
    </row>
    <row r="51" spans="1:7" x14ac:dyDescent="0.25">
      <c r="A51" s="154">
        <v>50</v>
      </c>
      <c r="B51" s="3" t="s">
        <v>531</v>
      </c>
      <c r="C51" s="3" t="s">
        <v>532</v>
      </c>
      <c r="D51" s="2" t="s">
        <v>739</v>
      </c>
      <c r="E51" s="156" t="s">
        <v>159</v>
      </c>
      <c r="F51" s="482" t="s">
        <v>442</v>
      </c>
      <c r="G51" s="4"/>
    </row>
    <row r="52" spans="1:7" x14ac:dyDescent="0.25">
      <c r="A52" s="173">
        <v>51</v>
      </c>
      <c r="B52" s="3" t="s">
        <v>531</v>
      </c>
      <c r="C52" s="3" t="s">
        <v>532</v>
      </c>
      <c r="D52" s="2" t="s">
        <v>742</v>
      </c>
      <c r="E52" s="156" t="s">
        <v>159</v>
      </c>
      <c r="F52" s="482" t="s">
        <v>442</v>
      </c>
      <c r="G52" s="4"/>
    </row>
    <row r="53" spans="1:7" x14ac:dyDescent="0.25">
      <c r="A53" s="154">
        <v>52</v>
      </c>
      <c r="B53" s="3" t="s">
        <v>516</v>
      </c>
      <c r="C53" s="170" t="s">
        <v>544</v>
      </c>
      <c r="D53" s="2" t="s">
        <v>545</v>
      </c>
      <c r="E53" s="156" t="s">
        <v>159</v>
      </c>
      <c r="F53" s="482" t="s">
        <v>442</v>
      </c>
      <c r="G53" s="4" t="s">
        <v>515</v>
      </c>
    </row>
    <row r="54" spans="1:7" x14ac:dyDescent="0.25">
      <c r="A54" s="537"/>
      <c r="B54" s="3" t="s">
        <v>516</v>
      </c>
      <c r="C54" s="3" t="s">
        <v>544</v>
      </c>
      <c r="D54" s="556" t="s">
        <v>5586</v>
      </c>
      <c r="E54" s="156" t="s">
        <v>5584</v>
      </c>
      <c r="F54" s="482" t="s">
        <v>442</v>
      </c>
      <c r="G54" s="4" t="s">
        <v>2831</v>
      </c>
    </row>
    <row r="55" spans="1:7" x14ac:dyDescent="0.25">
      <c r="A55" s="158">
        <v>848</v>
      </c>
      <c r="B55" s="3" t="s">
        <v>516</v>
      </c>
      <c r="C55" s="3" t="s">
        <v>544</v>
      </c>
      <c r="D55" s="2" t="s">
        <v>750</v>
      </c>
      <c r="E55" s="156" t="s">
        <v>159</v>
      </c>
      <c r="F55" s="482" t="s">
        <v>442</v>
      </c>
      <c r="G55" s="4" t="s">
        <v>515</v>
      </c>
    </row>
    <row r="56" spans="1:7" x14ac:dyDescent="0.25">
      <c r="A56" s="154">
        <v>849</v>
      </c>
      <c r="B56" s="3" t="s">
        <v>444</v>
      </c>
      <c r="C56" s="459" t="s">
        <v>445</v>
      </c>
      <c r="D56" s="2" t="s">
        <v>446</v>
      </c>
      <c r="E56" s="156" t="s">
        <v>464</v>
      </c>
      <c r="F56" s="482" t="s">
        <v>442</v>
      </c>
      <c r="G56" s="4" t="s">
        <v>443</v>
      </c>
    </row>
    <row r="57" spans="1:7" x14ac:dyDescent="0.25">
      <c r="A57" s="158">
        <v>850</v>
      </c>
      <c r="B57" s="3" t="s">
        <v>444</v>
      </c>
      <c r="C57" s="459" t="s">
        <v>445</v>
      </c>
      <c r="D57" s="2" t="s">
        <v>549</v>
      </c>
      <c r="E57" s="156" t="s">
        <v>550</v>
      </c>
      <c r="F57" s="482" t="s">
        <v>442</v>
      </c>
      <c r="G57" s="4" t="s">
        <v>515</v>
      </c>
    </row>
    <row r="58" spans="1:7" x14ac:dyDescent="0.25">
      <c r="A58" s="158">
        <v>851</v>
      </c>
      <c r="B58" s="3" t="s">
        <v>444</v>
      </c>
      <c r="C58" s="459" t="s">
        <v>445</v>
      </c>
      <c r="D58" s="2" t="s">
        <v>547</v>
      </c>
      <c r="E58" s="156" t="s">
        <v>90</v>
      </c>
      <c r="F58" s="482" t="s">
        <v>442</v>
      </c>
      <c r="G58" s="4" t="s">
        <v>515</v>
      </c>
    </row>
    <row r="59" spans="1:7" x14ac:dyDescent="0.25">
      <c r="A59" s="154">
        <v>852</v>
      </c>
      <c r="B59" s="3" t="s">
        <v>444</v>
      </c>
      <c r="C59" s="459" t="s">
        <v>445</v>
      </c>
      <c r="D59" s="2">
        <v>18566</v>
      </c>
      <c r="E59" s="156" t="s">
        <v>464</v>
      </c>
      <c r="F59" s="482" t="s">
        <v>442</v>
      </c>
      <c r="G59" s="4" t="s">
        <v>567</v>
      </c>
    </row>
    <row r="60" spans="1:7" x14ac:dyDescent="0.25">
      <c r="A60" s="158">
        <v>853</v>
      </c>
      <c r="B60" s="3" t="s">
        <v>444</v>
      </c>
      <c r="C60" s="459" t="s">
        <v>445</v>
      </c>
      <c r="D60" s="2" t="s">
        <v>581</v>
      </c>
      <c r="E60" s="156" t="s">
        <v>90</v>
      </c>
      <c r="F60" s="482" t="s">
        <v>442</v>
      </c>
      <c r="G60" s="4" t="s">
        <v>567</v>
      </c>
    </row>
    <row r="61" spans="1:7" x14ac:dyDescent="0.25">
      <c r="A61" s="154">
        <v>854</v>
      </c>
      <c r="B61" s="3" t="s">
        <v>444</v>
      </c>
      <c r="C61" s="459" t="s">
        <v>445</v>
      </c>
      <c r="D61" s="2" t="s">
        <v>626</v>
      </c>
      <c r="E61" s="156" t="s">
        <v>550</v>
      </c>
      <c r="F61" s="482" t="s">
        <v>442</v>
      </c>
      <c r="G61" s="4" t="s">
        <v>599</v>
      </c>
    </row>
    <row r="62" spans="1:7" x14ac:dyDescent="0.25">
      <c r="A62" s="158">
        <v>855</v>
      </c>
      <c r="B62" s="3" t="s">
        <v>444</v>
      </c>
      <c r="C62" s="459" t="s">
        <v>445</v>
      </c>
      <c r="D62" s="2" t="s">
        <v>628</v>
      </c>
      <c r="E62" s="156" t="s">
        <v>550</v>
      </c>
      <c r="F62" s="482" t="s">
        <v>442</v>
      </c>
      <c r="G62" s="4" t="s">
        <v>599</v>
      </c>
    </row>
    <row r="63" spans="1:7" x14ac:dyDescent="0.25">
      <c r="A63" s="154">
        <v>856</v>
      </c>
      <c r="B63" s="3" t="s">
        <v>444</v>
      </c>
      <c r="C63" s="170" t="s">
        <v>630</v>
      </c>
      <c r="D63" s="538" t="s">
        <v>3843</v>
      </c>
      <c r="E63" s="156" t="s">
        <v>59</v>
      </c>
      <c r="F63" s="482" t="s">
        <v>442</v>
      </c>
      <c r="G63" s="4" t="s">
        <v>599</v>
      </c>
    </row>
    <row r="64" spans="1:7" x14ac:dyDescent="0.25">
      <c r="A64" s="158">
        <v>857</v>
      </c>
      <c r="B64" s="3" t="s">
        <v>444</v>
      </c>
      <c r="C64" s="459" t="s">
        <v>630</v>
      </c>
      <c r="D64" s="538" t="s">
        <v>631</v>
      </c>
      <c r="E64" s="156" t="s">
        <v>59</v>
      </c>
      <c r="F64" s="482" t="s">
        <v>442</v>
      </c>
      <c r="G64" s="4" t="s">
        <v>599</v>
      </c>
    </row>
    <row r="65" spans="1:7" x14ac:dyDescent="0.25">
      <c r="A65" s="158">
        <v>858</v>
      </c>
      <c r="B65" s="3" t="s">
        <v>444</v>
      </c>
      <c r="C65" s="459" t="s">
        <v>445</v>
      </c>
      <c r="D65" s="2" t="s">
        <v>672</v>
      </c>
      <c r="E65" s="156" t="s">
        <v>464</v>
      </c>
      <c r="F65" s="482" t="s">
        <v>442</v>
      </c>
      <c r="G65" s="4" t="s">
        <v>667</v>
      </c>
    </row>
    <row r="66" spans="1:7" x14ac:dyDescent="0.25">
      <c r="A66" s="154">
        <v>859</v>
      </c>
      <c r="B66" s="3" t="s">
        <v>444</v>
      </c>
      <c r="C66" s="459" t="s">
        <v>445</v>
      </c>
      <c r="D66" s="2" t="s">
        <v>674</v>
      </c>
      <c r="E66" s="156" t="s">
        <v>90</v>
      </c>
      <c r="F66" s="482" t="s">
        <v>442</v>
      </c>
      <c r="G66" s="4" t="s">
        <v>667</v>
      </c>
    </row>
    <row r="67" spans="1:7" x14ac:dyDescent="0.25">
      <c r="A67" s="158">
        <v>860</v>
      </c>
      <c r="B67" s="3" t="s">
        <v>444</v>
      </c>
      <c r="C67" s="459" t="s">
        <v>445</v>
      </c>
      <c r="D67" s="2" t="s">
        <v>752</v>
      </c>
      <c r="E67" s="156" t="s">
        <v>464</v>
      </c>
      <c r="F67" s="482" t="s">
        <v>442</v>
      </c>
      <c r="G67" s="4" t="s">
        <v>667</v>
      </c>
    </row>
    <row r="68" spans="1:7" x14ac:dyDescent="0.25">
      <c r="A68" s="154">
        <v>861</v>
      </c>
      <c r="B68" s="3" t="s">
        <v>444</v>
      </c>
      <c r="C68" s="533" t="s">
        <v>4149</v>
      </c>
      <c r="D68" s="540" t="s">
        <v>3846</v>
      </c>
      <c r="E68" s="156" t="s">
        <v>296</v>
      </c>
      <c r="F68" s="482" t="s">
        <v>442</v>
      </c>
      <c r="G68" s="181" t="s">
        <v>3745</v>
      </c>
    </row>
    <row r="69" spans="1:7" x14ac:dyDescent="0.25">
      <c r="A69" s="158">
        <v>862</v>
      </c>
      <c r="B69" s="3" t="s">
        <v>444</v>
      </c>
      <c r="C69" s="533" t="s">
        <v>4149</v>
      </c>
      <c r="D69" s="540" t="s">
        <v>3848</v>
      </c>
      <c r="E69" s="156" t="s">
        <v>296</v>
      </c>
      <c r="F69" s="482" t="s">
        <v>442</v>
      </c>
      <c r="G69" s="181" t="s">
        <v>3745</v>
      </c>
    </row>
    <row r="70" spans="1:7" x14ac:dyDescent="0.25">
      <c r="A70" s="154">
        <v>863</v>
      </c>
      <c r="B70" s="3" t="s">
        <v>444</v>
      </c>
      <c r="C70" s="533" t="s">
        <v>4149</v>
      </c>
      <c r="D70" s="540" t="s">
        <v>3850</v>
      </c>
      <c r="E70" s="156" t="s">
        <v>296</v>
      </c>
      <c r="F70" s="482" t="s">
        <v>442</v>
      </c>
      <c r="G70" s="544" t="s">
        <v>4144</v>
      </c>
    </row>
    <row r="71" spans="1:7" x14ac:dyDescent="0.25">
      <c r="A71" s="158">
        <v>867</v>
      </c>
      <c r="B71" s="3" t="s">
        <v>481</v>
      </c>
      <c r="C71" s="43" t="s">
        <v>648</v>
      </c>
      <c r="D71" s="2" t="s">
        <v>483</v>
      </c>
      <c r="E71" s="156" t="s">
        <v>283</v>
      </c>
      <c r="F71" s="482" t="s">
        <v>442</v>
      </c>
      <c r="G71" s="4" t="s">
        <v>466</v>
      </c>
    </row>
    <row r="72" spans="1:7" x14ac:dyDescent="0.25">
      <c r="A72" s="154">
        <v>868</v>
      </c>
      <c r="B72" s="3" t="s">
        <v>481</v>
      </c>
      <c r="C72" s="3" t="s">
        <v>485</v>
      </c>
      <c r="D72" s="2" t="s">
        <v>486</v>
      </c>
      <c r="E72" s="156" t="s">
        <v>47</v>
      </c>
      <c r="F72" s="482" t="s">
        <v>442</v>
      </c>
      <c r="G72" s="4" t="s">
        <v>466</v>
      </c>
    </row>
    <row r="73" spans="1:7" x14ac:dyDescent="0.25">
      <c r="A73" s="158">
        <v>869</v>
      </c>
      <c r="B73" s="3" t="s">
        <v>481</v>
      </c>
      <c r="C73" s="43" t="s">
        <v>648</v>
      </c>
      <c r="D73" s="2" t="s">
        <v>552</v>
      </c>
      <c r="E73" s="156" t="s">
        <v>283</v>
      </c>
      <c r="F73" s="482" t="s">
        <v>442</v>
      </c>
      <c r="G73" s="4" t="s">
        <v>515</v>
      </c>
    </row>
    <row r="74" spans="1:7" x14ac:dyDescent="0.25">
      <c r="A74" s="154">
        <v>870</v>
      </c>
      <c r="B74" s="3" t="s">
        <v>481</v>
      </c>
      <c r="C74" s="43" t="s">
        <v>648</v>
      </c>
      <c r="D74" s="2" t="s">
        <v>554</v>
      </c>
      <c r="E74" s="156" t="s">
        <v>283</v>
      </c>
      <c r="F74" s="482" t="s">
        <v>442</v>
      </c>
      <c r="G74" s="4" t="s">
        <v>515</v>
      </c>
    </row>
    <row r="75" spans="1:7" x14ac:dyDescent="0.25">
      <c r="A75" s="158">
        <v>871</v>
      </c>
      <c r="B75" s="468" t="s">
        <v>481</v>
      </c>
      <c r="C75" s="468" t="s">
        <v>2370</v>
      </c>
      <c r="D75" s="2" t="s">
        <v>641</v>
      </c>
      <c r="E75" s="156" t="s">
        <v>464</v>
      </c>
      <c r="F75" s="482" t="s">
        <v>442</v>
      </c>
      <c r="G75" s="4" t="s">
        <v>599</v>
      </c>
    </row>
    <row r="76" spans="1:7" x14ac:dyDescent="0.25">
      <c r="A76" s="158">
        <v>872</v>
      </c>
      <c r="B76" s="3" t="s">
        <v>481</v>
      </c>
      <c r="C76" s="3" t="s">
        <v>645</v>
      </c>
      <c r="D76" s="2" t="s">
        <v>646</v>
      </c>
      <c r="E76" s="156" t="s">
        <v>90</v>
      </c>
      <c r="F76" s="482" t="s">
        <v>442</v>
      </c>
      <c r="G76" s="4" t="s">
        <v>599</v>
      </c>
    </row>
    <row r="77" spans="1:7" x14ac:dyDescent="0.25">
      <c r="A77" s="154">
        <v>873</v>
      </c>
      <c r="B77" s="3" t="s">
        <v>481</v>
      </c>
      <c r="C77" s="468" t="s">
        <v>2370</v>
      </c>
      <c r="D77" s="2" t="s">
        <v>643</v>
      </c>
      <c r="E77" s="156" t="s">
        <v>550</v>
      </c>
      <c r="F77" s="482" t="s">
        <v>442</v>
      </c>
      <c r="G77" s="4" t="s">
        <v>599</v>
      </c>
    </row>
    <row r="78" spans="1:7" x14ac:dyDescent="0.25">
      <c r="A78" s="158">
        <v>874</v>
      </c>
      <c r="B78" s="3" t="s">
        <v>481</v>
      </c>
      <c r="C78" s="170" t="s">
        <v>648</v>
      </c>
      <c r="D78" s="2" t="s">
        <v>649</v>
      </c>
      <c r="E78" s="156" t="s">
        <v>283</v>
      </c>
      <c r="F78" s="482" t="s">
        <v>442</v>
      </c>
      <c r="G78" s="4" t="s">
        <v>599</v>
      </c>
    </row>
    <row r="79" spans="1:7" x14ac:dyDescent="0.25">
      <c r="A79" s="154">
        <v>875</v>
      </c>
      <c r="B79" s="3" t="s">
        <v>481</v>
      </c>
      <c r="C79" s="3" t="s">
        <v>648</v>
      </c>
      <c r="D79" s="2" t="s">
        <v>651</v>
      </c>
      <c r="E79" s="156" t="s">
        <v>283</v>
      </c>
      <c r="F79" s="482" t="s">
        <v>442</v>
      </c>
      <c r="G79" s="4" t="s">
        <v>599</v>
      </c>
    </row>
    <row r="80" spans="1:7" x14ac:dyDescent="0.25">
      <c r="A80" s="158">
        <v>876</v>
      </c>
      <c r="B80" s="3" t="s">
        <v>481</v>
      </c>
      <c r="C80" s="3" t="s">
        <v>648</v>
      </c>
      <c r="D80" s="2" t="s">
        <v>681</v>
      </c>
      <c r="E80" s="156" t="s">
        <v>90</v>
      </c>
      <c r="F80" s="482" t="s">
        <v>442</v>
      </c>
      <c r="G80" s="4" t="s">
        <v>667</v>
      </c>
    </row>
    <row r="81" spans="1:7" x14ac:dyDescent="0.25">
      <c r="A81" s="154">
        <v>877</v>
      </c>
      <c r="B81" s="3" t="s">
        <v>481</v>
      </c>
      <c r="C81" s="3" t="s">
        <v>678</v>
      </c>
      <c r="D81" s="2" t="s">
        <v>679</v>
      </c>
      <c r="E81" s="156" t="s">
        <v>90</v>
      </c>
      <c r="F81" s="482" t="s">
        <v>442</v>
      </c>
      <c r="G81" s="4" t="s">
        <v>667</v>
      </c>
    </row>
    <row r="82" spans="1:7" x14ac:dyDescent="0.25">
      <c r="A82" s="158">
        <v>878</v>
      </c>
      <c r="B82" s="3" t="s">
        <v>481</v>
      </c>
      <c r="C82" s="3" t="s">
        <v>683</v>
      </c>
      <c r="D82" s="2" t="s">
        <v>684</v>
      </c>
      <c r="E82" s="156" t="s">
        <v>283</v>
      </c>
      <c r="F82" s="482" t="s">
        <v>442</v>
      </c>
      <c r="G82" s="4" t="s">
        <v>667</v>
      </c>
    </row>
    <row r="83" spans="1:7" x14ac:dyDescent="0.25">
      <c r="A83" s="158">
        <v>879</v>
      </c>
      <c r="B83" s="3" t="s">
        <v>481</v>
      </c>
      <c r="C83" s="3" t="s">
        <v>708</v>
      </c>
      <c r="D83" s="2" t="s">
        <v>709</v>
      </c>
      <c r="E83" s="156" t="s">
        <v>232</v>
      </c>
      <c r="F83" s="482" t="s">
        <v>442</v>
      </c>
      <c r="G83" s="4" t="s">
        <v>706</v>
      </c>
    </row>
    <row r="84" spans="1:7" x14ac:dyDescent="0.25">
      <c r="A84" s="158">
        <v>897</v>
      </c>
      <c r="B84" s="3" t="s">
        <v>561</v>
      </c>
      <c r="C84" s="3" t="s">
        <v>562</v>
      </c>
      <c r="D84" s="546" t="s">
        <v>3910</v>
      </c>
      <c r="E84" s="156" t="s">
        <v>283</v>
      </c>
      <c r="F84" s="482" t="s">
        <v>442</v>
      </c>
      <c r="G84" s="4" t="s">
        <v>515</v>
      </c>
    </row>
    <row r="85" spans="1:7" x14ac:dyDescent="0.25">
      <c r="A85" s="154">
        <v>912</v>
      </c>
      <c r="B85" s="166" t="s">
        <v>2381</v>
      </c>
      <c r="C85" s="166" t="s">
        <v>698</v>
      </c>
      <c r="D85" s="505" t="s">
        <v>699</v>
      </c>
      <c r="E85" s="156">
        <v>2008</v>
      </c>
      <c r="F85" s="482" t="s">
        <v>442</v>
      </c>
      <c r="G85" s="4" t="s">
        <v>667</v>
      </c>
    </row>
    <row r="86" spans="1:7" x14ac:dyDescent="0.25">
      <c r="A86" s="154">
        <v>1192</v>
      </c>
      <c r="B86" s="3" t="s">
        <v>512</v>
      </c>
      <c r="C86" s="43" t="s">
        <v>3001</v>
      </c>
      <c r="D86" s="463" t="s">
        <v>2832</v>
      </c>
      <c r="E86" s="156" t="s">
        <v>232</v>
      </c>
      <c r="F86" s="174" t="s">
        <v>3481</v>
      </c>
      <c r="G86" s="4" t="s">
        <v>2831</v>
      </c>
    </row>
    <row r="87" spans="1:7" x14ac:dyDescent="0.25">
      <c r="A87" s="158">
        <v>1217</v>
      </c>
      <c r="B87" s="3" t="s">
        <v>526</v>
      </c>
      <c r="C87" s="170" t="s">
        <v>3000</v>
      </c>
      <c r="D87" s="2" t="s">
        <v>2834</v>
      </c>
      <c r="E87" s="156" t="s">
        <v>159</v>
      </c>
      <c r="F87" s="174" t="s">
        <v>3481</v>
      </c>
      <c r="G87" s="4" t="s">
        <v>2831</v>
      </c>
    </row>
    <row r="88" spans="1:7" x14ac:dyDescent="0.25">
      <c r="A88" s="154">
        <v>1218</v>
      </c>
      <c r="B88" s="3" t="s">
        <v>526</v>
      </c>
      <c r="C88" s="170" t="s">
        <v>3725</v>
      </c>
      <c r="D88" s="539" t="s">
        <v>737</v>
      </c>
      <c r="E88" s="1" t="s">
        <v>159</v>
      </c>
      <c r="F88" s="174" t="s">
        <v>3481</v>
      </c>
      <c r="G88" s="4" t="s">
        <v>515</v>
      </c>
    </row>
    <row r="89" spans="1:7" x14ac:dyDescent="0.25">
      <c r="A89" s="158">
        <v>1222</v>
      </c>
      <c r="B89" s="3" t="s">
        <v>370</v>
      </c>
      <c r="C89" s="3" t="s">
        <v>459</v>
      </c>
      <c r="D89" s="469" t="s">
        <v>5343</v>
      </c>
      <c r="E89" s="156" t="s">
        <v>79</v>
      </c>
      <c r="F89" s="174" t="s">
        <v>3481</v>
      </c>
      <c r="G89" s="4" t="s">
        <v>515</v>
      </c>
    </row>
    <row r="90" spans="1:7" x14ac:dyDescent="0.25">
      <c r="A90" s="154">
        <v>1234</v>
      </c>
      <c r="B90" s="3" t="s">
        <v>531</v>
      </c>
      <c r="C90" s="3" t="s">
        <v>532</v>
      </c>
      <c r="D90" s="2" t="s">
        <v>2835</v>
      </c>
      <c r="E90" s="156" t="s">
        <v>232</v>
      </c>
      <c r="F90" s="174" t="s">
        <v>3481</v>
      </c>
      <c r="G90" s="4" t="s">
        <v>2831</v>
      </c>
    </row>
    <row r="91" spans="1:7" x14ac:dyDescent="0.25">
      <c r="A91" s="158">
        <v>1257</v>
      </c>
      <c r="B91" s="3" t="s">
        <v>516</v>
      </c>
      <c r="C91" s="3" t="s">
        <v>544</v>
      </c>
      <c r="D91" s="2" t="s">
        <v>2839</v>
      </c>
      <c r="E91" s="156" t="s">
        <v>159</v>
      </c>
      <c r="F91" s="174" t="s">
        <v>3481</v>
      </c>
      <c r="G91" s="4" t="s">
        <v>2831</v>
      </c>
    </row>
    <row r="92" spans="1:7" x14ac:dyDescent="0.25">
      <c r="A92" s="154">
        <v>1258</v>
      </c>
      <c r="B92" s="3" t="s">
        <v>444</v>
      </c>
      <c r="C92" s="459" t="s">
        <v>445</v>
      </c>
      <c r="D92" s="2" t="s">
        <v>752</v>
      </c>
      <c r="E92" s="156" t="s">
        <v>232</v>
      </c>
      <c r="F92" s="174" t="s">
        <v>3481</v>
      </c>
      <c r="G92" s="527" t="s">
        <v>5505</v>
      </c>
    </row>
    <row r="93" spans="1:7" x14ac:dyDescent="0.25">
      <c r="A93" s="158">
        <v>1259</v>
      </c>
      <c r="B93" s="3" t="s">
        <v>444</v>
      </c>
      <c r="C93" s="459" t="s">
        <v>445</v>
      </c>
      <c r="D93" s="2" t="s">
        <v>2841</v>
      </c>
      <c r="E93" s="156" t="s">
        <v>232</v>
      </c>
      <c r="F93" s="174" t="s">
        <v>3481</v>
      </c>
      <c r="G93" s="4" t="s">
        <v>2831</v>
      </c>
    </row>
    <row r="94" spans="1:7" x14ac:dyDescent="0.25">
      <c r="A94" s="154">
        <v>1262</v>
      </c>
      <c r="B94" s="3" t="s">
        <v>2965</v>
      </c>
      <c r="C94" s="43" t="s">
        <v>648</v>
      </c>
      <c r="D94" s="2" t="s">
        <v>2843</v>
      </c>
      <c r="E94" s="156" t="s">
        <v>615</v>
      </c>
      <c r="F94" s="174" t="s">
        <v>3481</v>
      </c>
      <c r="G94" s="4" t="s">
        <v>2831</v>
      </c>
    </row>
    <row r="95" spans="1:7" x14ac:dyDescent="0.25">
      <c r="A95" s="154">
        <v>1393</v>
      </c>
      <c r="B95" s="3" t="s">
        <v>2305</v>
      </c>
      <c r="C95" s="3" t="s">
        <v>1237</v>
      </c>
      <c r="D95" s="2" t="s">
        <v>1238</v>
      </c>
      <c r="E95" s="156" t="s">
        <v>66</v>
      </c>
      <c r="F95" s="3" t="s">
        <v>248</v>
      </c>
      <c r="G95" s="562" t="s">
        <v>5594</v>
      </c>
    </row>
    <row r="96" spans="1:7" x14ac:dyDescent="0.25">
      <c r="A96" s="154">
        <v>1402</v>
      </c>
      <c r="B96" s="3" t="s">
        <v>325</v>
      </c>
      <c r="C96" s="3" t="s">
        <v>336</v>
      </c>
      <c r="D96" s="2" t="s">
        <v>185</v>
      </c>
      <c r="E96" s="156">
        <v>2016</v>
      </c>
      <c r="F96" s="3" t="s">
        <v>248</v>
      </c>
      <c r="G96" s="562" t="s">
        <v>5594</v>
      </c>
    </row>
    <row r="97" spans="1:7" x14ac:dyDescent="0.25">
      <c r="A97" s="158">
        <v>1403</v>
      </c>
      <c r="B97" s="3" t="s">
        <v>289</v>
      </c>
      <c r="C97" s="3" t="s">
        <v>294</v>
      </c>
      <c r="D97" s="541" t="s">
        <v>295</v>
      </c>
      <c r="E97" s="156" t="s">
        <v>296</v>
      </c>
      <c r="F97" s="3" t="s">
        <v>248</v>
      </c>
      <c r="G97" s="4" t="s">
        <v>293</v>
      </c>
    </row>
    <row r="98" spans="1:7" x14ac:dyDescent="0.25">
      <c r="A98" s="158">
        <v>1420</v>
      </c>
      <c r="B98" s="3" t="s">
        <v>299</v>
      </c>
      <c r="C98" s="3" t="s">
        <v>300</v>
      </c>
      <c r="D98" s="2">
        <v>330</v>
      </c>
      <c r="E98" s="156" t="s">
        <v>159</v>
      </c>
      <c r="F98" s="3" t="s">
        <v>248</v>
      </c>
      <c r="G98" s="4" t="s">
        <v>293</v>
      </c>
    </row>
    <row r="99" spans="1:7" x14ac:dyDescent="0.25">
      <c r="A99" s="154">
        <v>1421</v>
      </c>
      <c r="B99" s="3" t="s">
        <v>299</v>
      </c>
      <c r="C99" s="3" t="s">
        <v>300</v>
      </c>
      <c r="D99" s="2">
        <v>331</v>
      </c>
      <c r="E99" s="156" t="s">
        <v>159</v>
      </c>
      <c r="F99" s="3" t="s">
        <v>248</v>
      </c>
      <c r="G99" s="4" t="s">
        <v>293</v>
      </c>
    </row>
    <row r="100" spans="1:7" x14ac:dyDescent="0.25">
      <c r="A100" s="158">
        <v>1422</v>
      </c>
      <c r="B100" s="3" t="s">
        <v>299</v>
      </c>
      <c r="C100" s="3" t="s">
        <v>300</v>
      </c>
      <c r="D100" s="2">
        <v>329</v>
      </c>
      <c r="E100" s="156" t="s">
        <v>159</v>
      </c>
      <c r="F100" s="3" t="s">
        <v>248</v>
      </c>
      <c r="G100" s="4" t="s">
        <v>293</v>
      </c>
    </row>
    <row r="101" spans="1:7" x14ac:dyDescent="0.25">
      <c r="A101" s="154">
        <v>1423</v>
      </c>
      <c r="B101" s="3" t="s">
        <v>299</v>
      </c>
      <c r="C101" s="3" t="s">
        <v>300</v>
      </c>
      <c r="D101" s="2">
        <v>287</v>
      </c>
      <c r="E101" s="156" t="s">
        <v>159</v>
      </c>
      <c r="F101" s="3" t="s">
        <v>248</v>
      </c>
      <c r="G101" s="4" t="s">
        <v>293</v>
      </c>
    </row>
    <row r="102" spans="1:7" x14ac:dyDescent="0.25">
      <c r="A102" s="158">
        <v>1424</v>
      </c>
      <c r="B102" s="3" t="s">
        <v>299</v>
      </c>
      <c r="C102" s="3" t="s">
        <v>305</v>
      </c>
      <c r="D102" s="2">
        <v>4164</v>
      </c>
      <c r="E102" s="156" t="s">
        <v>615</v>
      </c>
      <c r="F102" s="3" t="s">
        <v>248</v>
      </c>
      <c r="G102" s="4" t="s">
        <v>293</v>
      </c>
    </row>
    <row r="103" spans="1:7" x14ac:dyDescent="0.25">
      <c r="A103" s="158">
        <v>1425</v>
      </c>
      <c r="B103" s="3" t="s">
        <v>299</v>
      </c>
      <c r="C103" s="3" t="s">
        <v>305</v>
      </c>
      <c r="D103" s="2">
        <v>4163</v>
      </c>
      <c r="E103" s="156" t="s">
        <v>615</v>
      </c>
      <c r="F103" s="3" t="s">
        <v>248</v>
      </c>
      <c r="G103" s="4" t="s">
        <v>293</v>
      </c>
    </row>
    <row r="104" spans="1:7" x14ac:dyDescent="0.25">
      <c r="A104" s="154">
        <v>1426</v>
      </c>
      <c r="B104" s="3" t="s">
        <v>299</v>
      </c>
      <c r="C104" s="3" t="s">
        <v>338</v>
      </c>
      <c r="D104" s="469" t="s">
        <v>653</v>
      </c>
      <c r="E104" s="156" t="s">
        <v>159</v>
      </c>
      <c r="F104" s="3" t="s">
        <v>248</v>
      </c>
      <c r="G104" s="4" t="s">
        <v>340</v>
      </c>
    </row>
    <row r="105" spans="1:7" x14ac:dyDescent="0.25">
      <c r="A105" s="158">
        <v>1427</v>
      </c>
      <c r="B105" s="3" t="s">
        <v>299</v>
      </c>
      <c r="C105" s="3" t="s">
        <v>338</v>
      </c>
      <c r="D105" s="469" t="s">
        <v>653</v>
      </c>
      <c r="E105" s="156" t="s">
        <v>159</v>
      </c>
      <c r="F105" s="3" t="s">
        <v>248</v>
      </c>
      <c r="G105" s="4" t="s">
        <v>340</v>
      </c>
    </row>
    <row r="106" spans="1:7" x14ac:dyDescent="0.25">
      <c r="A106" s="154">
        <v>1428</v>
      </c>
      <c r="B106" s="3" t="s">
        <v>306</v>
      </c>
      <c r="C106" s="3" t="s">
        <v>307</v>
      </c>
      <c r="D106" s="2">
        <v>929</v>
      </c>
      <c r="E106" s="156" t="s">
        <v>159</v>
      </c>
      <c r="F106" s="3" t="s">
        <v>248</v>
      </c>
      <c r="G106" s="4" t="s">
        <v>293</v>
      </c>
    </row>
    <row r="107" spans="1:7" x14ac:dyDescent="0.25">
      <c r="A107" s="158">
        <v>1429</v>
      </c>
      <c r="B107" s="3" t="s">
        <v>306</v>
      </c>
      <c r="C107" s="3" t="s">
        <v>307</v>
      </c>
      <c r="D107" s="2">
        <v>930</v>
      </c>
      <c r="E107" s="156" t="s">
        <v>159</v>
      </c>
      <c r="F107" s="3" t="s">
        <v>248</v>
      </c>
      <c r="G107" s="4" t="s">
        <v>293</v>
      </c>
    </row>
    <row r="108" spans="1:7" x14ac:dyDescent="0.25">
      <c r="A108" s="154">
        <v>1430</v>
      </c>
      <c r="B108" s="3" t="s">
        <v>306</v>
      </c>
      <c r="C108" s="3" t="s">
        <v>307</v>
      </c>
      <c r="D108" s="2">
        <v>973</v>
      </c>
      <c r="E108" s="156" t="s">
        <v>159</v>
      </c>
      <c r="F108" s="3" t="s">
        <v>248</v>
      </c>
      <c r="G108" s="4" t="s">
        <v>293</v>
      </c>
    </row>
    <row r="109" spans="1:7" x14ac:dyDescent="0.25">
      <c r="A109" s="158">
        <v>1431</v>
      </c>
      <c r="B109" s="3" t="s">
        <v>306</v>
      </c>
      <c r="C109" s="3" t="s">
        <v>307</v>
      </c>
      <c r="D109" s="2">
        <v>972</v>
      </c>
      <c r="E109" s="156" t="s">
        <v>159</v>
      </c>
      <c r="F109" s="3" t="s">
        <v>248</v>
      </c>
      <c r="G109" s="4" t="s">
        <v>293</v>
      </c>
    </row>
    <row r="110" spans="1:7" x14ac:dyDescent="0.25">
      <c r="A110" s="158">
        <v>1432</v>
      </c>
      <c r="B110" s="3" t="s">
        <v>311</v>
      </c>
      <c r="C110" s="3" t="s">
        <v>312</v>
      </c>
      <c r="D110" s="2" t="s">
        <v>313</v>
      </c>
      <c r="E110" s="156" t="s">
        <v>124</v>
      </c>
      <c r="F110" s="3" t="s">
        <v>248</v>
      </c>
      <c r="G110" s="4" t="s">
        <v>293</v>
      </c>
    </row>
    <row r="111" spans="1:7" x14ac:dyDescent="0.25">
      <c r="A111" s="154">
        <v>1433</v>
      </c>
      <c r="B111" s="3" t="s">
        <v>311</v>
      </c>
      <c r="C111" s="3" t="s">
        <v>312</v>
      </c>
      <c r="D111" s="2" t="s">
        <v>315</v>
      </c>
      <c r="E111" s="156" t="s">
        <v>124</v>
      </c>
      <c r="F111" s="3" t="s">
        <v>248</v>
      </c>
      <c r="G111" s="4" t="s">
        <v>293</v>
      </c>
    </row>
    <row r="112" spans="1:7" x14ac:dyDescent="0.25">
      <c r="A112" s="158">
        <v>1434</v>
      </c>
      <c r="B112" s="3" t="s">
        <v>311</v>
      </c>
      <c r="C112" s="3" t="s">
        <v>342</v>
      </c>
      <c r="D112" s="2">
        <v>13100182</v>
      </c>
      <c r="E112" s="156" t="s">
        <v>124</v>
      </c>
      <c r="F112" s="3" t="s">
        <v>248</v>
      </c>
      <c r="G112" s="4" t="s">
        <v>340</v>
      </c>
    </row>
    <row r="113" spans="1:7" x14ac:dyDescent="0.25">
      <c r="A113" s="154">
        <v>1435</v>
      </c>
      <c r="B113" s="3" t="s">
        <v>311</v>
      </c>
      <c r="C113" s="3" t="s">
        <v>342</v>
      </c>
      <c r="D113" s="2">
        <v>13100181</v>
      </c>
      <c r="E113" s="156" t="s">
        <v>124</v>
      </c>
      <c r="F113" s="3" t="s">
        <v>248</v>
      </c>
      <c r="G113" s="4" t="s">
        <v>340</v>
      </c>
    </row>
    <row r="114" spans="1:7" x14ac:dyDescent="0.25">
      <c r="A114" s="154">
        <v>1444</v>
      </c>
      <c r="B114" s="3" t="s">
        <v>2305</v>
      </c>
      <c r="C114" s="3" t="s">
        <v>266</v>
      </c>
      <c r="D114" s="2" t="s">
        <v>267</v>
      </c>
      <c r="E114" s="156" t="s">
        <v>159</v>
      </c>
      <c r="F114" s="3" t="s">
        <v>248</v>
      </c>
      <c r="G114" s="4" t="s">
        <v>249</v>
      </c>
    </row>
    <row r="115" spans="1:7" x14ac:dyDescent="0.25">
      <c r="A115" s="158">
        <v>1445</v>
      </c>
      <c r="B115" s="3" t="s">
        <v>2305</v>
      </c>
      <c r="C115" s="166" t="s">
        <v>2382</v>
      </c>
      <c r="D115" s="2" t="s">
        <v>285</v>
      </c>
      <c r="E115" s="156" t="s">
        <v>79</v>
      </c>
      <c r="F115" s="3" t="s">
        <v>248</v>
      </c>
      <c r="G115" s="4" t="s">
        <v>271</v>
      </c>
    </row>
    <row r="116" spans="1:7" x14ac:dyDescent="0.25">
      <c r="A116" s="154">
        <v>1449</v>
      </c>
      <c r="B116" s="3" t="s">
        <v>325</v>
      </c>
      <c r="C116" s="3" t="s">
        <v>330</v>
      </c>
      <c r="D116" s="2" t="s">
        <v>331</v>
      </c>
      <c r="E116" s="156" t="s">
        <v>124</v>
      </c>
      <c r="F116" s="3" t="s">
        <v>248</v>
      </c>
      <c r="G116" s="4" t="s">
        <v>293</v>
      </c>
    </row>
    <row r="117" spans="1:7" x14ac:dyDescent="0.25">
      <c r="A117" s="158">
        <v>1450</v>
      </c>
      <c r="B117" s="3" t="s">
        <v>325</v>
      </c>
      <c r="C117" s="3" t="s">
        <v>334</v>
      </c>
      <c r="D117" s="2" t="s">
        <v>185</v>
      </c>
      <c r="E117" s="156">
        <v>2012</v>
      </c>
      <c r="F117" s="3" t="s">
        <v>248</v>
      </c>
      <c r="G117" s="4" t="s">
        <v>293</v>
      </c>
    </row>
    <row r="118" spans="1:7" x14ac:dyDescent="0.25">
      <c r="A118" s="154">
        <v>1451</v>
      </c>
      <c r="B118" s="3" t="s">
        <v>325</v>
      </c>
      <c r="C118" s="3" t="s">
        <v>336</v>
      </c>
      <c r="D118" s="178" t="s">
        <v>3764</v>
      </c>
      <c r="E118" s="156">
        <v>2012</v>
      </c>
      <c r="F118" s="3" t="s">
        <v>248</v>
      </c>
      <c r="G118" s="4" t="s">
        <v>293</v>
      </c>
    </row>
    <row r="119" spans="1:7" x14ac:dyDescent="0.25">
      <c r="A119" s="154">
        <v>1514</v>
      </c>
      <c r="B119" s="3" t="s">
        <v>512</v>
      </c>
      <c r="C119" s="3" t="s">
        <v>726</v>
      </c>
      <c r="D119" s="463" t="s">
        <v>727</v>
      </c>
      <c r="E119" s="156" t="s">
        <v>464</v>
      </c>
      <c r="F119" s="174" t="s">
        <v>3481</v>
      </c>
      <c r="G119" s="483" t="s">
        <v>515</v>
      </c>
    </row>
    <row r="120" spans="1:7" x14ac:dyDescent="0.25">
      <c r="A120" s="158">
        <v>1515</v>
      </c>
      <c r="B120" s="3" t="s">
        <v>561</v>
      </c>
      <c r="C120" s="3" t="s">
        <v>562</v>
      </c>
      <c r="D120" s="463" t="s">
        <v>757</v>
      </c>
      <c r="E120" s="156" t="s">
        <v>283</v>
      </c>
      <c r="F120" s="174" t="s">
        <v>3481</v>
      </c>
      <c r="G120" s="4" t="s">
        <v>515</v>
      </c>
    </row>
    <row r="121" spans="1:7" x14ac:dyDescent="0.25">
      <c r="A121" s="158">
        <v>1541</v>
      </c>
      <c r="B121" s="3" t="s">
        <v>370</v>
      </c>
      <c r="C121" s="533" t="s">
        <v>4145</v>
      </c>
      <c r="D121" s="540" t="s">
        <v>4146</v>
      </c>
      <c r="E121" s="156" t="s">
        <v>232</v>
      </c>
      <c r="F121" s="561" t="s">
        <v>442</v>
      </c>
      <c r="G121" s="4" t="s">
        <v>349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62"/>
  <sheetViews>
    <sheetView topLeftCell="A311" workbookViewId="0">
      <selection activeCell="A438" sqref="A438"/>
    </sheetView>
  </sheetViews>
  <sheetFormatPr defaultRowHeight="15" x14ac:dyDescent="0.25"/>
  <cols>
    <col min="1" max="1" width="5.42578125" customWidth="1"/>
    <col min="2" max="2" width="73.140625" customWidth="1"/>
    <col min="3" max="3" width="43.42578125" customWidth="1"/>
    <col min="4" max="4" width="24.7109375" customWidth="1"/>
    <col min="5" max="5" width="8.7109375" customWidth="1"/>
    <col min="6" max="6" width="24" customWidth="1"/>
    <col min="7" max="7" width="18.28515625" customWidth="1"/>
  </cols>
  <sheetData>
    <row r="1" spans="1:7" ht="30" x14ac:dyDescent="0.25">
      <c r="A1" s="154">
        <v>0</v>
      </c>
      <c r="B1" s="149" t="s">
        <v>2</v>
      </c>
      <c r="C1" s="149" t="s">
        <v>3</v>
      </c>
      <c r="D1" s="182" t="s">
        <v>4</v>
      </c>
      <c r="E1" s="150" t="s">
        <v>3648</v>
      </c>
      <c r="F1" s="149" t="s">
        <v>7</v>
      </c>
      <c r="G1" s="179" t="s">
        <v>8</v>
      </c>
    </row>
    <row r="2" spans="1:7" x14ac:dyDescent="0.25">
      <c r="A2" s="158">
        <v>1</v>
      </c>
      <c r="B2" s="3" t="s">
        <v>3259</v>
      </c>
      <c r="C2" s="3" t="s">
        <v>3260</v>
      </c>
      <c r="D2" s="2" t="s">
        <v>3261</v>
      </c>
      <c r="E2" s="156" t="s">
        <v>3262</v>
      </c>
      <c r="F2" s="161" t="s">
        <v>3636</v>
      </c>
      <c r="G2" s="4" t="s">
        <v>1263</v>
      </c>
    </row>
    <row r="3" spans="1:7" x14ac:dyDescent="0.25">
      <c r="A3" s="154">
        <v>2</v>
      </c>
      <c r="B3" s="3" t="s">
        <v>3264</v>
      </c>
      <c r="C3" s="3" t="s">
        <v>3265</v>
      </c>
      <c r="D3" s="2" t="s">
        <v>3266</v>
      </c>
      <c r="E3" s="156" t="s">
        <v>735</v>
      </c>
      <c r="F3" s="161" t="s">
        <v>3636</v>
      </c>
      <c r="G3" s="4" t="s">
        <v>1263</v>
      </c>
    </row>
    <row r="4" spans="1:7" x14ac:dyDescent="0.25">
      <c r="A4" s="158">
        <v>3</v>
      </c>
      <c r="B4" s="3" t="s">
        <v>2975</v>
      </c>
      <c r="C4" s="3" t="s">
        <v>3268</v>
      </c>
      <c r="D4" s="2" t="s">
        <v>3269</v>
      </c>
      <c r="E4" s="156" t="s">
        <v>735</v>
      </c>
      <c r="F4" s="161" t="s">
        <v>3636</v>
      </c>
      <c r="G4" s="4" t="s">
        <v>1263</v>
      </c>
    </row>
    <row r="5" spans="1:7" x14ac:dyDescent="0.25">
      <c r="A5" s="154">
        <v>4</v>
      </c>
      <c r="B5" s="3" t="s">
        <v>1264</v>
      </c>
      <c r="C5" s="43" t="s">
        <v>3391</v>
      </c>
      <c r="D5" s="2" t="s">
        <v>3276</v>
      </c>
      <c r="E5" s="156" t="s">
        <v>79</v>
      </c>
      <c r="F5" s="161" t="s">
        <v>3636</v>
      </c>
      <c r="G5" s="4" t="s">
        <v>1263</v>
      </c>
    </row>
    <row r="6" spans="1:7" x14ac:dyDescent="0.25">
      <c r="A6" s="158">
        <v>5</v>
      </c>
      <c r="B6" s="3" t="s">
        <v>1266</v>
      </c>
      <c r="C6" s="3" t="s">
        <v>3271</v>
      </c>
      <c r="D6" s="2" t="s">
        <v>3272</v>
      </c>
      <c r="E6" s="156" t="s">
        <v>615</v>
      </c>
      <c r="F6" s="161" t="s">
        <v>3636</v>
      </c>
      <c r="G6" s="4" t="s">
        <v>1263</v>
      </c>
    </row>
    <row r="7" spans="1:7" x14ac:dyDescent="0.25">
      <c r="A7" s="154">
        <v>6</v>
      </c>
      <c r="B7" s="3" t="s">
        <v>2977</v>
      </c>
      <c r="C7" s="43" t="s">
        <v>3390</v>
      </c>
      <c r="D7" s="2" t="s">
        <v>3274</v>
      </c>
      <c r="E7" s="156" t="s">
        <v>5588</v>
      </c>
      <c r="F7" s="161" t="s">
        <v>3636</v>
      </c>
      <c r="G7" s="4" t="s">
        <v>1263</v>
      </c>
    </row>
    <row r="8" spans="1:7" x14ac:dyDescent="0.25">
      <c r="A8" s="158">
        <v>7</v>
      </c>
      <c r="B8" s="3" t="s">
        <v>91</v>
      </c>
      <c r="C8" s="43" t="s">
        <v>92</v>
      </c>
      <c r="D8" s="2" t="s">
        <v>3246</v>
      </c>
      <c r="E8" s="156" t="s">
        <v>5588</v>
      </c>
      <c r="F8" s="161" t="s">
        <v>3636</v>
      </c>
      <c r="G8" s="4" t="s">
        <v>1935</v>
      </c>
    </row>
    <row r="9" spans="1:7" x14ac:dyDescent="0.25">
      <c r="A9" s="154">
        <v>8</v>
      </c>
      <c r="B9" s="3" t="s">
        <v>24</v>
      </c>
      <c r="C9" s="3" t="s">
        <v>1084</v>
      </c>
      <c r="D9" s="2" t="s">
        <v>3201</v>
      </c>
      <c r="E9" s="156" t="s">
        <v>969</v>
      </c>
      <c r="F9" s="161" t="s">
        <v>3636</v>
      </c>
      <c r="G9" s="4" t="s">
        <v>3203</v>
      </c>
    </row>
    <row r="10" spans="1:7" x14ac:dyDescent="0.25">
      <c r="A10" s="158">
        <v>9</v>
      </c>
      <c r="B10" s="3" t="s">
        <v>24</v>
      </c>
      <c r="C10" s="3" t="s">
        <v>104</v>
      </c>
      <c r="D10" s="2" t="s">
        <v>3207</v>
      </c>
      <c r="E10" s="156" t="s">
        <v>283</v>
      </c>
      <c r="F10" s="161" t="s">
        <v>3636</v>
      </c>
      <c r="G10" s="4" t="s">
        <v>3206</v>
      </c>
    </row>
    <row r="11" spans="1:7" x14ac:dyDescent="0.25">
      <c r="A11" s="154">
        <v>10</v>
      </c>
      <c r="B11" s="3" t="s">
        <v>24</v>
      </c>
      <c r="C11" s="3" t="s">
        <v>104</v>
      </c>
      <c r="D11" s="2" t="s">
        <v>3204</v>
      </c>
      <c r="E11" s="156" t="s">
        <v>283</v>
      </c>
      <c r="F11" s="161" t="s">
        <v>3636</v>
      </c>
      <c r="G11" s="4" t="s">
        <v>3206</v>
      </c>
    </row>
    <row r="12" spans="1:7" x14ac:dyDescent="0.25">
      <c r="A12" s="158">
        <v>11</v>
      </c>
      <c r="B12" s="3" t="s">
        <v>24</v>
      </c>
      <c r="C12" s="3" t="s">
        <v>104</v>
      </c>
      <c r="D12" s="2" t="s">
        <v>3209</v>
      </c>
      <c r="E12" s="156" t="s">
        <v>283</v>
      </c>
      <c r="F12" s="161" t="s">
        <v>3636</v>
      </c>
      <c r="G12" s="4" t="s">
        <v>3211</v>
      </c>
    </row>
    <row r="13" spans="1:7" x14ac:dyDescent="0.25">
      <c r="A13" s="154">
        <v>12</v>
      </c>
      <c r="B13" s="3" t="s">
        <v>24</v>
      </c>
      <c r="C13" s="3" t="s">
        <v>104</v>
      </c>
      <c r="D13" s="2" t="s">
        <v>3212</v>
      </c>
      <c r="E13" s="156" t="s">
        <v>283</v>
      </c>
      <c r="F13" s="161" t="s">
        <v>3636</v>
      </c>
      <c r="G13" s="4" t="s">
        <v>3211</v>
      </c>
    </row>
    <row r="14" spans="1:7" x14ac:dyDescent="0.25">
      <c r="A14" s="158">
        <v>13</v>
      </c>
      <c r="B14" s="3" t="s">
        <v>24</v>
      </c>
      <c r="C14" s="3" t="s">
        <v>1084</v>
      </c>
      <c r="D14" s="2" t="s">
        <v>3217</v>
      </c>
      <c r="E14" s="156" t="s">
        <v>969</v>
      </c>
      <c r="F14" s="161" t="s">
        <v>3636</v>
      </c>
      <c r="G14" s="4" t="s">
        <v>3216</v>
      </c>
    </row>
    <row r="15" spans="1:7" x14ac:dyDescent="0.25">
      <c r="A15" s="154">
        <v>14</v>
      </c>
      <c r="B15" s="3" t="s">
        <v>24</v>
      </c>
      <c r="C15" s="3" t="s">
        <v>1084</v>
      </c>
      <c r="D15" s="2" t="s">
        <v>3214</v>
      </c>
      <c r="E15" s="156" t="s">
        <v>969</v>
      </c>
      <c r="F15" s="161" t="s">
        <v>3636</v>
      </c>
      <c r="G15" s="4" t="s">
        <v>3216</v>
      </c>
    </row>
    <row r="16" spans="1:7" x14ac:dyDescent="0.25">
      <c r="A16" s="158">
        <v>15</v>
      </c>
      <c r="B16" s="3" t="s">
        <v>24</v>
      </c>
      <c r="C16" s="3" t="s">
        <v>37</v>
      </c>
      <c r="D16" s="2" t="s">
        <v>3219</v>
      </c>
      <c r="E16" s="156" t="s">
        <v>59</v>
      </c>
      <c r="F16" s="161" t="s">
        <v>3636</v>
      </c>
      <c r="G16" s="4" t="s">
        <v>3221</v>
      </c>
    </row>
    <row r="17" spans="1:7" x14ac:dyDescent="0.25">
      <c r="A17" s="154">
        <v>16</v>
      </c>
      <c r="B17" s="3" t="s">
        <v>24</v>
      </c>
      <c r="C17" s="3" t="s">
        <v>37</v>
      </c>
      <c r="D17" s="2" t="s">
        <v>3222</v>
      </c>
      <c r="E17" s="156" t="s">
        <v>59</v>
      </c>
      <c r="F17" s="161" t="s">
        <v>3636</v>
      </c>
      <c r="G17" s="4" t="s">
        <v>3221</v>
      </c>
    </row>
    <row r="18" spans="1:7" x14ac:dyDescent="0.25">
      <c r="A18" s="158">
        <v>17</v>
      </c>
      <c r="B18" s="3" t="s">
        <v>24</v>
      </c>
      <c r="C18" s="3" t="s">
        <v>37</v>
      </c>
      <c r="D18" s="2" t="s">
        <v>3227</v>
      </c>
      <c r="E18" s="156" t="s">
        <v>59</v>
      </c>
      <c r="F18" s="161" t="s">
        <v>3636</v>
      </c>
      <c r="G18" s="4" t="s">
        <v>3226</v>
      </c>
    </row>
    <row r="19" spans="1:7" x14ac:dyDescent="0.25">
      <c r="A19" s="154">
        <v>18</v>
      </c>
      <c r="B19" s="3" t="s">
        <v>24</v>
      </c>
      <c r="C19" s="3" t="s">
        <v>37</v>
      </c>
      <c r="D19" s="2" t="s">
        <v>3224</v>
      </c>
      <c r="E19" s="156" t="s">
        <v>59</v>
      </c>
      <c r="F19" s="161" t="s">
        <v>3636</v>
      </c>
      <c r="G19" s="4" t="s">
        <v>3226</v>
      </c>
    </row>
    <row r="20" spans="1:7" x14ac:dyDescent="0.25">
      <c r="A20" s="158">
        <v>19</v>
      </c>
      <c r="B20" s="3" t="s">
        <v>24</v>
      </c>
      <c r="C20" s="3" t="s">
        <v>37</v>
      </c>
      <c r="D20" s="2" t="s">
        <v>3229</v>
      </c>
      <c r="E20" s="156" t="s">
        <v>59</v>
      </c>
      <c r="F20" s="161" t="s">
        <v>3636</v>
      </c>
      <c r="G20" s="4" t="s">
        <v>3231</v>
      </c>
    </row>
    <row r="21" spans="1:7" x14ac:dyDescent="0.25">
      <c r="A21" s="154">
        <v>20</v>
      </c>
      <c r="B21" s="3" t="s">
        <v>24</v>
      </c>
      <c r="C21" s="3" t="s">
        <v>37</v>
      </c>
      <c r="D21" s="2" t="s">
        <v>3232</v>
      </c>
      <c r="E21" s="156" t="s">
        <v>59</v>
      </c>
      <c r="F21" s="161" t="s">
        <v>3636</v>
      </c>
      <c r="G21" s="4" t="s">
        <v>3231</v>
      </c>
    </row>
    <row r="22" spans="1:7" x14ac:dyDescent="0.25">
      <c r="A22" s="158">
        <v>21</v>
      </c>
      <c r="B22" s="3" t="s">
        <v>24</v>
      </c>
      <c r="C22" s="3" t="s">
        <v>37</v>
      </c>
      <c r="D22" s="2" t="s">
        <v>3234</v>
      </c>
      <c r="E22" s="156" t="s">
        <v>59</v>
      </c>
      <c r="F22" s="161" t="s">
        <v>3636</v>
      </c>
      <c r="G22" s="4" t="s">
        <v>3236</v>
      </c>
    </row>
    <row r="23" spans="1:7" x14ac:dyDescent="0.25">
      <c r="A23" s="154">
        <v>22</v>
      </c>
      <c r="B23" s="3" t="s">
        <v>24</v>
      </c>
      <c r="C23" s="3" t="s">
        <v>104</v>
      </c>
      <c r="D23" s="2" t="s">
        <v>3237</v>
      </c>
      <c r="E23" s="156" t="s">
        <v>283</v>
      </c>
      <c r="F23" s="161" t="s">
        <v>3636</v>
      </c>
      <c r="G23" s="4" t="s">
        <v>3236</v>
      </c>
    </row>
    <row r="24" spans="1:7" x14ac:dyDescent="0.25">
      <c r="A24" s="158">
        <v>23</v>
      </c>
      <c r="B24" s="3" t="s">
        <v>24</v>
      </c>
      <c r="C24" s="3" t="s">
        <v>104</v>
      </c>
      <c r="D24" s="2" t="s">
        <v>3239</v>
      </c>
      <c r="E24" s="156" t="s">
        <v>283</v>
      </c>
      <c r="F24" s="161" t="s">
        <v>3636</v>
      </c>
      <c r="G24" s="4" t="s">
        <v>3241</v>
      </c>
    </row>
    <row r="25" spans="1:7" x14ac:dyDescent="0.25">
      <c r="A25" s="154">
        <v>24</v>
      </c>
      <c r="B25" s="3" t="s">
        <v>24</v>
      </c>
      <c r="C25" s="3" t="s">
        <v>37</v>
      </c>
      <c r="D25" s="2" t="s">
        <v>3244</v>
      </c>
      <c r="E25" s="156" t="s">
        <v>59</v>
      </c>
      <c r="F25" s="161" t="s">
        <v>3636</v>
      </c>
      <c r="G25" s="4" t="s">
        <v>1888</v>
      </c>
    </row>
    <row r="26" spans="1:7" x14ac:dyDescent="0.25">
      <c r="A26" s="158">
        <v>25</v>
      </c>
      <c r="B26" s="3" t="s">
        <v>24</v>
      </c>
      <c r="C26" s="3" t="s">
        <v>37</v>
      </c>
      <c r="D26" s="2" t="s">
        <v>3242</v>
      </c>
      <c r="E26" s="156" t="s">
        <v>59</v>
      </c>
      <c r="F26" s="161" t="s">
        <v>3636</v>
      </c>
      <c r="G26" s="4" t="s">
        <v>1888</v>
      </c>
    </row>
    <row r="27" spans="1:7" x14ac:dyDescent="0.25">
      <c r="A27" s="154">
        <v>26</v>
      </c>
      <c r="B27" s="3" t="s">
        <v>24</v>
      </c>
      <c r="C27" s="3" t="s">
        <v>37</v>
      </c>
      <c r="D27" s="2" t="s">
        <v>3248</v>
      </c>
      <c r="E27" s="156" t="s">
        <v>969</v>
      </c>
      <c r="F27" s="161" t="s">
        <v>3636</v>
      </c>
      <c r="G27" s="4" t="s">
        <v>1935</v>
      </c>
    </row>
    <row r="28" spans="1:7" x14ac:dyDescent="0.25">
      <c r="A28" s="158">
        <v>27</v>
      </c>
      <c r="B28" s="3" t="s">
        <v>24</v>
      </c>
      <c r="C28" s="3" t="s">
        <v>37</v>
      </c>
      <c r="D28" s="2" t="s">
        <v>3250</v>
      </c>
      <c r="E28" s="156" t="s">
        <v>969</v>
      </c>
      <c r="F28" s="161" t="s">
        <v>3636</v>
      </c>
      <c r="G28" s="4" t="s">
        <v>1935</v>
      </c>
    </row>
    <row r="29" spans="1:7" x14ac:dyDescent="0.25">
      <c r="A29" s="154">
        <v>28</v>
      </c>
      <c r="B29" s="3" t="s">
        <v>24</v>
      </c>
      <c r="C29" s="3" t="s">
        <v>104</v>
      </c>
      <c r="D29" s="2" t="s">
        <v>3253</v>
      </c>
      <c r="E29" s="156" t="s">
        <v>283</v>
      </c>
      <c r="F29" s="161" t="s">
        <v>3636</v>
      </c>
      <c r="G29" s="4" t="s">
        <v>2635</v>
      </c>
    </row>
    <row r="30" spans="1:7" x14ac:dyDescent="0.25">
      <c r="A30" s="158">
        <v>29</v>
      </c>
      <c r="B30" s="3" t="s">
        <v>24</v>
      </c>
      <c r="C30" s="3" t="s">
        <v>104</v>
      </c>
      <c r="D30" s="2" t="s">
        <v>3255</v>
      </c>
      <c r="E30" s="156" t="s">
        <v>283</v>
      </c>
      <c r="F30" s="161" t="s">
        <v>3636</v>
      </c>
      <c r="G30" s="4" t="s">
        <v>2635</v>
      </c>
    </row>
    <row r="31" spans="1:7" x14ac:dyDescent="0.25">
      <c r="A31" s="154">
        <v>30</v>
      </c>
      <c r="B31" s="3" t="s">
        <v>24</v>
      </c>
      <c r="C31" s="3" t="s">
        <v>104</v>
      </c>
      <c r="D31" s="2" t="s">
        <v>3257</v>
      </c>
      <c r="E31" s="156" t="s">
        <v>283</v>
      </c>
      <c r="F31" s="161" t="s">
        <v>3636</v>
      </c>
      <c r="G31" s="4" t="s">
        <v>1236</v>
      </c>
    </row>
    <row r="32" spans="1:7" x14ac:dyDescent="0.25">
      <c r="A32" s="158">
        <v>31</v>
      </c>
      <c r="B32" s="3" t="s">
        <v>24</v>
      </c>
      <c r="C32" s="3" t="s">
        <v>37</v>
      </c>
      <c r="D32" s="2" t="s">
        <v>3303</v>
      </c>
      <c r="E32" s="156" t="s">
        <v>969</v>
      </c>
      <c r="F32" s="161" t="s">
        <v>3636</v>
      </c>
      <c r="G32" s="4" t="s">
        <v>3305</v>
      </c>
    </row>
    <row r="33" spans="1:7" x14ac:dyDescent="0.25">
      <c r="A33" s="154">
        <v>32</v>
      </c>
      <c r="B33" s="3" t="s">
        <v>24</v>
      </c>
      <c r="C33" s="3" t="s">
        <v>157</v>
      </c>
      <c r="D33" s="2" t="s">
        <v>2886</v>
      </c>
      <c r="E33" s="156" t="s">
        <v>283</v>
      </c>
      <c r="F33" s="161" t="s">
        <v>3636</v>
      </c>
      <c r="G33" s="4" t="s">
        <v>3307</v>
      </c>
    </row>
    <row r="34" spans="1:7" x14ac:dyDescent="0.25">
      <c r="A34" s="158">
        <v>33</v>
      </c>
      <c r="B34" s="3" t="s">
        <v>499</v>
      </c>
      <c r="C34" s="3" t="s">
        <v>3460</v>
      </c>
      <c r="D34" s="2" t="s">
        <v>2029</v>
      </c>
      <c r="E34" s="156" t="s">
        <v>41</v>
      </c>
      <c r="F34" s="161" t="s">
        <v>3636</v>
      </c>
      <c r="G34" s="4" t="s">
        <v>1935</v>
      </c>
    </row>
    <row r="35" spans="1:7" x14ac:dyDescent="0.25">
      <c r="A35" s="154">
        <v>34</v>
      </c>
      <c r="B35" s="3" t="s">
        <v>325</v>
      </c>
      <c r="C35" s="43" t="s">
        <v>1936</v>
      </c>
      <c r="D35" s="2" t="s">
        <v>3299</v>
      </c>
      <c r="E35" s="156" t="s">
        <v>550</v>
      </c>
      <c r="F35" s="161" t="s">
        <v>3636</v>
      </c>
      <c r="G35" s="4" t="s">
        <v>1263</v>
      </c>
    </row>
    <row r="36" spans="1:7" x14ac:dyDescent="0.25">
      <c r="A36" s="158">
        <v>35</v>
      </c>
      <c r="B36" s="3" t="s">
        <v>325</v>
      </c>
      <c r="C36" s="43" t="s">
        <v>593</v>
      </c>
      <c r="D36" s="2" t="s">
        <v>3301</v>
      </c>
      <c r="E36" s="156" t="s">
        <v>124</v>
      </c>
      <c r="F36" s="161" t="s">
        <v>3636</v>
      </c>
      <c r="G36" s="4" t="s">
        <v>1263</v>
      </c>
    </row>
    <row r="37" spans="1:7" x14ac:dyDescent="0.25">
      <c r="A37" s="154">
        <v>36</v>
      </c>
      <c r="B37" s="3" t="s">
        <v>499</v>
      </c>
      <c r="C37" s="468" t="s">
        <v>2374</v>
      </c>
      <c r="D37" s="2" t="s">
        <v>1674</v>
      </c>
      <c r="E37" s="156" t="s">
        <v>283</v>
      </c>
      <c r="F37" s="161" t="s">
        <v>3637</v>
      </c>
      <c r="G37" s="4" t="s">
        <v>1671</v>
      </c>
    </row>
    <row r="38" spans="1:7" x14ac:dyDescent="0.25">
      <c r="A38" s="158">
        <v>37</v>
      </c>
      <c r="B38" s="3" t="s">
        <v>499</v>
      </c>
      <c r="C38" s="468" t="s">
        <v>5534</v>
      </c>
      <c r="D38" s="2" t="s">
        <v>5535</v>
      </c>
      <c r="E38" s="156" t="s">
        <v>90</v>
      </c>
      <c r="F38" s="3" t="s">
        <v>1716</v>
      </c>
      <c r="G38" s="4" t="s">
        <v>985</v>
      </c>
    </row>
    <row r="39" spans="1:7" x14ac:dyDescent="0.25">
      <c r="A39" s="154">
        <v>38</v>
      </c>
      <c r="B39" s="3" t="s">
        <v>499</v>
      </c>
      <c r="C39" s="468" t="s">
        <v>2061</v>
      </c>
      <c r="D39" s="2" t="s">
        <v>1724</v>
      </c>
      <c r="E39" s="156" t="s">
        <v>159</v>
      </c>
      <c r="F39" s="3" t="s">
        <v>1716</v>
      </c>
      <c r="G39" s="4" t="s">
        <v>985</v>
      </c>
    </row>
    <row r="40" spans="1:7" x14ac:dyDescent="0.25">
      <c r="A40" s="158">
        <v>39</v>
      </c>
      <c r="B40" s="3" t="s">
        <v>2010</v>
      </c>
      <c r="C40" s="3" t="s">
        <v>1713</v>
      </c>
      <c r="D40" s="2" t="s">
        <v>1714</v>
      </c>
      <c r="E40" s="156" t="s">
        <v>159</v>
      </c>
      <c r="F40" s="3" t="s">
        <v>1716</v>
      </c>
      <c r="G40" s="4" t="s">
        <v>1717</v>
      </c>
    </row>
    <row r="41" spans="1:7" x14ac:dyDescent="0.25">
      <c r="A41" s="154">
        <v>40</v>
      </c>
      <c r="B41" s="3" t="s">
        <v>2010</v>
      </c>
      <c r="C41" s="3" t="s">
        <v>1713</v>
      </c>
      <c r="D41" s="2" t="s">
        <v>1718</v>
      </c>
      <c r="E41" s="156" t="s">
        <v>615</v>
      </c>
      <c r="F41" s="3" t="s">
        <v>1716</v>
      </c>
      <c r="G41" s="4" t="s">
        <v>985</v>
      </c>
    </row>
    <row r="42" spans="1:7" x14ac:dyDescent="0.25">
      <c r="A42" s="158">
        <v>41</v>
      </c>
      <c r="B42" s="170" t="s">
        <v>3735</v>
      </c>
      <c r="C42" s="170" t="s">
        <v>1821</v>
      </c>
      <c r="D42" s="2" t="s">
        <v>1822</v>
      </c>
      <c r="E42" s="156" t="s">
        <v>159</v>
      </c>
      <c r="F42" s="482" t="s">
        <v>1186</v>
      </c>
      <c r="G42" s="4" t="s">
        <v>515</v>
      </c>
    </row>
    <row r="43" spans="1:7" x14ac:dyDescent="0.25">
      <c r="A43" s="154">
        <v>42</v>
      </c>
      <c r="B43" s="3" t="s">
        <v>24</v>
      </c>
      <c r="C43" s="3" t="s">
        <v>1105</v>
      </c>
      <c r="D43" s="2" t="s">
        <v>1808</v>
      </c>
      <c r="E43" s="156" t="s">
        <v>296</v>
      </c>
      <c r="F43" s="482" t="s">
        <v>1186</v>
      </c>
      <c r="G43" s="4" t="s">
        <v>1804</v>
      </c>
    </row>
    <row r="44" spans="1:7" x14ac:dyDescent="0.25">
      <c r="A44" s="158">
        <v>43</v>
      </c>
      <c r="B44" s="3" t="s">
        <v>24</v>
      </c>
      <c r="C44" s="3" t="s">
        <v>37</v>
      </c>
      <c r="D44" s="2" t="s">
        <v>1800</v>
      </c>
      <c r="E44" s="156" t="s">
        <v>66</v>
      </c>
      <c r="F44" s="482" t="s">
        <v>1186</v>
      </c>
      <c r="G44" s="4" t="s">
        <v>1802</v>
      </c>
    </row>
    <row r="45" spans="1:7" x14ac:dyDescent="0.25">
      <c r="A45" s="154">
        <v>44</v>
      </c>
      <c r="B45" s="3" t="s">
        <v>24</v>
      </c>
      <c r="C45" s="3" t="s">
        <v>37</v>
      </c>
      <c r="D45" s="2" t="s">
        <v>1798</v>
      </c>
      <c r="E45" s="156" t="s">
        <v>66</v>
      </c>
      <c r="F45" s="482" t="s">
        <v>1186</v>
      </c>
      <c r="G45" s="4" t="s">
        <v>1799</v>
      </c>
    </row>
    <row r="46" spans="1:7" x14ac:dyDescent="0.25">
      <c r="A46" s="158">
        <v>45</v>
      </c>
      <c r="B46" s="3" t="s">
        <v>24</v>
      </c>
      <c r="C46" s="3" t="s">
        <v>37</v>
      </c>
      <c r="D46" s="2" t="s">
        <v>1795</v>
      </c>
      <c r="E46" s="156" t="s">
        <v>124</v>
      </c>
      <c r="F46" s="482" t="s">
        <v>1186</v>
      </c>
      <c r="G46" s="4" t="s">
        <v>1797</v>
      </c>
    </row>
    <row r="47" spans="1:7" x14ac:dyDescent="0.25">
      <c r="A47" s="154">
        <v>46</v>
      </c>
      <c r="B47" s="3" t="s">
        <v>24</v>
      </c>
      <c r="C47" s="3" t="s">
        <v>1105</v>
      </c>
      <c r="D47" s="2" t="s">
        <v>1792</v>
      </c>
      <c r="E47" s="156" t="s">
        <v>296</v>
      </c>
      <c r="F47" s="482" t="s">
        <v>1186</v>
      </c>
      <c r="G47" s="4" t="s">
        <v>1794</v>
      </c>
    </row>
    <row r="48" spans="1:7" x14ac:dyDescent="0.25">
      <c r="A48" s="158">
        <v>47</v>
      </c>
      <c r="B48" s="3" t="s">
        <v>24</v>
      </c>
      <c r="C48" s="3" t="s">
        <v>1105</v>
      </c>
      <c r="D48" s="2" t="s">
        <v>1777</v>
      </c>
      <c r="E48" s="156" t="s">
        <v>296</v>
      </c>
      <c r="F48" s="482" t="s">
        <v>1186</v>
      </c>
      <c r="G48" s="4" t="s">
        <v>1770</v>
      </c>
    </row>
    <row r="49" spans="1:7" x14ac:dyDescent="0.25">
      <c r="A49" s="154">
        <v>48</v>
      </c>
      <c r="B49" s="3" t="s">
        <v>24</v>
      </c>
      <c r="C49" s="3" t="s">
        <v>1105</v>
      </c>
      <c r="D49" s="2" t="s">
        <v>1768</v>
      </c>
      <c r="E49" s="156" t="s">
        <v>296</v>
      </c>
      <c r="F49" s="482" t="s">
        <v>1186</v>
      </c>
      <c r="G49" s="4" t="s">
        <v>1770</v>
      </c>
    </row>
    <row r="50" spans="1:7" x14ac:dyDescent="0.25">
      <c r="A50" s="158">
        <v>49</v>
      </c>
      <c r="B50" s="3" t="s">
        <v>24</v>
      </c>
      <c r="C50" s="3" t="s">
        <v>37</v>
      </c>
      <c r="D50" s="2" t="s">
        <v>1786</v>
      </c>
      <c r="E50" s="156" t="s">
        <v>66</v>
      </c>
      <c r="F50" s="482" t="s">
        <v>1186</v>
      </c>
      <c r="G50" s="4" t="s">
        <v>1788</v>
      </c>
    </row>
    <row r="51" spans="1:7" x14ac:dyDescent="0.25">
      <c r="A51" s="154">
        <v>50</v>
      </c>
      <c r="B51" s="3" t="s">
        <v>24</v>
      </c>
      <c r="C51" s="3" t="s">
        <v>37</v>
      </c>
      <c r="D51" s="2" t="s">
        <v>1831</v>
      </c>
      <c r="E51" s="156" t="s">
        <v>1832</v>
      </c>
      <c r="F51" s="482" t="s">
        <v>1186</v>
      </c>
      <c r="G51" s="4" t="s">
        <v>515</v>
      </c>
    </row>
    <row r="52" spans="1:7" x14ac:dyDescent="0.25">
      <c r="A52" s="158">
        <v>51</v>
      </c>
      <c r="B52" s="3" t="s">
        <v>24</v>
      </c>
      <c r="C52" s="3" t="s">
        <v>1105</v>
      </c>
      <c r="D52" s="2" t="s">
        <v>1805</v>
      </c>
      <c r="E52" s="156" t="s">
        <v>296</v>
      </c>
      <c r="F52" s="482" t="s">
        <v>1186</v>
      </c>
      <c r="G52" s="4" t="s">
        <v>1807</v>
      </c>
    </row>
    <row r="53" spans="1:7" x14ac:dyDescent="0.25">
      <c r="A53" s="154">
        <v>52</v>
      </c>
      <c r="B53" s="3" t="s">
        <v>24</v>
      </c>
      <c r="C53" s="3" t="s">
        <v>37</v>
      </c>
      <c r="D53" s="2" t="s">
        <v>1789</v>
      </c>
      <c r="E53" s="156" t="s">
        <v>66</v>
      </c>
      <c r="F53" s="482" t="s">
        <v>1186</v>
      </c>
      <c r="G53" s="4" t="s">
        <v>1791</v>
      </c>
    </row>
    <row r="54" spans="1:7" x14ac:dyDescent="0.25">
      <c r="A54" s="158">
        <v>53</v>
      </c>
      <c r="B54" s="3" t="s">
        <v>24</v>
      </c>
      <c r="C54" s="3" t="s">
        <v>37</v>
      </c>
      <c r="D54" s="2" t="s">
        <v>1771</v>
      </c>
      <c r="E54" s="156" t="s">
        <v>66</v>
      </c>
      <c r="F54" s="482" t="s">
        <v>1186</v>
      </c>
      <c r="G54" s="4" t="s">
        <v>1773</v>
      </c>
    </row>
    <row r="55" spans="1:7" x14ac:dyDescent="0.25">
      <c r="A55" s="154">
        <v>54</v>
      </c>
      <c r="B55" s="3" t="s">
        <v>24</v>
      </c>
      <c r="C55" s="3" t="s">
        <v>37</v>
      </c>
      <c r="D55" s="2" t="s">
        <v>1783</v>
      </c>
      <c r="E55" s="156" t="s">
        <v>66</v>
      </c>
      <c r="F55" s="482" t="s">
        <v>1186</v>
      </c>
      <c r="G55" s="4" t="s">
        <v>1076</v>
      </c>
    </row>
    <row r="56" spans="1:7" x14ac:dyDescent="0.25">
      <c r="A56" s="158">
        <v>55</v>
      </c>
      <c r="B56" s="3" t="s">
        <v>24</v>
      </c>
      <c r="C56" s="3" t="s">
        <v>1105</v>
      </c>
      <c r="D56" s="2" t="s">
        <v>1812</v>
      </c>
      <c r="E56" s="156" t="s">
        <v>296</v>
      </c>
      <c r="F56" s="482" t="s">
        <v>1186</v>
      </c>
      <c r="G56" s="4" t="s">
        <v>706</v>
      </c>
    </row>
    <row r="57" spans="1:7" x14ac:dyDescent="0.25">
      <c r="A57" s="154">
        <v>56</v>
      </c>
      <c r="B57" s="3" t="s">
        <v>499</v>
      </c>
      <c r="C57" s="459" t="s">
        <v>2025</v>
      </c>
      <c r="D57" s="2" t="s">
        <v>2032</v>
      </c>
      <c r="E57" s="156" t="s">
        <v>59</v>
      </c>
      <c r="F57" s="482" t="s">
        <v>1186</v>
      </c>
      <c r="G57" s="4" t="s">
        <v>2034</v>
      </c>
    </row>
    <row r="58" spans="1:7" x14ac:dyDescent="0.25">
      <c r="A58" s="158">
        <v>57</v>
      </c>
      <c r="B58" s="3" t="s">
        <v>499</v>
      </c>
      <c r="C58" s="43" t="s">
        <v>2025</v>
      </c>
      <c r="D58" s="2" t="s">
        <v>2035</v>
      </c>
      <c r="E58" s="156" t="s">
        <v>59</v>
      </c>
      <c r="F58" s="482" t="s">
        <v>1186</v>
      </c>
      <c r="G58" s="4" t="s">
        <v>2000</v>
      </c>
    </row>
    <row r="59" spans="1:7" x14ac:dyDescent="0.25">
      <c r="A59" s="154">
        <v>58</v>
      </c>
      <c r="B59" s="3" t="s">
        <v>499</v>
      </c>
      <c r="C59" s="43" t="s">
        <v>2025</v>
      </c>
      <c r="D59" s="2" t="s">
        <v>2040</v>
      </c>
      <c r="E59" s="156" t="s">
        <v>283</v>
      </c>
      <c r="F59" s="482" t="s">
        <v>1186</v>
      </c>
      <c r="G59" s="4" t="s">
        <v>766</v>
      </c>
    </row>
    <row r="60" spans="1:7" x14ac:dyDescent="0.25">
      <c r="A60" s="158">
        <v>59</v>
      </c>
      <c r="B60" s="3" t="s">
        <v>499</v>
      </c>
      <c r="C60" s="3" t="s">
        <v>1774</v>
      </c>
      <c r="D60" s="2" t="s">
        <v>1775</v>
      </c>
      <c r="E60" s="156" t="s">
        <v>41</v>
      </c>
      <c r="F60" s="482" t="s">
        <v>1186</v>
      </c>
      <c r="G60" s="4" t="s">
        <v>1773</v>
      </c>
    </row>
    <row r="61" spans="1:7" x14ac:dyDescent="0.25">
      <c r="A61" s="154">
        <v>60</v>
      </c>
      <c r="B61" s="486" t="s">
        <v>3677</v>
      </c>
      <c r="C61" s="43" t="s">
        <v>2037</v>
      </c>
      <c r="D61" s="2" t="s">
        <v>2038</v>
      </c>
      <c r="E61" s="156" t="s">
        <v>159</v>
      </c>
      <c r="F61" s="482" t="s">
        <v>1186</v>
      </c>
      <c r="G61" s="4" t="s">
        <v>766</v>
      </c>
    </row>
    <row r="62" spans="1:7" x14ac:dyDescent="0.25">
      <c r="A62" s="158">
        <v>61</v>
      </c>
      <c r="B62" s="494" t="s">
        <v>325</v>
      </c>
      <c r="C62" s="494" t="s">
        <v>1147</v>
      </c>
      <c r="D62" s="2"/>
      <c r="E62" s="156" t="s">
        <v>5588</v>
      </c>
      <c r="F62" s="482" t="s">
        <v>1186</v>
      </c>
      <c r="G62" s="177" t="s">
        <v>1076</v>
      </c>
    </row>
    <row r="63" spans="1:7" x14ac:dyDescent="0.25">
      <c r="A63" s="154">
        <v>62</v>
      </c>
      <c r="B63" s="494" t="s">
        <v>325</v>
      </c>
      <c r="C63" s="494" t="s">
        <v>1936</v>
      </c>
      <c r="D63" s="2"/>
      <c r="E63" s="156" t="s">
        <v>5588</v>
      </c>
      <c r="F63" s="482" t="s">
        <v>1186</v>
      </c>
      <c r="G63" s="177" t="s">
        <v>1076</v>
      </c>
    </row>
    <row r="64" spans="1:7" x14ac:dyDescent="0.25">
      <c r="A64" s="158">
        <v>63</v>
      </c>
      <c r="B64" s="3" t="s">
        <v>1295</v>
      </c>
      <c r="C64" s="3" t="s">
        <v>1402</v>
      </c>
      <c r="D64" s="2" t="s">
        <v>1354</v>
      </c>
      <c r="E64" s="156" t="s">
        <v>1355</v>
      </c>
      <c r="F64" s="3" t="s">
        <v>1262</v>
      </c>
      <c r="G64" s="4" t="s">
        <v>1263</v>
      </c>
    </row>
    <row r="65" spans="1:7" x14ac:dyDescent="0.25">
      <c r="A65" s="154">
        <v>64</v>
      </c>
      <c r="B65" s="3" t="s">
        <v>1295</v>
      </c>
      <c r="C65" s="3" t="s">
        <v>1402</v>
      </c>
      <c r="D65" s="2" t="s">
        <v>1296</v>
      </c>
      <c r="E65" s="156" t="s">
        <v>59</v>
      </c>
      <c r="F65" s="3" t="s">
        <v>1262</v>
      </c>
      <c r="G65" s="4" t="s">
        <v>1263</v>
      </c>
    </row>
    <row r="66" spans="1:7" x14ac:dyDescent="0.25">
      <c r="A66" s="158">
        <v>65</v>
      </c>
      <c r="B66" s="3" t="s">
        <v>1295</v>
      </c>
      <c r="C66" s="3" t="s">
        <v>1402</v>
      </c>
      <c r="D66" s="2" t="s">
        <v>1403</v>
      </c>
      <c r="E66" s="156" t="s">
        <v>124</v>
      </c>
      <c r="F66" s="3" t="s">
        <v>1262</v>
      </c>
      <c r="G66" s="4" t="s">
        <v>1263</v>
      </c>
    </row>
    <row r="67" spans="1:7" x14ac:dyDescent="0.25">
      <c r="A67" s="154">
        <v>66</v>
      </c>
      <c r="B67" s="3" t="s">
        <v>1287</v>
      </c>
      <c r="C67" s="3" t="s">
        <v>1288</v>
      </c>
      <c r="D67" s="2" t="s">
        <v>1291</v>
      </c>
      <c r="E67" s="156" t="s">
        <v>159</v>
      </c>
      <c r="F67" s="3" t="s">
        <v>1262</v>
      </c>
      <c r="G67" s="4" t="s">
        <v>1263</v>
      </c>
    </row>
    <row r="68" spans="1:7" x14ac:dyDescent="0.25">
      <c r="A68" s="158">
        <v>67</v>
      </c>
      <c r="B68" s="3" t="s">
        <v>1287</v>
      </c>
      <c r="C68" s="3" t="s">
        <v>1288</v>
      </c>
      <c r="D68" s="2" t="s">
        <v>1289</v>
      </c>
      <c r="E68" s="156" t="s">
        <v>51</v>
      </c>
      <c r="F68" s="3" t="s">
        <v>1262</v>
      </c>
      <c r="G68" s="4" t="s">
        <v>1263</v>
      </c>
    </row>
    <row r="69" spans="1:7" x14ac:dyDescent="0.25">
      <c r="A69" s="154">
        <v>68</v>
      </c>
      <c r="B69" s="3" t="s">
        <v>1287</v>
      </c>
      <c r="C69" s="3" t="s">
        <v>1288</v>
      </c>
      <c r="D69" s="2" t="s">
        <v>1293</v>
      </c>
      <c r="E69" s="156" t="s">
        <v>124</v>
      </c>
      <c r="F69" s="3" t="s">
        <v>1262</v>
      </c>
      <c r="G69" s="4" t="s">
        <v>1263</v>
      </c>
    </row>
    <row r="70" spans="1:7" ht="30" x14ac:dyDescent="0.25">
      <c r="A70" s="158">
        <v>69</v>
      </c>
      <c r="B70" s="3" t="s">
        <v>1283</v>
      </c>
      <c r="C70" s="3" t="s">
        <v>1284</v>
      </c>
      <c r="D70" s="2" t="s">
        <v>1285</v>
      </c>
      <c r="E70" s="156" t="s">
        <v>5588</v>
      </c>
      <c r="F70" s="3" t="s">
        <v>1262</v>
      </c>
      <c r="G70" s="4" t="s">
        <v>1263</v>
      </c>
    </row>
    <row r="71" spans="1:7" x14ac:dyDescent="0.25">
      <c r="A71" s="154">
        <v>70</v>
      </c>
      <c r="B71" s="3" t="s">
        <v>1258</v>
      </c>
      <c r="C71" s="3" t="s">
        <v>1259</v>
      </c>
      <c r="D71" s="2" t="s">
        <v>1260</v>
      </c>
      <c r="E71" s="156" t="s">
        <v>5588</v>
      </c>
      <c r="F71" s="3" t="s">
        <v>1262</v>
      </c>
      <c r="G71" s="4" t="s">
        <v>1263</v>
      </c>
    </row>
    <row r="72" spans="1:7" x14ac:dyDescent="0.25">
      <c r="A72" s="158">
        <v>71</v>
      </c>
      <c r="B72" s="3" t="s">
        <v>1339</v>
      </c>
      <c r="C72" s="3" t="s">
        <v>1413</v>
      </c>
      <c r="D72" s="2" t="s">
        <v>1414</v>
      </c>
      <c r="E72" s="156" t="s">
        <v>159</v>
      </c>
      <c r="F72" s="3" t="s">
        <v>1262</v>
      </c>
      <c r="G72" s="4" t="s">
        <v>1263</v>
      </c>
    </row>
    <row r="73" spans="1:7" x14ac:dyDescent="0.25">
      <c r="A73" s="154">
        <v>72</v>
      </c>
      <c r="B73" s="3" t="s">
        <v>1326</v>
      </c>
      <c r="C73" s="3" t="s">
        <v>1327</v>
      </c>
      <c r="D73" s="2" t="s">
        <v>1328</v>
      </c>
      <c r="E73" s="156" t="s">
        <v>1329</v>
      </c>
      <c r="F73" s="3" t="s">
        <v>1262</v>
      </c>
      <c r="G73" s="4" t="s">
        <v>1263</v>
      </c>
    </row>
    <row r="74" spans="1:7" x14ac:dyDescent="0.25">
      <c r="A74" s="158">
        <v>73</v>
      </c>
      <c r="B74" s="3" t="s">
        <v>1311</v>
      </c>
      <c r="C74" s="3" t="s">
        <v>1312</v>
      </c>
      <c r="D74" s="2" t="s">
        <v>1313</v>
      </c>
      <c r="E74" s="156" t="s">
        <v>5588</v>
      </c>
      <c r="F74" s="3" t="s">
        <v>1262</v>
      </c>
      <c r="G74" s="4" t="s">
        <v>1263</v>
      </c>
    </row>
    <row r="75" spans="1:7" x14ac:dyDescent="0.25">
      <c r="A75" s="154">
        <v>74</v>
      </c>
      <c r="B75" s="3" t="s">
        <v>1279</v>
      </c>
      <c r="C75" s="3" t="s">
        <v>1280</v>
      </c>
      <c r="D75" s="2" t="s">
        <v>1374</v>
      </c>
      <c r="E75" s="156" t="s">
        <v>159</v>
      </c>
      <c r="F75" s="3" t="s">
        <v>1262</v>
      </c>
      <c r="G75" s="4" t="s">
        <v>1263</v>
      </c>
    </row>
    <row r="76" spans="1:7" x14ac:dyDescent="0.25">
      <c r="A76" s="158">
        <v>75</v>
      </c>
      <c r="B76" s="3" t="s">
        <v>1279</v>
      </c>
      <c r="C76" s="3" t="s">
        <v>1280</v>
      </c>
      <c r="D76" s="2" t="s">
        <v>1385</v>
      </c>
      <c r="E76" s="156" t="s">
        <v>615</v>
      </c>
      <c r="F76" s="3" t="s">
        <v>1262</v>
      </c>
      <c r="G76" s="4" t="s">
        <v>1263</v>
      </c>
    </row>
    <row r="77" spans="1:7" x14ac:dyDescent="0.25">
      <c r="A77" s="154">
        <v>76</v>
      </c>
      <c r="B77" s="3" t="s">
        <v>1279</v>
      </c>
      <c r="C77" s="3" t="s">
        <v>1280</v>
      </c>
      <c r="D77" s="2" t="s">
        <v>1307</v>
      </c>
      <c r="E77" s="156" t="s">
        <v>159</v>
      </c>
      <c r="F77" s="3" t="s">
        <v>1262</v>
      </c>
      <c r="G77" s="4" t="s">
        <v>1263</v>
      </c>
    </row>
    <row r="78" spans="1:7" x14ac:dyDescent="0.25">
      <c r="A78" s="158">
        <v>77</v>
      </c>
      <c r="B78" s="3" t="s">
        <v>1279</v>
      </c>
      <c r="C78" s="3" t="s">
        <v>1280</v>
      </c>
      <c r="D78" s="2" t="s">
        <v>1372</v>
      </c>
      <c r="E78" s="156" t="s">
        <v>51</v>
      </c>
      <c r="F78" s="3" t="s">
        <v>1262</v>
      </c>
      <c r="G78" s="4" t="s">
        <v>1263</v>
      </c>
    </row>
    <row r="79" spans="1:7" x14ac:dyDescent="0.25">
      <c r="A79" s="154">
        <v>78</v>
      </c>
      <c r="B79" s="3" t="s">
        <v>1279</v>
      </c>
      <c r="C79" s="3" t="s">
        <v>1280</v>
      </c>
      <c r="D79" s="2" t="s">
        <v>1281</v>
      </c>
      <c r="E79" s="156" t="s">
        <v>159</v>
      </c>
      <c r="F79" s="3" t="s">
        <v>1262</v>
      </c>
      <c r="G79" s="4" t="s">
        <v>1263</v>
      </c>
    </row>
    <row r="80" spans="1:7" x14ac:dyDescent="0.25">
      <c r="A80" s="158">
        <v>79</v>
      </c>
      <c r="B80" s="3" t="s">
        <v>1279</v>
      </c>
      <c r="C80" s="3" t="s">
        <v>1280</v>
      </c>
      <c r="D80" s="2" t="s">
        <v>1394</v>
      </c>
      <c r="E80" s="156" t="s">
        <v>969</v>
      </c>
      <c r="F80" s="3" t="s">
        <v>1262</v>
      </c>
      <c r="G80" s="4" t="s">
        <v>1263</v>
      </c>
    </row>
    <row r="81" spans="1:7" x14ac:dyDescent="0.25">
      <c r="A81" s="154">
        <v>80</v>
      </c>
      <c r="B81" s="3" t="s">
        <v>1331</v>
      </c>
      <c r="C81" s="3" t="s">
        <v>1332</v>
      </c>
      <c r="D81" s="2" t="s">
        <v>1333</v>
      </c>
      <c r="E81" s="156" t="s">
        <v>79</v>
      </c>
      <c r="F81" s="3" t="s">
        <v>1262</v>
      </c>
      <c r="G81" s="4" t="s">
        <v>1263</v>
      </c>
    </row>
    <row r="82" spans="1:7" x14ac:dyDescent="0.25">
      <c r="A82" s="158">
        <v>81</v>
      </c>
      <c r="B82" s="3" t="s">
        <v>1331</v>
      </c>
      <c r="C82" s="3" t="s">
        <v>1332</v>
      </c>
      <c r="D82" s="2" t="s">
        <v>1363</v>
      </c>
      <c r="E82" s="156" t="s">
        <v>283</v>
      </c>
      <c r="F82" s="3" t="s">
        <v>1262</v>
      </c>
      <c r="G82" s="4" t="s">
        <v>1263</v>
      </c>
    </row>
    <row r="83" spans="1:7" x14ac:dyDescent="0.25">
      <c r="A83" s="154">
        <v>82</v>
      </c>
      <c r="B83" s="3" t="s">
        <v>1264</v>
      </c>
      <c r="C83" s="3" t="s">
        <v>1270</v>
      </c>
      <c r="D83" s="2"/>
      <c r="E83" s="156" t="s">
        <v>5588</v>
      </c>
      <c r="F83" s="3" t="s">
        <v>1262</v>
      </c>
      <c r="G83" s="4" t="s">
        <v>1263</v>
      </c>
    </row>
    <row r="84" spans="1:7" x14ac:dyDescent="0.25">
      <c r="A84" s="158">
        <v>83</v>
      </c>
      <c r="B84" s="3" t="s">
        <v>1264</v>
      </c>
      <c r="C84" s="3" t="s">
        <v>1270</v>
      </c>
      <c r="D84" s="2" t="s">
        <v>1358</v>
      </c>
      <c r="E84" s="156" t="s">
        <v>124</v>
      </c>
      <c r="F84" s="3" t="s">
        <v>1262</v>
      </c>
      <c r="G84" s="4" t="s">
        <v>1263</v>
      </c>
    </row>
    <row r="85" spans="1:7" x14ac:dyDescent="0.25">
      <c r="A85" s="154">
        <v>84</v>
      </c>
      <c r="B85" s="3" t="s">
        <v>1264</v>
      </c>
      <c r="C85" s="3" t="s">
        <v>1270</v>
      </c>
      <c r="D85" s="2" t="s">
        <v>1271</v>
      </c>
      <c r="E85" s="156" t="s">
        <v>124</v>
      </c>
      <c r="F85" s="3" t="s">
        <v>1262</v>
      </c>
      <c r="G85" s="4" t="s">
        <v>1263</v>
      </c>
    </row>
    <row r="86" spans="1:7" x14ac:dyDescent="0.25">
      <c r="A86" s="158">
        <v>85</v>
      </c>
      <c r="B86" s="3" t="s">
        <v>1266</v>
      </c>
      <c r="C86" s="3" t="s">
        <v>1267</v>
      </c>
      <c r="D86" s="2" t="s">
        <v>1360</v>
      </c>
      <c r="E86" s="156" t="s">
        <v>615</v>
      </c>
      <c r="F86" s="3" t="s">
        <v>1262</v>
      </c>
      <c r="G86" s="4" t="s">
        <v>1263</v>
      </c>
    </row>
    <row r="87" spans="1:7" x14ac:dyDescent="0.25">
      <c r="A87" s="154">
        <v>86</v>
      </c>
      <c r="B87" s="3" t="s">
        <v>1266</v>
      </c>
      <c r="C87" s="3" t="s">
        <v>1267</v>
      </c>
      <c r="D87" s="2" t="s">
        <v>1268</v>
      </c>
      <c r="E87" s="156" t="s">
        <v>615</v>
      </c>
      <c r="F87" s="3" t="s">
        <v>1262</v>
      </c>
      <c r="G87" s="4" t="s">
        <v>1263</v>
      </c>
    </row>
    <row r="88" spans="1:7" x14ac:dyDescent="0.25">
      <c r="A88" s="158">
        <v>87</v>
      </c>
      <c r="B88" s="3" t="s">
        <v>1273</v>
      </c>
      <c r="C88" s="3" t="s">
        <v>1274</v>
      </c>
      <c r="D88" s="2" t="s">
        <v>1335</v>
      </c>
      <c r="E88" s="156" t="s">
        <v>5588</v>
      </c>
      <c r="F88" s="3" t="s">
        <v>1262</v>
      </c>
      <c r="G88" s="4" t="s">
        <v>1263</v>
      </c>
    </row>
    <row r="89" spans="1:7" x14ac:dyDescent="0.25">
      <c r="A89" s="154">
        <v>88</v>
      </c>
      <c r="B89" s="3" t="s">
        <v>1273</v>
      </c>
      <c r="C89" s="3" t="s">
        <v>1298</v>
      </c>
      <c r="D89" s="2" t="s">
        <v>1305</v>
      </c>
      <c r="E89" s="156" t="s">
        <v>124</v>
      </c>
      <c r="F89" s="3" t="s">
        <v>1262</v>
      </c>
      <c r="G89" s="4" t="s">
        <v>1263</v>
      </c>
    </row>
    <row r="90" spans="1:7" x14ac:dyDescent="0.25">
      <c r="A90" s="158">
        <v>89</v>
      </c>
      <c r="B90" s="3" t="s">
        <v>1273</v>
      </c>
      <c r="C90" s="3" t="s">
        <v>1274</v>
      </c>
      <c r="D90" s="2" t="s">
        <v>1369</v>
      </c>
      <c r="E90" s="156" t="s">
        <v>1370</v>
      </c>
      <c r="F90" s="3" t="s">
        <v>1262</v>
      </c>
      <c r="G90" s="4" t="s">
        <v>1263</v>
      </c>
    </row>
    <row r="91" spans="1:7" x14ac:dyDescent="0.25">
      <c r="A91" s="154">
        <v>90</v>
      </c>
      <c r="B91" s="3" t="s">
        <v>1273</v>
      </c>
      <c r="C91" s="3" t="s">
        <v>1298</v>
      </c>
      <c r="D91" s="2" t="s">
        <v>1376</v>
      </c>
      <c r="E91" s="156" t="s">
        <v>159</v>
      </c>
      <c r="F91" s="3" t="s">
        <v>1262</v>
      </c>
      <c r="G91" s="4" t="s">
        <v>1263</v>
      </c>
    </row>
    <row r="92" spans="1:7" x14ac:dyDescent="0.25">
      <c r="A92" s="158">
        <v>91</v>
      </c>
      <c r="B92" s="3" t="s">
        <v>1273</v>
      </c>
      <c r="C92" s="3" t="s">
        <v>1274</v>
      </c>
      <c r="D92" s="2" t="s">
        <v>1275</v>
      </c>
      <c r="E92" s="156" t="s">
        <v>159</v>
      </c>
      <c r="F92" s="3" t="s">
        <v>1262</v>
      </c>
      <c r="G92" s="4" t="s">
        <v>1263</v>
      </c>
    </row>
    <row r="93" spans="1:7" x14ac:dyDescent="0.25">
      <c r="A93" s="154">
        <v>92</v>
      </c>
      <c r="B93" s="3" t="s">
        <v>1273</v>
      </c>
      <c r="C93" s="3" t="s">
        <v>1274</v>
      </c>
      <c r="D93" s="2" t="s">
        <v>1277</v>
      </c>
      <c r="E93" s="156" t="s">
        <v>159</v>
      </c>
      <c r="F93" s="3" t="s">
        <v>1262</v>
      </c>
      <c r="G93" s="4" t="s">
        <v>1263</v>
      </c>
    </row>
    <row r="94" spans="1:7" x14ac:dyDescent="0.25">
      <c r="A94" s="158">
        <v>93</v>
      </c>
      <c r="B94" s="3" t="s">
        <v>1273</v>
      </c>
      <c r="C94" s="3" t="s">
        <v>1274</v>
      </c>
      <c r="D94" s="2" t="s">
        <v>1337</v>
      </c>
      <c r="E94" s="156" t="s">
        <v>124</v>
      </c>
      <c r="F94" s="3" t="s">
        <v>1262</v>
      </c>
      <c r="G94" s="4" t="s">
        <v>1263</v>
      </c>
    </row>
    <row r="95" spans="1:7" x14ac:dyDescent="0.25">
      <c r="A95" s="154">
        <v>94</v>
      </c>
      <c r="B95" s="3" t="s">
        <v>1273</v>
      </c>
      <c r="C95" s="3" t="s">
        <v>1298</v>
      </c>
      <c r="D95" s="2" t="s">
        <v>1309</v>
      </c>
      <c r="E95" s="156" t="s">
        <v>124</v>
      </c>
      <c r="F95" s="3" t="s">
        <v>1262</v>
      </c>
      <c r="G95" s="4" t="s">
        <v>1263</v>
      </c>
    </row>
    <row r="96" spans="1:7" x14ac:dyDescent="0.25">
      <c r="A96" s="158">
        <v>95</v>
      </c>
      <c r="B96" s="3" t="s">
        <v>1273</v>
      </c>
      <c r="C96" s="3" t="s">
        <v>1298</v>
      </c>
      <c r="D96" s="2" t="s">
        <v>1301</v>
      </c>
      <c r="E96" s="156" t="s">
        <v>124</v>
      </c>
      <c r="F96" s="3" t="s">
        <v>1262</v>
      </c>
      <c r="G96" s="4" t="s">
        <v>1263</v>
      </c>
    </row>
    <row r="97" spans="1:7" x14ac:dyDescent="0.25">
      <c r="A97" s="154">
        <v>96</v>
      </c>
      <c r="B97" s="3" t="s">
        <v>1273</v>
      </c>
      <c r="C97" s="3" t="s">
        <v>1298</v>
      </c>
      <c r="D97" s="2" t="s">
        <v>1299</v>
      </c>
      <c r="E97" s="156" t="s">
        <v>124</v>
      </c>
      <c r="F97" s="3" t="s">
        <v>1262</v>
      </c>
      <c r="G97" s="4" t="s">
        <v>1263</v>
      </c>
    </row>
    <row r="98" spans="1:7" x14ac:dyDescent="0.25">
      <c r="A98" s="158">
        <v>97</v>
      </c>
      <c r="B98" s="3" t="s">
        <v>1273</v>
      </c>
      <c r="C98" s="3" t="s">
        <v>1298</v>
      </c>
      <c r="D98" s="2" t="s">
        <v>1303</v>
      </c>
      <c r="E98" s="156" t="s">
        <v>124</v>
      </c>
      <c r="F98" s="3" t="s">
        <v>1262</v>
      </c>
      <c r="G98" s="4" t="s">
        <v>1263</v>
      </c>
    </row>
    <row r="99" spans="1:7" x14ac:dyDescent="0.25">
      <c r="A99" s="154">
        <v>98</v>
      </c>
      <c r="B99" s="3" t="s">
        <v>1273</v>
      </c>
      <c r="C99" s="3" t="s">
        <v>1274</v>
      </c>
      <c r="D99" s="2" t="s">
        <v>1362</v>
      </c>
      <c r="E99" s="156" t="s">
        <v>90</v>
      </c>
      <c r="F99" s="3" t="s">
        <v>1262</v>
      </c>
      <c r="G99" s="4" t="s">
        <v>1263</v>
      </c>
    </row>
    <row r="100" spans="1:7" x14ac:dyDescent="0.25">
      <c r="A100" s="158">
        <v>99</v>
      </c>
      <c r="B100" s="3" t="s">
        <v>1315</v>
      </c>
      <c r="C100" s="3" t="s">
        <v>1316</v>
      </c>
      <c r="D100" s="2" t="s">
        <v>1317</v>
      </c>
      <c r="E100" s="156" t="s">
        <v>159</v>
      </c>
      <c r="F100" s="3" t="s">
        <v>1262</v>
      </c>
      <c r="G100" s="4" t="s">
        <v>1263</v>
      </c>
    </row>
    <row r="101" spans="1:7" x14ac:dyDescent="0.25">
      <c r="A101" s="154">
        <v>100</v>
      </c>
      <c r="B101" s="3" t="s">
        <v>1408</v>
      </c>
      <c r="C101" s="3" t="s">
        <v>1409</v>
      </c>
      <c r="D101" s="2" t="s">
        <v>1410</v>
      </c>
      <c r="E101" s="156" t="s">
        <v>79</v>
      </c>
      <c r="F101" s="3" t="s">
        <v>1262</v>
      </c>
      <c r="G101" s="4" t="s">
        <v>1263</v>
      </c>
    </row>
    <row r="102" spans="1:7" x14ac:dyDescent="0.25">
      <c r="A102" s="158">
        <v>101</v>
      </c>
      <c r="B102" s="3" t="s">
        <v>880</v>
      </c>
      <c r="C102" s="549" t="s">
        <v>1867</v>
      </c>
      <c r="D102" s="2"/>
      <c r="E102" s="156" t="s">
        <v>296</v>
      </c>
      <c r="F102" s="3" t="s">
        <v>1262</v>
      </c>
      <c r="G102" s="4"/>
    </row>
    <row r="103" spans="1:7" x14ac:dyDescent="0.25">
      <c r="A103" s="154">
        <v>102</v>
      </c>
      <c r="B103" s="3" t="s">
        <v>24</v>
      </c>
      <c r="C103" s="3" t="s">
        <v>208</v>
      </c>
      <c r="D103" s="2" t="s">
        <v>1890</v>
      </c>
      <c r="E103" s="156" t="s">
        <v>79</v>
      </c>
      <c r="F103" s="3" t="s">
        <v>1262</v>
      </c>
      <c r="G103" s="4" t="s">
        <v>1892</v>
      </c>
    </row>
    <row r="104" spans="1:7" x14ac:dyDescent="0.25">
      <c r="A104" s="158">
        <v>103</v>
      </c>
      <c r="B104" s="3" t="s">
        <v>24</v>
      </c>
      <c r="C104" s="3" t="s">
        <v>1084</v>
      </c>
      <c r="D104" s="2" t="s">
        <v>1924</v>
      </c>
      <c r="E104" s="156" t="s">
        <v>550</v>
      </c>
      <c r="F104" s="3" t="s">
        <v>1262</v>
      </c>
      <c r="G104" s="4" t="s">
        <v>1925</v>
      </c>
    </row>
    <row r="105" spans="1:7" x14ac:dyDescent="0.25">
      <c r="A105" s="154">
        <v>104</v>
      </c>
      <c r="B105" s="3" t="s">
        <v>24</v>
      </c>
      <c r="C105" s="3" t="s">
        <v>37</v>
      </c>
      <c r="D105" s="2" t="s">
        <v>1893</v>
      </c>
      <c r="E105" s="156" t="s">
        <v>124</v>
      </c>
      <c r="F105" s="3" t="s">
        <v>1262</v>
      </c>
      <c r="G105" s="4" t="s">
        <v>1895</v>
      </c>
    </row>
    <row r="106" spans="1:7" x14ac:dyDescent="0.25">
      <c r="A106" s="158">
        <v>105</v>
      </c>
      <c r="B106" s="3" t="s">
        <v>24</v>
      </c>
      <c r="C106" s="3" t="s">
        <v>37</v>
      </c>
      <c r="D106" s="2" t="s">
        <v>1940</v>
      </c>
      <c r="E106" s="156" t="s">
        <v>51</v>
      </c>
      <c r="F106" s="3" t="s">
        <v>1262</v>
      </c>
      <c r="G106" s="4" t="s">
        <v>1220</v>
      </c>
    </row>
    <row r="107" spans="1:7" x14ac:dyDescent="0.25">
      <c r="A107" s="154">
        <v>106</v>
      </c>
      <c r="B107" s="3" t="s">
        <v>24</v>
      </c>
      <c r="C107" s="3" t="s">
        <v>45</v>
      </c>
      <c r="D107" s="2" t="s">
        <v>1955</v>
      </c>
      <c r="E107" s="156" t="s">
        <v>51</v>
      </c>
      <c r="F107" s="3" t="s">
        <v>1262</v>
      </c>
      <c r="G107" s="4" t="s">
        <v>1956</v>
      </c>
    </row>
    <row r="108" spans="1:7" x14ac:dyDescent="0.25">
      <c r="A108" s="158">
        <v>107</v>
      </c>
      <c r="B108" s="3" t="s">
        <v>24</v>
      </c>
      <c r="C108" s="3" t="s">
        <v>37</v>
      </c>
      <c r="D108" s="2" t="s">
        <v>1915</v>
      </c>
      <c r="E108" s="156" t="s">
        <v>51</v>
      </c>
      <c r="F108" s="3" t="s">
        <v>1262</v>
      </c>
      <c r="G108" s="4" t="s">
        <v>1888</v>
      </c>
    </row>
    <row r="109" spans="1:7" x14ac:dyDescent="0.25">
      <c r="A109" s="154">
        <v>108</v>
      </c>
      <c r="B109" s="3" t="s">
        <v>24</v>
      </c>
      <c r="C109" s="3" t="s">
        <v>25</v>
      </c>
      <c r="D109" s="2" t="s">
        <v>1908</v>
      </c>
      <c r="E109" s="156" t="s">
        <v>124</v>
      </c>
      <c r="F109" s="3" t="s">
        <v>1262</v>
      </c>
      <c r="G109" s="4" t="s">
        <v>1154</v>
      </c>
    </row>
    <row r="110" spans="1:7" x14ac:dyDescent="0.25">
      <c r="A110" s="158">
        <v>109</v>
      </c>
      <c r="B110" s="3" t="s">
        <v>24</v>
      </c>
      <c r="C110" s="3" t="s">
        <v>25</v>
      </c>
      <c r="D110" s="2" t="s">
        <v>1911</v>
      </c>
      <c r="E110" s="156" t="s">
        <v>124</v>
      </c>
      <c r="F110" s="3" t="s">
        <v>1262</v>
      </c>
      <c r="G110" s="4" t="s">
        <v>1157</v>
      </c>
    </row>
    <row r="111" spans="1:7" x14ac:dyDescent="0.25">
      <c r="A111" s="154">
        <v>110</v>
      </c>
      <c r="B111" s="3" t="s">
        <v>24</v>
      </c>
      <c r="C111" s="3" t="s">
        <v>1105</v>
      </c>
      <c r="D111" s="2" t="s">
        <v>1913</v>
      </c>
      <c r="E111" s="156" t="s">
        <v>296</v>
      </c>
      <c r="F111" s="3" t="s">
        <v>1262</v>
      </c>
      <c r="G111" s="4" t="s">
        <v>1160</v>
      </c>
    </row>
    <row r="112" spans="1:7" x14ac:dyDescent="0.25">
      <c r="A112" s="158">
        <v>111</v>
      </c>
      <c r="B112" s="3" t="s">
        <v>24</v>
      </c>
      <c r="C112" s="3" t="s">
        <v>1105</v>
      </c>
      <c r="D112" s="2" t="s">
        <v>1914</v>
      </c>
      <c r="E112" s="156" t="s">
        <v>296</v>
      </c>
      <c r="F112" s="3" t="s">
        <v>1262</v>
      </c>
      <c r="G112" s="4" t="s">
        <v>1164</v>
      </c>
    </row>
    <row r="113" spans="1:7" x14ac:dyDescent="0.25">
      <c r="A113" s="154">
        <v>112</v>
      </c>
      <c r="B113" s="3" t="s">
        <v>24</v>
      </c>
      <c r="C113" s="3" t="s">
        <v>25</v>
      </c>
      <c r="D113" s="2" t="s">
        <v>1922</v>
      </c>
      <c r="E113" s="156" t="s">
        <v>124</v>
      </c>
      <c r="F113" s="3" t="s">
        <v>1262</v>
      </c>
      <c r="G113" s="4" t="s">
        <v>1167</v>
      </c>
    </row>
    <row r="114" spans="1:7" x14ac:dyDescent="0.25">
      <c r="A114" s="158">
        <v>113</v>
      </c>
      <c r="B114" s="3" t="s">
        <v>24</v>
      </c>
      <c r="C114" s="3" t="s">
        <v>1105</v>
      </c>
      <c r="D114" s="2" t="s">
        <v>1926</v>
      </c>
      <c r="E114" s="156" t="s">
        <v>296</v>
      </c>
      <c r="F114" s="3" t="s">
        <v>1262</v>
      </c>
      <c r="G114" s="4" t="s">
        <v>1859</v>
      </c>
    </row>
    <row r="115" spans="1:7" x14ac:dyDescent="0.25">
      <c r="A115" s="154">
        <v>114</v>
      </c>
      <c r="B115" s="3" t="s">
        <v>24</v>
      </c>
      <c r="C115" s="3" t="s">
        <v>25</v>
      </c>
      <c r="D115" s="2" t="s">
        <v>1927</v>
      </c>
      <c r="E115" s="156" t="s">
        <v>5588</v>
      </c>
      <c r="F115" s="3" t="s">
        <v>1262</v>
      </c>
      <c r="G115" s="4" t="s">
        <v>1172</v>
      </c>
    </row>
    <row r="116" spans="1:7" x14ac:dyDescent="0.25">
      <c r="A116" s="158">
        <v>115</v>
      </c>
      <c r="B116" s="3" t="s">
        <v>24</v>
      </c>
      <c r="C116" s="3" t="s">
        <v>104</v>
      </c>
      <c r="D116" s="2" t="s">
        <v>1934</v>
      </c>
      <c r="E116" s="156" t="s">
        <v>5588</v>
      </c>
      <c r="F116" s="3" t="s">
        <v>1262</v>
      </c>
      <c r="G116" s="4" t="s">
        <v>1935</v>
      </c>
    </row>
    <row r="117" spans="1:7" x14ac:dyDescent="0.25">
      <c r="A117" s="154">
        <v>116</v>
      </c>
      <c r="B117" s="3" t="s">
        <v>24</v>
      </c>
      <c r="C117" s="3" t="s">
        <v>104</v>
      </c>
      <c r="D117" s="2" t="s">
        <v>1931</v>
      </c>
      <c r="E117" s="156" t="s">
        <v>283</v>
      </c>
      <c r="F117" s="3" t="s">
        <v>1262</v>
      </c>
      <c r="G117" s="4" t="s">
        <v>1933</v>
      </c>
    </row>
    <row r="118" spans="1:7" x14ac:dyDescent="0.25">
      <c r="A118" s="158">
        <v>117</v>
      </c>
      <c r="B118" s="3" t="s">
        <v>24</v>
      </c>
      <c r="C118" s="3" t="s">
        <v>25</v>
      </c>
      <c r="D118" s="2" t="s">
        <v>1046</v>
      </c>
      <c r="E118" s="156" t="s">
        <v>969</v>
      </c>
      <c r="F118" s="3" t="s">
        <v>1262</v>
      </c>
      <c r="G118" s="4" t="s">
        <v>1223</v>
      </c>
    </row>
    <row r="119" spans="1:7" x14ac:dyDescent="0.25">
      <c r="A119" s="154">
        <v>118</v>
      </c>
      <c r="B119" s="3" t="s">
        <v>24</v>
      </c>
      <c r="C119" s="3" t="s">
        <v>37</v>
      </c>
      <c r="D119" s="2" t="s">
        <v>1900</v>
      </c>
      <c r="E119" s="156" t="s">
        <v>51</v>
      </c>
      <c r="F119" s="3" t="s">
        <v>1262</v>
      </c>
      <c r="G119" s="4" t="s">
        <v>119</v>
      </c>
    </row>
    <row r="120" spans="1:7" x14ac:dyDescent="0.25">
      <c r="A120" s="158">
        <v>119</v>
      </c>
      <c r="B120" s="3" t="s">
        <v>24</v>
      </c>
      <c r="C120" s="3" t="s">
        <v>1102</v>
      </c>
      <c r="D120" s="2" t="s">
        <v>1416</v>
      </c>
      <c r="E120" s="156" t="s">
        <v>79</v>
      </c>
      <c r="F120" s="3" t="s">
        <v>1262</v>
      </c>
      <c r="G120" s="4" t="s">
        <v>1263</v>
      </c>
    </row>
    <row r="121" spans="1:7" x14ac:dyDescent="0.25">
      <c r="A121" s="154">
        <v>120</v>
      </c>
      <c r="B121" s="3" t="s">
        <v>325</v>
      </c>
      <c r="C121" s="3" t="s">
        <v>1936</v>
      </c>
      <c r="D121" s="2" t="s">
        <v>1937</v>
      </c>
      <c r="E121" s="156" t="s">
        <v>550</v>
      </c>
      <c r="F121" s="3" t="s">
        <v>1262</v>
      </c>
      <c r="G121" s="4" t="s">
        <v>1935</v>
      </c>
    </row>
    <row r="122" spans="1:7" x14ac:dyDescent="0.25">
      <c r="A122" s="158">
        <v>121</v>
      </c>
      <c r="B122" s="3" t="s">
        <v>1387</v>
      </c>
      <c r="C122" s="3" t="s">
        <v>1388</v>
      </c>
      <c r="D122" s="2" t="s">
        <v>1389</v>
      </c>
      <c r="E122" s="156" t="s">
        <v>1042</v>
      </c>
      <c r="F122" s="3" t="s">
        <v>1262</v>
      </c>
      <c r="G122" s="4" t="s">
        <v>1263</v>
      </c>
    </row>
    <row r="123" spans="1:7" x14ac:dyDescent="0.25">
      <c r="A123" s="154">
        <v>122</v>
      </c>
      <c r="B123" s="3" t="s">
        <v>76</v>
      </c>
      <c r="C123" s="3" t="s">
        <v>786</v>
      </c>
      <c r="D123" s="2" t="s">
        <v>787</v>
      </c>
      <c r="E123" s="156" t="s">
        <v>550</v>
      </c>
      <c r="F123" s="3" t="s">
        <v>766</v>
      </c>
      <c r="G123" s="4" t="s">
        <v>767</v>
      </c>
    </row>
    <row r="124" spans="1:7" x14ac:dyDescent="0.25">
      <c r="A124" s="158">
        <v>123</v>
      </c>
      <c r="B124" s="3" t="s">
        <v>76</v>
      </c>
      <c r="C124" s="43" t="s">
        <v>786</v>
      </c>
      <c r="D124" s="2" t="s">
        <v>787</v>
      </c>
      <c r="E124" s="156" t="s">
        <v>550</v>
      </c>
      <c r="F124" s="475" t="s">
        <v>766</v>
      </c>
      <c r="G124" s="477" t="s">
        <v>767</v>
      </c>
    </row>
    <row r="125" spans="1:7" x14ac:dyDescent="0.25">
      <c r="A125" s="154">
        <v>124</v>
      </c>
      <c r="B125" s="3" t="s">
        <v>76</v>
      </c>
      <c r="C125" s="3" t="s">
        <v>989</v>
      </c>
      <c r="D125" s="2" t="s">
        <v>990</v>
      </c>
      <c r="E125" s="156" t="s">
        <v>159</v>
      </c>
      <c r="F125" s="3" t="s">
        <v>766</v>
      </c>
      <c r="G125" s="4"/>
    </row>
    <row r="126" spans="1:7" x14ac:dyDescent="0.25">
      <c r="A126" s="158">
        <v>125</v>
      </c>
      <c r="B126" s="3" t="s">
        <v>355</v>
      </c>
      <c r="C126" s="3" t="s">
        <v>825</v>
      </c>
      <c r="D126" s="2" t="s">
        <v>828</v>
      </c>
      <c r="E126" s="156" t="s">
        <v>90</v>
      </c>
      <c r="F126" s="3" t="s">
        <v>766</v>
      </c>
      <c r="G126" s="4" t="s">
        <v>767</v>
      </c>
    </row>
    <row r="127" spans="1:7" x14ac:dyDescent="0.25">
      <c r="A127" s="154">
        <v>126</v>
      </c>
      <c r="B127" s="3" t="s">
        <v>355</v>
      </c>
      <c r="C127" s="3" t="s">
        <v>825</v>
      </c>
      <c r="D127" s="2" t="s">
        <v>830</v>
      </c>
      <c r="E127" s="156" t="s">
        <v>47</v>
      </c>
      <c r="F127" s="3" t="s">
        <v>766</v>
      </c>
      <c r="G127" s="4" t="s">
        <v>767</v>
      </c>
    </row>
    <row r="128" spans="1:7" x14ac:dyDescent="0.25">
      <c r="A128" s="158">
        <v>127</v>
      </c>
      <c r="B128" s="3" t="s">
        <v>355</v>
      </c>
      <c r="C128" s="3" t="s">
        <v>825</v>
      </c>
      <c r="D128" s="2" t="s">
        <v>826</v>
      </c>
      <c r="E128" s="156" t="s">
        <v>59</v>
      </c>
      <c r="F128" s="3" t="s">
        <v>766</v>
      </c>
      <c r="G128" s="4" t="s">
        <v>767</v>
      </c>
    </row>
    <row r="129" spans="1:7" x14ac:dyDescent="0.25">
      <c r="A129" s="154">
        <v>128</v>
      </c>
      <c r="B129" s="3" t="s">
        <v>355</v>
      </c>
      <c r="C129" s="166" t="s">
        <v>825</v>
      </c>
      <c r="D129" s="2" t="s">
        <v>927</v>
      </c>
      <c r="E129" s="156" t="s">
        <v>59</v>
      </c>
      <c r="F129" s="3" t="s">
        <v>766</v>
      </c>
      <c r="G129" s="4" t="s">
        <v>928</v>
      </c>
    </row>
    <row r="130" spans="1:7" x14ac:dyDescent="0.25">
      <c r="A130" s="158">
        <v>129</v>
      </c>
      <c r="B130" s="170" t="s">
        <v>3728</v>
      </c>
      <c r="C130" s="3" t="s">
        <v>556</v>
      </c>
      <c r="D130" s="2" t="s">
        <v>888</v>
      </c>
      <c r="E130" s="156" t="s">
        <v>51</v>
      </c>
      <c r="F130" s="3" t="s">
        <v>766</v>
      </c>
      <c r="G130" s="4" t="s">
        <v>767</v>
      </c>
    </row>
    <row r="131" spans="1:7" x14ac:dyDescent="0.25">
      <c r="A131" s="154">
        <v>130</v>
      </c>
      <c r="B131" s="170" t="s">
        <v>3728</v>
      </c>
      <c r="C131" s="3" t="s">
        <v>556</v>
      </c>
      <c r="D131" s="2" t="s">
        <v>890</v>
      </c>
      <c r="E131" s="156" t="s">
        <v>51</v>
      </c>
      <c r="F131" s="3" t="s">
        <v>766</v>
      </c>
      <c r="G131" s="4" t="s">
        <v>767</v>
      </c>
    </row>
    <row r="132" spans="1:7" x14ac:dyDescent="0.25">
      <c r="A132" s="158">
        <v>131</v>
      </c>
      <c r="B132" s="170" t="s">
        <v>3728</v>
      </c>
      <c r="C132" s="170" t="s">
        <v>967</v>
      </c>
      <c r="D132" s="2" t="s">
        <v>968</v>
      </c>
      <c r="E132" s="156" t="s">
        <v>969</v>
      </c>
      <c r="F132" s="3" t="s">
        <v>766</v>
      </c>
      <c r="G132" s="4" t="s">
        <v>971</v>
      </c>
    </row>
    <row r="133" spans="1:7" x14ac:dyDescent="0.25">
      <c r="A133" s="154">
        <v>132</v>
      </c>
      <c r="B133" s="170" t="s">
        <v>3728</v>
      </c>
      <c r="C133" s="3" t="s">
        <v>967</v>
      </c>
      <c r="D133" s="2" t="s">
        <v>972</v>
      </c>
      <c r="E133" s="156" t="s">
        <v>969</v>
      </c>
      <c r="F133" s="3" t="s">
        <v>766</v>
      </c>
      <c r="G133" s="4" t="s">
        <v>971</v>
      </c>
    </row>
    <row r="134" spans="1:7" x14ac:dyDescent="0.25">
      <c r="A134" s="158">
        <v>133</v>
      </c>
      <c r="B134" s="3" t="s">
        <v>763</v>
      </c>
      <c r="C134" s="3" t="s">
        <v>764</v>
      </c>
      <c r="D134" s="2" t="s">
        <v>765</v>
      </c>
      <c r="E134" s="156" t="s">
        <v>550</v>
      </c>
      <c r="F134" s="3" t="s">
        <v>766</v>
      </c>
      <c r="G134" s="4" t="s">
        <v>767</v>
      </c>
    </row>
    <row r="135" spans="1:7" x14ac:dyDescent="0.25">
      <c r="A135" s="154">
        <v>134</v>
      </c>
      <c r="B135" s="3" t="s">
        <v>763</v>
      </c>
      <c r="C135" s="3" t="s">
        <v>764</v>
      </c>
      <c r="D135" s="2" t="s">
        <v>777</v>
      </c>
      <c r="E135" s="156" t="s">
        <v>550</v>
      </c>
      <c r="F135" s="3" t="s">
        <v>766</v>
      </c>
      <c r="G135" s="4" t="s">
        <v>767</v>
      </c>
    </row>
    <row r="136" spans="1:7" x14ac:dyDescent="0.25">
      <c r="A136" s="158">
        <v>135</v>
      </c>
      <c r="B136" s="3" t="s">
        <v>867</v>
      </c>
      <c r="C136" s="459" t="s">
        <v>868</v>
      </c>
      <c r="D136" s="2" t="s">
        <v>947</v>
      </c>
      <c r="E136" s="156" t="s">
        <v>51</v>
      </c>
      <c r="F136" s="3" t="s">
        <v>766</v>
      </c>
      <c r="G136" s="4" t="s">
        <v>928</v>
      </c>
    </row>
    <row r="137" spans="1:7" x14ac:dyDescent="0.25">
      <c r="A137" s="154">
        <v>136</v>
      </c>
      <c r="B137" s="3" t="s">
        <v>981</v>
      </c>
      <c r="C137" s="3" t="s">
        <v>982</v>
      </c>
      <c r="D137" s="2" t="s">
        <v>983</v>
      </c>
      <c r="E137" s="156" t="s">
        <v>283</v>
      </c>
      <c r="F137" s="3" t="s">
        <v>766</v>
      </c>
      <c r="G137" s="4" t="s">
        <v>985</v>
      </c>
    </row>
    <row r="138" spans="1:7" x14ac:dyDescent="0.25">
      <c r="A138" s="158">
        <v>137</v>
      </c>
      <c r="B138" s="3" t="s">
        <v>880</v>
      </c>
      <c r="C138" s="3" t="s">
        <v>881</v>
      </c>
      <c r="D138" s="2"/>
      <c r="E138" s="156" t="s">
        <v>5588</v>
      </c>
      <c r="F138" s="3" t="s">
        <v>766</v>
      </c>
      <c r="G138" s="4" t="s">
        <v>767</v>
      </c>
    </row>
    <row r="139" spans="1:7" x14ac:dyDescent="0.25">
      <c r="A139" s="154">
        <v>138</v>
      </c>
      <c r="B139" s="3" t="s">
        <v>880</v>
      </c>
      <c r="C139" s="3" t="s">
        <v>881</v>
      </c>
      <c r="D139" s="2"/>
      <c r="E139" s="156" t="s">
        <v>5588</v>
      </c>
      <c r="F139" s="3" t="s">
        <v>766</v>
      </c>
      <c r="G139" s="4" t="s">
        <v>928</v>
      </c>
    </row>
    <row r="140" spans="1:7" x14ac:dyDescent="0.25">
      <c r="A140" s="158">
        <v>139</v>
      </c>
      <c r="B140" s="3" t="s">
        <v>24</v>
      </c>
      <c r="C140" s="3" t="s">
        <v>1084</v>
      </c>
      <c r="D140" s="2" t="s">
        <v>817</v>
      </c>
      <c r="E140" s="156" t="s">
        <v>90</v>
      </c>
      <c r="F140" s="3" t="s">
        <v>766</v>
      </c>
      <c r="G140" s="4" t="s">
        <v>767</v>
      </c>
    </row>
    <row r="141" spans="1:7" x14ac:dyDescent="0.25">
      <c r="A141" s="154">
        <v>140</v>
      </c>
      <c r="B141" s="3" t="s">
        <v>24</v>
      </c>
      <c r="C141" s="3" t="s">
        <v>951</v>
      </c>
      <c r="D141" s="2" t="s">
        <v>817</v>
      </c>
      <c r="E141" s="156" t="s">
        <v>90</v>
      </c>
      <c r="F141" s="3" t="s">
        <v>766</v>
      </c>
      <c r="G141" s="4" t="s">
        <v>767</v>
      </c>
    </row>
    <row r="142" spans="1:7" x14ac:dyDescent="0.25">
      <c r="A142" s="158">
        <v>141</v>
      </c>
      <c r="B142" s="3" t="s">
        <v>24</v>
      </c>
      <c r="C142" s="3" t="s">
        <v>157</v>
      </c>
      <c r="D142" s="2"/>
      <c r="E142" s="156" t="s">
        <v>5588</v>
      </c>
      <c r="F142" s="3" t="s">
        <v>766</v>
      </c>
      <c r="G142" s="4" t="s">
        <v>767</v>
      </c>
    </row>
    <row r="143" spans="1:7" x14ac:dyDescent="0.25">
      <c r="A143" s="154">
        <v>142</v>
      </c>
      <c r="B143" s="3" t="s">
        <v>24</v>
      </c>
      <c r="C143" s="3" t="s">
        <v>25</v>
      </c>
      <c r="D143" s="2" t="s">
        <v>924</v>
      </c>
      <c r="E143" s="156" t="s">
        <v>90</v>
      </c>
      <c r="F143" s="3" t="s">
        <v>766</v>
      </c>
      <c r="G143" s="4" t="s">
        <v>926</v>
      </c>
    </row>
    <row r="144" spans="1:7" x14ac:dyDescent="0.25">
      <c r="A144" s="158">
        <v>143</v>
      </c>
      <c r="B144" s="3" t="s">
        <v>24</v>
      </c>
      <c r="C144" s="3" t="s">
        <v>951</v>
      </c>
      <c r="D144" s="2"/>
      <c r="E144" s="156" t="s">
        <v>90</v>
      </c>
      <c r="F144" s="3" t="s">
        <v>766</v>
      </c>
      <c r="G144" s="4" t="s">
        <v>928</v>
      </c>
    </row>
    <row r="145" spans="1:7" x14ac:dyDescent="0.25">
      <c r="A145" s="154">
        <v>144</v>
      </c>
      <c r="B145" s="3" t="s">
        <v>24</v>
      </c>
      <c r="C145" s="3" t="s">
        <v>157</v>
      </c>
      <c r="D145" s="2" t="s">
        <v>953</v>
      </c>
      <c r="E145" s="156" t="s">
        <v>283</v>
      </c>
      <c r="F145" s="3" t="s">
        <v>766</v>
      </c>
      <c r="G145" s="4" t="s">
        <v>928</v>
      </c>
    </row>
    <row r="146" spans="1:7" x14ac:dyDescent="0.25">
      <c r="A146" s="158">
        <v>145</v>
      </c>
      <c r="B146" s="3" t="s">
        <v>24</v>
      </c>
      <c r="C146" s="3" t="s">
        <v>37</v>
      </c>
      <c r="D146" s="2" t="s">
        <v>994</v>
      </c>
      <c r="E146" s="156" t="s">
        <v>615</v>
      </c>
      <c r="F146" s="3" t="s">
        <v>766</v>
      </c>
      <c r="G146" s="4"/>
    </row>
    <row r="147" spans="1:7" x14ac:dyDescent="0.25">
      <c r="A147" s="154">
        <v>146</v>
      </c>
      <c r="B147" s="3" t="s">
        <v>24</v>
      </c>
      <c r="C147" s="3" t="s">
        <v>25</v>
      </c>
      <c r="D147" s="2" t="s">
        <v>996</v>
      </c>
      <c r="E147" s="156" t="s">
        <v>124</v>
      </c>
      <c r="F147" s="3" t="s">
        <v>766</v>
      </c>
      <c r="G147" s="4"/>
    </row>
    <row r="148" spans="1:7" x14ac:dyDescent="0.25">
      <c r="A148" s="158">
        <v>147</v>
      </c>
      <c r="B148" s="3" t="s">
        <v>768</v>
      </c>
      <c r="C148" s="3" t="s">
        <v>769</v>
      </c>
      <c r="D148" s="2" t="s">
        <v>956</v>
      </c>
      <c r="E148" s="156" t="s">
        <v>5588</v>
      </c>
      <c r="F148" s="3" t="s">
        <v>766</v>
      </c>
      <c r="G148" s="4" t="s">
        <v>928</v>
      </c>
    </row>
    <row r="149" spans="1:7" x14ac:dyDescent="0.25">
      <c r="A149" s="154">
        <v>148</v>
      </c>
      <c r="B149" s="3" t="s">
        <v>768</v>
      </c>
      <c r="C149" s="3" t="s">
        <v>769</v>
      </c>
      <c r="D149" s="2" t="s">
        <v>958</v>
      </c>
      <c r="E149" s="156" t="s">
        <v>5588</v>
      </c>
      <c r="F149" s="3" t="s">
        <v>766</v>
      </c>
      <c r="G149" s="4" t="s">
        <v>928</v>
      </c>
    </row>
    <row r="150" spans="1:7" x14ac:dyDescent="0.25">
      <c r="A150" s="158">
        <v>149</v>
      </c>
      <c r="B150" s="3" t="s">
        <v>892</v>
      </c>
      <c r="C150" s="3" t="s">
        <v>893</v>
      </c>
      <c r="D150" s="2" t="s">
        <v>894</v>
      </c>
      <c r="E150" s="156" t="s">
        <v>283</v>
      </c>
      <c r="F150" s="3" t="s">
        <v>766</v>
      </c>
      <c r="G150" s="4" t="s">
        <v>767</v>
      </c>
    </row>
    <row r="151" spans="1:7" x14ac:dyDescent="0.25">
      <c r="A151" s="154">
        <v>150</v>
      </c>
      <c r="B151" s="3" t="s">
        <v>897</v>
      </c>
      <c r="C151" s="3" t="s">
        <v>898</v>
      </c>
      <c r="D151" s="2" t="s">
        <v>899</v>
      </c>
      <c r="E151" s="156" t="s">
        <v>232</v>
      </c>
      <c r="F151" s="3" t="s">
        <v>766</v>
      </c>
      <c r="G151" s="4" t="s">
        <v>767</v>
      </c>
    </row>
    <row r="152" spans="1:7" x14ac:dyDescent="0.25">
      <c r="A152" s="158">
        <v>151</v>
      </c>
      <c r="B152" s="3" t="s">
        <v>499</v>
      </c>
      <c r="C152" s="3" t="s">
        <v>901</v>
      </c>
      <c r="D152" s="2" t="s">
        <v>902</v>
      </c>
      <c r="E152" s="156" t="s">
        <v>615</v>
      </c>
      <c r="F152" s="3" t="s">
        <v>766</v>
      </c>
      <c r="G152" s="4" t="s">
        <v>767</v>
      </c>
    </row>
    <row r="153" spans="1:7" x14ac:dyDescent="0.25">
      <c r="A153" s="154">
        <v>152</v>
      </c>
      <c r="B153" s="3" t="s">
        <v>499</v>
      </c>
      <c r="C153" s="3" t="s">
        <v>901</v>
      </c>
      <c r="D153" s="2" t="s">
        <v>904</v>
      </c>
      <c r="E153" s="156" t="s">
        <v>615</v>
      </c>
      <c r="F153" s="3" t="s">
        <v>766</v>
      </c>
      <c r="G153" s="4" t="s">
        <v>767</v>
      </c>
    </row>
    <row r="154" spans="1:7" x14ac:dyDescent="0.25">
      <c r="A154" s="158">
        <v>153</v>
      </c>
      <c r="B154" s="3" t="s">
        <v>499</v>
      </c>
      <c r="C154" s="3" t="s">
        <v>901</v>
      </c>
      <c r="D154" s="2" t="s">
        <v>960</v>
      </c>
      <c r="E154" s="156" t="s">
        <v>615</v>
      </c>
      <c r="F154" s="3" t="s">
        <v>766</v>
      </c>
      <c r="G154" s="4" t="s">
        <v>928</v>
      </c>
    </row>
    <row r="155" spans="1:7" x14ac:dyDescent="0.25">
      <c r="A155" s="154">
        <v>154</v>
      </c>
      <c r="B155" s="3" t="s">
        <v>884</v>
      </c>
      <c r="C155" s="3" t="s">
        <v>885</v>
      </c>
      <c r="D155" s="2" t="s">
        <v>886</v>
      </c>
      <c r="E155" s="156" t="s">
        <v>41</v>
      </c>
      <c r="F155" s="3" t="s">
        <v>766</v>
      </c>
      <c r="G155" s="4" t="s">
        <v>767</v>
      </c>
    </row>
    <row r="156" spans="1:7" x14ac:dyDescent="0.25">
      <c r="A156" s="158">
        <v>155</v>
      </c>
      <c r="B156" s="3" t="s">
        <v>884</v>
      </c>
      <c r="C156" s="3" t="s">
        <v>885</v>
      </c>
      <c r="D156" s="2" t="s">
        <v>954</v>
      </c>
      <c r="E156" s="156" t="s">
        <v>41</v>
      </c>
      <c r="F156" s="3" t="s">
        <v>766</v>
      </c>
      <c r="G156" s="4" t="s">
        <v>928</v>
      </c>
    </row>
    <row r="157" spans="1:7" x14ac:dyDescent="0.25">
      <c r="A157" s="154">
        <v>156</v>
      </c>
      <c r="B157" s="3" t="s">
        <v>884</v>
      </c>
      <c r="C157" s="3" t="s">
        <v>998</v>
      </c>
      <c r="D157" s="2" t="s">
        <v>999</v>
      </c>
      <c r="E157" s="156" t="s">
        <v>5588</v>
      </c>
      <c r="F157" s="3" t="s">
        <v>766</v>
      </c>
      <c r="G157" s="4"/>
    </row>
    <row r="158" spans="1:7" x14ac:dyDescent="0.25">
      <c r="A158" s="158">
        <v>157</v>
      </c>
      <c r="B158" s="486" t="s">
        <v>3677</v>
      </c>
      <c r="C158" s="3" t="s">
        <v>987</v>
      </c>
      <c r="D158" s="2" t="s">
        <v>2044</v>
      </c>
      <c r="E158" s="156" t="s">
        <v>47</v>
      </c>
      <c r="F158" s="3" t="s">
        <v>766</v>
      </c>
      <c r="G158" s="4" t="s">
        <v>1671</v>
      </c>
    </row>
    <row r="159" spans="1:7" x14ac:dyDescent="0.25">
      <c r="A159" s="154">
        <v>158</v>
      </c>
      <c r="B159" s="3" t="s">
        <v>911</v>
      </c>
      <c r="C159" s="3" t="s">
        <v>916</v>
      </c>
      <c r="D159" s="2" t="s">
        <v>917</v>
      </c>
      <c r="E159" s="156" t="s">
        <v>5588</v>
      </c>
      <c r="F159" s="3" t="s">
        <v>766</v>
      </c>
      <c r="G159" s="4" t="s">
        <v>767</v>
      </c>
    </row>
    <row r="160" spans="1:7" x14ac:dyDescent="0.25">
      <c r="A160" s="158">
        <v>159</v>
      </c>
      <c r="B160" s="3" t="s">
        <v>911</v>
      </c>
      <c r="C160" s="3" t="s">
        <v>912</v>
      </c>
      <c r="D160" s="2" t="s">
        <v>913</v>
      </c>
      <c r="E160" s="156" t="s">
        <v>283</v>
      </c>
      <c r="F160" s="3" t="s">
        <v>766</v>
      </c>
      <c r="G160" s="4" t="s">
        <v>767</v>
      </c>
    </row>
    <row r="161" spans="1:7" x14ac:dyDescent="0.25">
      <c r="A161" s="154">
        <v>160</v>
      </c>
      <c r="B161" s="3" t="s">
        <v>352</v>
      </c>
      <c r="C161" s="43" t="s">
        <v>3455</v>
      </c>
      <c r="D161" s="2" t="s">
        <v>3170</v>
      </c>
      <c r="E161" s="156" t="s">
        <v>159</v>
      </c>
      <c r="F161" s="161" t="s">
        <v>3633</v>
      </c>
      <c r="G161" s="4"/>
    </row>
    <row r="162" spans="1:7" x14ac:dyDescent="0.25">
      <c r="A162" s="158">
        <v>161</v>
      </c>
      <c r="B162" s="3" t="s">
        <v>91</v>
      </c>
      <c r="C162" s="43" t="s">
        <v>92</v>
      </c>
      <c r="D162" s="2" t="s">
        <v>3060</v>
      </c>
      <c r="E162" s="156" t="s">
        <v>51</v>
      </c>
      <c r="F162" s="161" t="s">
        <v>3633</v>
      </c>
      <c r="G162" s="4" t="s">
        <v>1847</v>
      </c>
    </row>
    <row r="163" spans="1:7" x14ac:dyDescent="0.25">
      <c r="A163" s="154">
        <v>162</v>
      </c>
      <c r="B163" s="3" t="s">
        <v>91</v>
      </c>
      <c r="C163" s="43" t="s">
        <v>2300</v>
      </c>
      <c r="D163" s="2" t="s">
        <v>3037</v>
      </c>
      <c r="E163" s="156" t="s">
        <v>59</v>
      </c>
      <c r="F163" s="161" t="s">
        <v>3633</v>
      </c>
      <c r="G163" s="4" t="s">
        <v>2122</v>
      </c>
    </row>
    <row r="164" spans="1:7" x14ac:dyDescent="0.25">
      <c r="A164" s="158">
        <v>163</v>
      </c>
      <c r="B164" s="3" t="s">
        <v>91</v>
      </c>
      <c r="C164" s="43" t="s">
        <v>92</v>
      </c>
      <c r="D164" s="2" t="s">
        <v>3121</v>
      </c>
      <c r="E164" s="156" t="s">
        <v>66</v>
      </c>
      <c r="F164" s="161" t="s">
        <v>3633</v>
      </c>
      <c r="G164" s="4" t="s">
        <v>2028</v>
      </c>
    </row>
    <row r="165" spans="1:7" x14ac:dyDescent="0.25">
      <c r="A165" s="154">
        <v>164</v>
      </c>
      <c r="B165" s="3" t="s">
        <v>91</v>
      </c>
      <c r="C165" s="3" t="s">
        <v>3172</v>
      </c>
      <c r="D165" s="2" t="s">
        <v>3173</v>
      </c>
      <c r="E165" s="156" t="s">
        <v>5588</v>
      </c>
      <c r="F165" s="161" t="s">
        <v>3633</v>
      </c>
      <c r="G165" s="4"/>
    </row>
    <row r="166" spans="1:7" x14ac:dyDescent="0.25">
      <c r="A166" s="158">
        <v>165</v>
      </c>
      <c r="B166" s="3" t="s">
        <v>91</v>
      </c>
      <c r="C166" s="3" t="s">
        <v>3175</v>
      </c>
      <c r="D166" s="2" t="s">
        <v>3176</v>
      </c>
      <c r="E166" s="156" t="s">
        <v>5588</v>
      </c>
      <c r="F166" s="161" t="s">
        <v>3633</v>
      </c>
      <c r="G166" s="4"/>
    </row>
    <row r="167" spans="1:7" x14ac:dyDescent="0.25">
      <c r="A167" s="154">
        <v>166</v>
      </c>
      <c r="B167" s="3" t="s">
        <v>154</v>
      </c>
      <c r="C167" s="3" t="s">
        <v>1139</v>
      </c>
      <c r="D167" s="2" t="s">
        <v>1990</v>
      </c>
      <c r="E167" s="156" t="s">
        <v>5588</v>
      </c>
      <c r="F167" s="161" t="s">
        <v>3633</v>
      </c>
      <c r="G167" s="4" t="s">
        <v>1961</v>
      </c>
    </row>
    <row r="168" spans="1:7" x14ac:dyDescent="0.25">
      <c r="A168" s="158">
        <v>167</v>
      </c>
      <c r="B168" s="3" t="s">
        <v>1242</v>
      </c>
      <c r="C168" s="43" t="s">
        <v>3433</v>
      </c>
      <c r="D168" s="2" t="s">
        <v>3035</v>
      </c>
      <c r="E168" s="156" t="s">
        <v>90</v>
      </c>
      <c r="F168" s="161" t="s">
        <v>3633</v>
      </c>
      <c r="G168" s="4" t="s">
        <v>3034</v>
      </c>
    </row>
    <row r="169" spans="1:7" x14ac:dyDescent="0.25">
      <c r="A169" s="154">
        <v>168</v>
      </c>
      <c r="B169" s="3" t="s">
        <v>1242</v>
      </c>
      <c r="C169" s="43" t="s">
        <v>1243</v>
      </c>
      <c r="D169" s="2" t="s">
        <v>3032</v>
      </c>
      <c r="E169" s="156" t="s">
        <v>51</v>
      </c>
      <c r="F169" s="161" t="s">
        <v>3633</v>
      </c>
      <c r="G169" s="4" t="s">
        <v>3034</v>
      </c>
    </row>
    <row r="170" spans="1:7" x14ac:dyDescent="0.25">
      <c r="A170" s="158">
        <v>169</v>
      </c>
      <c r="B170" s="3" t="s">
        <v>1242</v>
      </c>
      <c r="C170" s="43" t="s">
        <v>1243</v>
      </c>
      <c r="D170" s="2" t="s">
        <v>3005</v>
      </c>
      <c r="E170" s="156" t="s">
        <v>90</v>
      </c>
      <c r="F170" s="161" t="s">
        <v>3633</v>
      </c>
      <c r="G170" s="4">
        <v>2</v>
      </c>
    </row>
    <row r="171" spans="1:7" x14ac:dyDescent="0.25">
      <c r="A171" s="154">
        <v>170</v>
      </c>
      <c r="B171" s="3" t="s">
        <v>1242</v>
      </c>
      <c r="C171" s="459" t="s">
        <v>1243</v>
      </c>
      <c r="D171" s="2" t="s">
        <v>3048</v>
      </c>
      <c r="E171" s="156" t="s">
        <v>90</v>
      </c>
      <c r="F171" s="161" t="s">
        <v>3633</v>
      </c>
      <c r="G171" s="4" t="s">
        <v>1843</v>
      </c>
    </row>
    <row r="172" spans="1:7" x14ac:dyDescent="0.25">
      <c r="A172" s="158">
        <v>171</v>
      </c>
      <c r="B172" s="3" t="s">
        <v>1242</v>
      </c>
      <c r="C172" s="459" t="s">
        <v>3435</v>
      </c>
      <c r="D172" s="2" t="s">
        <v>3050</v>
      </c>
      <c r="E172" s="156" t="s">
        <v>159</v>
      </c>
      <c r="F172" s="161" t="s">
        <v>3633</v>
      </c>
      <c r="G172" s="4" t="s">
        <v>1843</v>
      </c>
    </row>
    <row r="173" spans="1:7" x14ac:dyDescent="0.25">
      <c r="A173" s="154">
        <v>172</v>
      </c>
      <c r="B173" s="3" t="s">
        <v>1242</v>
      </c>
      <c r="C173" s="43" t="s">
        <v>1243</v>
      </c>
      <c r="D173" s="2" t="s">
        <v>3075</v>
      </c>
      <c r="E173" s="156" t="s">
        <v>90</v>
      </c>
      <c r="F173" s="161" t="s">
        <v>3633</v>
      </c>
      <c r="G173" s="4" t="s">
        <v>3074</v>
      </c>
    </row>
    <row r="174" spans="1:7" x14ac:dyDescent="0.25">
      <c r="A174" s="158">
        <v>173</v>
      </c>
      <c r="B174" s="3" t="s">
        <v>1242</v>
      </c>
      <c r="C174" s="459" t="s">
        <v>1243</v>
      </c>
      <c r="D174" s="2" t="s">
        <v>3083</v>
      </c>
      <c r="E174" s="156" t="s">
        <v>159</v>
      </c>
      <c r="F174" s="161" t="s">
        <v>3633</v>
      </c>
      <c r="G174" s="4" t="s">
        <v>3082</v>
      </c>
    </row>
    <row r="175" spans="1:7" x14ac:dyDescent="0.25">
      <c r="A175" s="154">
        <v>174</v>
      </c>
      <c r="B175" s="3" t="s">
        <v>1242</v>
      </c>
      <c r="C175" s="459" t="s">
        <v>3435</v>
      </c>
      <c r="D175" s="2" t="s">
        <v>3146</v>
      </c>
      <c r="E175" s="156" t="s">
        <v>90</v>
      </c>
      <c r="F175" s="161" t="s">
        <v>3633</v>
      </c>
      <c r="G175" s="4" t="s">
        <v>2635</v>
      </c>
    </row>
    <row r="176" spans="1:7" x14ac:dyDescent="0.25">
      <c r="A176" s="158">
        <v>175</v>
      </c>
      <c r="B176" s="3" t="s">
        <v>1242</v>
      </c>
      <c r="C176" s="43" t="s">
        <v>1243</v>
      </c>
      <c r="D176" s="2" t="s">
        <v>3142</v>
      </c>
      <c r="E176" s="156" t="s">
        <v>969</v>
      </c>
      <c r="F176" s="161" t="s">
        <v>3633</v>
      </c>
      <c r="G176" s="4" t="s">
        <v>2635</v>
      </c>
    </row>
    <row r="177" spans="1:7" x14ac:dyDescent="0.25">
      <c r="A177" s="154">
        <v>176</v>
      </c>
      <c r="B177" s="3" t="s">
        <v>1242</v>
      </c>
      <c r="C177" s="43" t="s">
        <v>1243</v>
      </c>
      <c r="D177" s="2" t="s">
        <v>3144</v>
      </c>
      <c r="E177" s="156" t="s">
        <v>159</v>
      </c>
      <c r="F177" s="161" t="s">
        <v>3633</v>
      </c>
      <c r="G177" s="4" t="s">
        <v>2635</v>
      </c>
    </row>
    <row r="178" spans="1:7" x14ac:dyDescent="0.25">
      <c r="A178" s="158">
        <v>177</v>
      </c>
      <c r="B178" s="3" t="s">
        <v>1242</v>
      </c>
      <c r="C178" s="459" t="s">
        <v>3435</v>
      </c>
      <c r="D178" s="2" t="s">
        <v>3178</v>
      </c>
      <c r="E178" s="156" t="s">
        <v>90</v>
      </c>
      <c r="F178" s="161" t="s">
        <v>3633</v>
      </c>
      <c r="G178" s="4"/>
    </row>
    <row r="179" spans="1:7" x14ac:dyDescent="0.25">
      <c r="A179" s="154">
        <v>178</v>
      </c>
      <c r="B179" s="3" t="s">
        <v>880</v>
      </c>
      <c r="C179" s="43" t="s">
        <v>3447</v>
      </c>
      <c r="D179" s="2" t="s">
        <v>3122</v>
      </c>
      <c r="E179" s="156" t="s">
        <v>615</v>
      </c>
      <c r="F179" s="161" t="s">
        <v>3633</v>
      </c>
      <c r="G179" s="4" t="s">
        <v>2028</v>
      </c>
    </row>
    <row r="180" spans="1:7" x14ac:dyDescent="0.25">
      <c r="A180" s="158">
        <v>179</v>
      </c>
      <c r="B180" s="3" t="s">
        <v>880</v>
      </c>
      <c r="C180" s="43" t="s">
        <v>2980</v>
      </c>
      <c r="D180" s="2" t="s">
        <v>1400</v>
      </c>
      <c r="E180" s="156" t="s">
        <v>90</v>
      </c>
      <c r="F180" s="161" t="s">
        <v>3633</v>
      </c>
      <c r="G180" s="4"/>
    </row>
    <row r="181" spans="1:7" x14ac:dyDescent="0.25">
      <c r="A181" s="154">
        <v>180</v>
      </c>
      <c r="B181" s="3" t="s">
        <v>24</v>
      </c>
      <c r="C181" s="3" t="s">
        <v>104</v>
      </c>
      <c r="D181" s="2" t="s">
        <v>3003</v>
      </c>
      <c r="E181" s="156" t="s">
        <v>283</v>
      </c>
      <c r="F181" s="161" t="s">
        <v>3633</v>
      </c>
      <c r="G181" s="4">
        <v>1</v>
      </c>
    </row>
    <row r="182" spans="1:7" x14ac:dyDescent="0.25">
      <c r="A182" s="158">
        <v>181</v>
      </c>
      <c r="B182" s="3" t="s">
        <v>24</v>
      </c>
      <c r="C182" s="3" t="s">
        <v>37</v>
      </c>
      <c r="D182" s="2" t="s">
        <v>3062</v>
      </c>
      <c r="E182" s="156" t="s">
        <v>59</v>
      </c>
      <c r="F182" s="161" t="s">
        <v>3633</v>
      </c>
      <c r="G182" s="4" t="s">
        <v>1847</v>
      </c>
    </row>
    <row r="183" spans="1:7" x14ac:dyDescent="0.25">
      <c r="A183" s="154">
        <v>182</v>
      </c>
      <c r="B183" s="3" t="s">
        <v>24</v>
      </c>
      <c r="C183" s="3" t="s">
        <v>25</v>
      </c>
      <c r="D183" s="2" t="s">
        <v>3010</v>
      </c>
      <c r="E183" s="156" t="s">
        <v>969</v>
      </c>
      <c r="F183" s="161" t="s">
        <v>3633</v>
      </c>
      <c r="G183" s="4">
        <v>4</v>
      </c>
    </row>
    <row r="184" spans="1:7" x14ac:dyDescent="0.25">
      <c r="A184" s="158">
        <v>183</v>
      </c>
      <c r="B184" s="3" t="s">
        <v>24</v>
      </c>
      <c r="C184" s="3" t="s">
        <v>104</v>
      </c>
      <c r="D184" s="2" t="s">
        <v>3064</v>
      </c>
      <c r="E184" s="156" t="s">
        <v>283</v>
      </c>
      <c r="F184" s="161" t="s">
        <v>3633</v>
      </c>
      <c r="G184" s="4" t="s">
        <v>1847</v>
      </c>
    </row>
    <row r="185" spans="1:7" x14ac:dyDescent="0.25">
      <c r="A185" s="154">
        <v>184</v>
      </c>
      <c r="B185" s="3" t="s">
        <v>24</v>
      </c>
      <c r="C185" s="3" t="s">
        <v>25</v>
      </c>
      <c r="D185" s="2" t="s">
        <v>3077</v>
      </c>
      <c r="E185" s="156" t="s">
        <v>59</v>
      </c>
      <c r="F185" s="161" t="s">
        <v>3633</v>
      </c>
      <c r="G185" s="4" t="s">
        <v>3074</v>
      </c>
    </row>
    <row r="186" spans="1:7" x14ac:dyDescent="0.25">
      <c r="A186" s="158">
        <v>185</v>
      </c>
      <c r="B186" s="3" t="s">
        <v>24</v>
      </c>
      <c r="C186" s="3" t="s">
        <v>104</v>
      </c>
      <c r="D186" s="2" t="s">
        <v>3085</v>
      </c>
      <c r="E186" s="156" t="s">
        <v>283</v>
      </c>
      <c r="F186" s="161" t="s">
        <v>3633</v>
      </c>
      <c r="G186" s="4" t="s">
        <v>3082</v>
      </c>
    </row>
    <row r="187" spans="1:7" x14ac:dyDescent="0.25">
      <c r="A187" s="154">
        <v>186</v>
      </c>
      <c r="B187" s="3" t="s">
        <v>24</v>
      </c>
      <c r="C187" s="3" t="s">
        <v>25</v>
      </c>
      <c r="D187" s="2" t="s">
        <v>2123</v>
      </c>
      <c r="E187" s="156" t="s">
        <v>225</v>
      </c>
      <c r="F187" s="161" t="s">
        <v>3633</v>
      </c>
      <c r="G187" s="4" t="s">
        <v>2122</v>
      </c>
    </row>
    <row r="188" spans="1:7" x14ac:dyDescent="0.25">
      <c r="A188" s="158">
        <v>187</v>
      </c>
      <c r="B188" s="3" t="s">
        <v>24</v>
      </c>
      <c r="C188" s="3" t="s">
        <v>37</v>
      </c>
      <c r="D188" s="2" t="s">
        <v>3012</v>
      </c>
      <c r="E188" s="156" t="s">
        <v>59</v>
      </c>
      <c r="F188" s="161" t="s">
        <v>3633</v>
      </c>
      <c r="G188" s="4">
        <v>11</v>
      </c>
    </row>
    <row r="189" spans="1:7" x14ac:dyDescent="0.25">
      <c r="A189" s="154">
        <v>188</v>
      </c>
      <c r="B189" s="3" t="s">
        <v>24</v>
      </c>
      <c r="C189" s="3" t="s">
        <v>37</v>
      </c>
      <c r="D189" s="2" t="s">
        <v>3016</v>
      </c>
      <c r="E189" s="156" t="s">
        <v>59</v>
      </c>
      <c r="F189" s="161" t="s">
        <v>3633</v>
      </c>
      <c r="G189" s="4">
        <v>12</v>
      </c>
    </row>
    <row r="190" spans="1:7" x14ac:dyDescent="0.25">
      <c r="A190" s="158">
        <v>189</v>
      </c>
      <c r="B190" s="3" t="s">
        <v>24</v>
      </c>
      <c r="C190" s="3" t="s">
        <v>1105</v>
      </c>
      <c r="D190" s="2" t="s">
        <v>2117</v>
      </c>
      <c r="E190" s="156" t="s">
        <v>296</v>
      </c>
      <c r="F190" s="161" t="s">
        <v>3633</v>
      </c>
      <c r="G190" s="4" t="s">
        <v>1892</v>
      </c>
    </row>
    <row r="191" spans="1:7" x14ac:dyDescent="0.25">
      <c r="A191" s="154">
        <v>190</v>
      </c>
      <c r="B191" s="3" t="s">
        <v>24</v>
      </c>
      <c r="C191" s="3" t="s">
        <v>37</v>
      </c>
      <c r="D191" s="2" t="s">
        <v>2121</v>
      </c>
      <c r="E191" s="156" t="s">
        <v>59</v>
      </c>
      <c r="F191" s="161" t="s">
        <v>3633</v>
      </c>
      <c r="G191" s="4" t="s">
        <v>1892</v>
      </c>
    </row>
    <row r="192" spans="1:7" x14ac:dyDescent="0.25">
      <c r="A192" s="158">
        <v>191</v>
      </c>
      <c r="B192" s="3" t="s">
        <v>24</v>
      </c>
      <c r="C192" s="3" t="s">
        <v>25</v>
      </c>
      <c r="D192" s="2" t="s">
        <v>2118</v>
      </c>
      <c r="E192" s="156" t="s">
        <v>225</v>
      </c>
      <c r="F192" s="161" t="s">
        <v>3633</v>
      </c>
      <c r="G192" s="4" t="s">
        <v>1892</v>
      </c>
    </row>
    <row r="193" spans="1:7" x14ac:dyDescent="0.25">
      <c r="A193" s="154">
        <v>192</v>
      </c>
      <c r="B193" s="3" t="s">
        <v>24</v>
      </c>
      <c r="C193" s="3" t="s">
        <v>1105</v>
      </c>
      <c r="D193" s="2" t="s">
        <v>1998</v>
      </c>
      <c r="E193" s="156" t="s">
        <v>296</v>
      </c>
      <c r="F193" s="161" t="s">
        <v>3633</v>
      </c>
      <c r="G193" s="4" t="s">
        <v>2000</v>
      </c>
    </row>
    <row r="194" spans="1:7" x14ac:dyDescent="0.25">
      <c r="A194" s="158">
        <v>193</v>
      </c>
      <c r="B194" s="3" t="s">
        <v>24</v>
      </c>
      <c r="C194" s="3" t="s">
        <v>1105</v>
      </c>
      <c r="D194" s="2" t="s">
        <v>2114</v>
      </c>
      <c r="E194" s="156" t="s">
        <v>296</v>
      </c>
      <c r="F194" s="161" t="s">
        <v>3633</v>
      </c>
      <c r="G194" s="4" t="s">
        <v>2119</v>
      </c>
    </row>
    <row r="195" spans="1:7" x14ac:dyDescent="0.25">
      <c r="A195" s="154">
        <v>194</v>
      </c>
      <c r="B195" s="3" t="s">
        <v>24</v>
      </c>
      <c r="C195" s="3" t="s">
        <v>1105</v>
      </c>
      <c r="D195" s="2" t="s">
        <v>2001</v>
      </c>
      <c r="E195" s="156" t="s">
        <v>296</v>
      </c>
      <c r="F195" s="161" t="s">
        <v>3633</v>
      </c>
      <c r="G195" s="4" t="s">
        <v>2003</v>
      </c>
    </row>
    <row r="196" spans="1:7" x14ac:dyDescent="0.25">
      <c r="A196" s="158">
        <v>195</v>
      </c>
      <c r="B196" s="3" t="s">
        <v>24</v>
      </c>
      <c r="C196" s="3" t="s">
        <v>25</v>
      </c>
      <c r="D196" s="2"/>
      <c r="E196" s="156" t="s">
        <v>225</v>
      </c>
      <c r="F196" s="161" t="s">
        <v>3633</v>
      </c>
      <c r="G196" s="4" t="s">
        <v>3092</v>
      </c>
    </row>
    <row r="197" spans="1:7" x14ac:dyDescent="0.25">
      <c r="A197" s="154">
        <v>196</v>
      </c>
      <c r="B197" s="3" t="s">
        <v>24</v>
      </c>
      <c r="C197" s="3" t="s">
        <v>25</v>
      </c>
      <c r="D197" s="2" t="s">
        <v>2125</v>
      </c>
      <c r="E197" s="156" t="s">
        <v>225</v>
      </c>
      <c r="F197" s="161" t="s">
        <v>3633</v>
      </c>
      <c r="G197" s="4" t="s">
        <v>3092</v>
      </c>
    </row>
    <row r="198" spans="1:7" x14ac:dyDescent="0.25">
      <c r="A198" s="158">
        <v>197</v>
      </c>
      <c r="B198" s="3" t="s">
        <v>24</v>
      </c>
      <c r="C198" s="3" t="s">
        <v>25</v>
      </c>
      <c r="D198" s="2" t="s">
        <v>2126</v>
      </c>
      <c r="E198" s="156" t="s">
        <v>225</v>
      </c>
      <c r="F198" s="161" t="s">
        <v>3633</v>
      </c>
      <c r="G198" s="4" t="s">
        <v>3092</v>
      </c>
    </row>
    <row r="199" spans="1:7" x14ac:dyDescent="0.25">
      <c r="A199" s="154">
        <v>198</v>
      </c>
      <c r="B199" s="3" t="s">
        <v>24</v>
      </c>
      <c r="C199" s="3" t="s">
        <v>25</v>
      </c>
      <c r="D199" s="2" t="s">
        <v>2136</v>
      </c>
      <c r="E199" s="156" t="s">
        <v>225</v>
      </c>
      <c r="F199" s="161" t="s">
        <v>3633</v>
      </c>
      <c r="G199" s="4" t="s">
        <v>3092</v>
      </c>
    </row>
    <row r="200" spans="1:7" x14ac:dyDescent="0.25">
      <c r="A200" s="158">
        <v>199</v>
      </c>
      <c r="B200" s="3" t="s">
        <v>24</v>
      </c>
      <c r="C200" s="3" t="s">
        <v>25</v>
      </c>
      <c r="D200" s="2" t="s">
        <v>3095</v>
      </c>
      <c r="E200" s="156" t="s">
        <v>59</v>
      </c>
      <c r="F200" s="161" t="s">
        <v>3633</v>
      </c>
      <c r="G200" s="4" t="s">
        <v>3092</v>
      </c>
    </row>
    <row r="201" spans="1:7" x14ac:dyDescent="0.25">
      <c r="A201" s="154">
        <v>200</v>
      </c>
      <c r="B201" s="3" t="s">
        <v>24</v>
      </c>
      <c r="C201" s="3" t="s">
        <v>25</v>
      </c>
      <c r="D201" s="2" t="s">
        <v>3093</v>
      </c>
      <c r="E201" s="156" t="s">
        <v>59</v>
      </c>
      <c r="F201" s="161" t="s">
        <v>3633</v>
      </c>
      <c r="G201" s="4" t="s">
        <v>3092</v>
      </c>
    </row>
    <row r="202" spans="1:7" x14ac:dyDescent="0.25">
      <c r="A202" s="158">
        <v>201</v>
      </c>
      <c r="B202" s="3" t="s">
        <v>24</v>
      </c>
      <c r="C202" s="3" t="s">
        <v>25</v>
      </c>
      <c r="D202" s="2" t="s">
        <v>3090</v>
      </c>
      <c r="E202" s="156" t="s">
        <v>124</v>
      </c>
      <c r="F202" s="161" t="s">
        <v>3633</v>
      </c>
      <c r="G202" s="4" t="s">
        <v>3092</v>
      </c>
    </row>
    <row r="203" spans="1:7" x14ac:dyDescent="0.25">
      <c r="A203" s="154">
        <v>202</v>
      </c>
      <c r="B203" s="3" t="s">
        <v>24</v>
      </c>
      <c r="C203" s="3" t="s">
        <v>37</v>
      </c>
      <c r="D203" s="2" t="s">
        <v>1981</v>
      </c>
      <c r="E203" s="156" t="s">
        <v>969</v>
      </c>
      <c r="F203" s="161" t="s">
        <v>3633</v>
      </c>
      <c r="G203" s="4" t="s">
        <v>1961</v>
      </c>
    </row>
    <row r="204" spans="1:7" x14ac:dyDescent="0.25">
      <c r="A204" s="158">
        <v>203</v>
      </c>
      <c r="B204" s="3" t="s">
        <v>24</v>
      </c>
      <c r="C204" s="3" t="s">
        <v>25</v>
      </c>
      <c r="D204" s="2" t="s">
        <v>1979</v>
      </c>
      <c r="E204" s="156" t="s">
        <v>969</v>
      </c>
      <c r="F204" s="161" t="s">
        <v>3633</v>
      </c>
      <c r="G204" s="4" t="s">
        <v>1961</v>
      </c>
    </row>
    <row r="205" spans="1:7" x14ac:dyDescent="0.25">
      <c r="A205" s="154">
        <v>204</v>
      </c>
      <c r="B205" s="3" t="s">
        <v>24</v>
      </c>
      <c r="C205" s="3" t="s">
        <v>25</v>
      </c>
      <c r="D205" s="2" t="s">
        <v>1977</v>
      </c>
      <c r="E205" s="156" t="s">
        <v>969</v>
      </c>
      <c r="F205" s="161" t="s">
        <v>3633</v>
      </c>
      <c r="G205" s="4" t="s">
        <v>1961</v>
      </c>
    </row>
    <row r="206" spans="1:7" x14ac:dyDescent="0.25">
      <c r="A206" s="158">
        <v>205</v>
      </c>
      <c r="B206" s="3" t="s">
        <v>24</v>
      </c>
      <c r="C206" s="3" t="s">
        <v>25</v>
      </c>
      <c r="D206" s="2" t="s">
        <v>3108</v>
      </c>
      <c r="E206" s="156" t="s">
        <v>969</v>
      </c>
      <c r="F206" s="161" t="s">
        <v>3633</v>
      </c>
      <c r="G206" s="4" t="s">
        <v>1888</v>
      </c>
    </row>
    <row r="207" spans="1:7" x14ac:dyDescent="0.25">
      <c r="A207" s="154">
        <v>206</v>
      </c>
      <c r="B207" s="3" t="s">
        <v>24</v>
      </c>
      <c r="C207" s="3" t="s">
        <v>25</v>
      </c>
      <c r="D207" s="2" t="s">
        <v>2146</v>
      </c>
      <c r="E207" s="156" t="s">
        <v>225</v>
      </c>
      <c r="F207" s="161" t="s">
        <v>3633</v>
      </c>
      <c r="G207" s="4" t="s">
        <v>1888</v>
      </c>
    </row>
    <row r="208" spans="1:7" x14ac:dyDescent="0.25">
      <c r="A208" s="158">
        <v>207</v>
      </c>
      <c r="B208" s="3" t="s">
        <v>24</v>
      </c>
      <c r="C208" s="3" t="s">
        <v>1105</v>
      </c>
      <c r="D208" s="2" t="s">
        <v>2128</v>
      </c>
      <c r="E208" s="156" t="s">
        <v>296</v>
      </c>
      <c r="F208" s="161" t="s">
        <v>3633</v>
      </c>
      <c r="G208" s="4" t="s">
        <v>1154</v>
      </c>
    </row>
    <row r="209" spans="1:7" x14ac:dyDescent="0.25">
      <c r="A209" s="154">
        <v>208</v>
      </c>
      <c r="B209" s="3" t="s">
        <v>24</v>
      </c>
      <c r="C209" s="3" t="s">
        <v>1105</v>
      </c>
      <c r="D209" s="2" t="s">
        <v>2132</v>
      </c>
      <c r="E209" s="156" t="s">
        <v>296</v>
      </c>
      <c r="F209" s="161" t="s">
        <v>3633</v>
      </c>
      <c r="G209" s="4" t="s">
        <v>1178</v>
      </c>
    </row>
    <row r="210" spans="1:7" x14ac:dyDescent="0.25">
      <c r="A210" s="158">
        <v>209</v>
      </c>
      <c r="B210" s="3" t="s">
        <v>24</v>
      </c>
      <c r="C210" s="3" t="s">
        <v>1084</v>
      </c>
      <c r="D210" s="2"/>
      <c r="E210" s="156" t="s">
        <v>90</v>
      </c>
      <c r="F210" s="161" t="s">
        <v>3633</v>
      </c>
      <c r="G210" s="4" t="s">
        <v>1181</v>
      </c>
    </row>
    <row r="211" spans="1:7" x14ac:dyDescent="0.25">
      <c r="A211" s="154">
        <v>210</v>
      </c>
      <c r="B211" s="3" t="s">
        <v>24</v>
      </c>
      <c r="C211" s="3" t="s">
        <v>25</v>
      </c>
      <c r="D211" s="2" t="s">
        <v>3109</v>
      </c>
      <c r="E211" s="156" t="s">
        <v>41</v>
      </c>
      <c r="F211" s="161" t="s">
        <v>3633</v>
      </c>
      <c r="G211" s="4" t="s">
        <v>1157</v>
      </c>
    </row>
    <row r="212" spans="1:7" x14ac:dyDescent="0.25">
      <c r="A212" s="158">
        <v>211</v>
      </c>
      <c r="B212" s="3" t="s">
        <v>24</v>
      </c>
      <c r="C212" s="3" t="s">
        <v>1105</v>
      </c>
      <c r="D212" s="2" t="s">
        <v>2129</v>
      </c>
      <c r="E212" s="156" t="s">
        <v>296</v>
      </c>
      <c r="F212" s="161" t="s">
        <v>3633</v>
      </c>
      <c r="G212" s="4" t="s">
        <v>1160</v>
      </c>
    </row>
    <row r="213" spans="1:7" x14ac:dyDescent="0.25">
      <c r="A213" s="154">
        <v>212</v>
      </c>
      <c r="B213" s="3" t="s">
        <v>24</v>
      </c>
      <c r="C213" s="3" t="s">
        <v>1105</v>
      </c>
      <c r="D213" s="2" t="s">
        <v>2133</v>
      </c>
      <c r="E213" s="156" t="s">
        <v>296</v>
      </c>
      <c r="F213" s="161" t="s">
        <v>3633</v>
      </c>
      <c r="G213" s="4" t="s">
        <v>1164</v>
      </c>
    </row>
    <row r="214" spans="1:7" x14ac:dyDescent="0.25">
      <c r="A214" s="158">
        <v>213</v>
      </c>
      <c r="B214" s="3" t="s">
        <v>24</v>
      </c>
      <c r="C214" s="3" t="s">
        <v>37</v>
      </c>
      <c r="D214" s="2" t="s">
        <v>3111</v>
      </c>
      <c r="E214" s="156" t="s">
        <v>59</v>
      </c>
      <c r="F214" s="161" t="s">
        <v>3633</v>
      </c>
      <c r="G214" s="4" t="s">
        <v>1167</v>
      </c>
    </row>
    <row r="215" spans="1:7" x14ac:dyDescent="0.25">
      <c r="A215" s="154">
        <v>214</v>
      </c>
      <c r="B215" s="3" t="s">
        <v>24</v>
      </c>
      <c r="C215" s="3" t="s">
        <v>37</v>
      </c>
      <c r="D215" s="2" t="s">
        <v>2135</v>
      </c>
      <c r="E215" s="156" t="s">
        <v>225</v>
      </c>
      <c r="F215" s="161" t="s">
        <v>3633</v>
      </c>
      <c r="G215" s="4" t="s">
        <v>2134</v>
      </c>
    </row>
    <row r="216" spans="1:7" x14ac:dyDescent="0.25">
      <c r="A216" s="158">
        <v>215</v>
      </c>
      <c r="B216" s="3" t="s">
        <v>24</v>
      </c>
      <c r="C216" s="3" t="s">
        <v>25</v>
      </c>
      <c r="D216" s="2" t="s">
        <v>2142</v>
      </c>
      <c r="E216" s="156" t="s">
        <v>124</v>
      </c>
      <c r="F216" s="161" t="s">
        <v>3633</v>
      </c>
      <c r="G216" s="4" t="s">
        <v>1172</v>
      </c>
    </row>
    <row r="217" spans="1:7" x14ac:dyDescent="0.25">
      <c r="A217" s="154">
        <v>216</v>
      </c>
      <c r="B217" s="3" t="s">
        <v>24</v>
      </c>
      <c r="C217" s="3" t="s">
        <v>25</v>
      </c>
      <c r="D217" s="2" t="s">
        <v>3113</v>
      </c>
      <c r="E217" s="156" t="s">
        <v>59</v>
      </c>
      <c r="F217" s="161" t="s">
        <v>3633</v>
      </c>
      <c r="G217" s="4" t="s">
        <v>1175</v>
      </c>
    </row>
    <row r="218" spans="1:7" x14ac:dyDescent="0.25">
      <c r="A218" s="158">
        <v>217</v>
      </c>
      <c r="B218" s="3" t="s">
        <v>24</v>
      </c>
      <c r="C218" s="3" t="s">
        <v>37</v>
      </c>
      <c r="D218" s="2" t="s">
        <v>3125</v>
      </c>
      <c r="E218" s="156" t="s">
        <v>59</v>
      </c>
      <c r="F218" s="161" t="s">
        <v>3633</v>
      </c>
      <c r="G218" s="4" t="s">
        <v>2028</v>
      </c>
    </row>
    <row r="219" spans="1:7" x14ac:dyDescent="0.25">
      <c r="A219" s="154">
        <v>218</v>
      </c>
      <c r="B219" s="3" t="s">
        <v>24</v>
      </c>
      <c r="C219" s="3" t="s">
        <v>25</v>
      </c>
      <c r="D219" s="2" t="s">
        <v>3127</v>
      </c>
      <c r="E219" s="156" t="s">
        <v>124</v>
      </c>
      <c r="F219" s="161" t="s">
        <v>3633</v>
      </c>
      <c r="G219" s="4" t="s">
        <v>2028</v>
      </c>
    </row>
    <row r="220" spans="1:7" x14ac:dyDescent="0.25">
      <c r="A220" s="158">
        <v>219</v>
      </c>
      <c r="B220" s="3" t="s">
        <v>24</v>
      </c>
      <c r="C220" s="3" t="s">
        <v>37</v>
      </c>
      <c r="D220" s="2" t="s">
        <v>3130</v>
      </c>
      <c r="E220" s="156" t="s">
        <v>59</v>
      </c>
      <c r="F220" s="161" t="s">
        <v>3633</v>
      </c>
      <c r="G220" s="4" t="s">
        <v>1076</v>
      </c>
    </row>
    <row r="221" spans="1:7" x14ac:dyDescent="0.25">
      <c r="A221" s="154">
        <v>220</v>
      </c>
      <c r="B221" s="3" t="s">
        <v>24</v>
      </c>
      <c r="C221" s="3" t="s">
        <v>37</v>
      </c>
      <c r="D221" s="2" t="s">
        <v>3148</v>
      </c>
      <c r="E221" s="156" t="s">
        <v>59</v>
      </c>
      <c r="F221" s="161" t="s">
        <v>3633</v>
      </c>
      <c r="G221" s="4" t="s">
        <v>2635</v>
      </c>
    </row>
    <row r="222" spans="1:7" x14ac:dyDescent="0.25">
      <c r="A222" s="158">
        <v>221</v>
      </c>
      <c r="B222" s="3" t="s">
        <v>24</v>
      </c>
      <c r="C222" s="3" t="s">
        <v>1105</v>
      </c>
      <c r="D222" s="2" t="s">
        <v>2145</v>
      </c>
      <c r="E222" s="156" t="s">
        <v>296</v>
      </c>
      <c r="F222" s="161" t="s">
        <v>3633</v>
      </c>
      <c r="G222" s="4" t="s">
        <v>1907</v>
      </c>
    </row>
    <row r="223" spans="1:7" x14ac:dyDescent="0.25">
      <c r="A223" s="154">
        <v>222</v>
      </c>
      <c r="B223" s="3" t="s">
        <v>24</v>
      </c>
      <c r="C223" s="3" t="s">
        <v>37</v>
      </c>
      <c r="D223" s="2" t="s">
        <v>2148</v>
      </c>
      <c r="E223" s="156" t="s">
        <v>59</v>
      </c>
      <c r="F223" s="161" t="s">
        <v>3633</v>
      </c>
      <c r="G223" s="4" t="s">
        <v>1081</v>
      </c>
    </row>
    <row r="224" spans="1:7" x14ac:dyDescent="0.25">
      <c r="A224" s="158">
        <v>223</v>
      </c>
      <c r="B224" s="3" t="s">
        <v>24</v>
      </c>
      <c r="C224" s="3" t="s">
        <v>37</v>
      </c>
      <c r="D224" s="2" t="s">
        <v>3155</v>
      </c>
      <c r="E224" s="156" t="s">
        <v>59</v>
      </c>
      <c r="F224" s="161" t="s">
        <v>3633</v>
      </c>
      <c r="G224" s="4" t="s">
        <v>3157</v>
      </c>
    </row>
    <row r="225" spans="1:7" x14ac:dyDescent="0.25">
      <c r="A225" s="154">
        <v>224</v>
      </c>
      <c r="B225" s="3" t="s">
        <v>24</v>
      </c>
      <c r="C225" s="3" t="s">
        <v>1084</v>
      </c>
      <c r="D225" s="2" t="s">
        <v>3158</v>
      </c>
      <c r="E225" s="156" t="s">
        <v>90</v>
      </c>
      <c r="F225" s="161" t="s">
        <v>3633</v>
      </c>
      <c r="G225" s="4" t="s">
        <v>3160</v>
      </c>
    </row>
    <row r="226" spans="1:7" x14ac:dyDescent="0.25">
      <c r="A226" s="158">
        <v>225</v>
      </c>
      <c r="B226" s="3" t="s">
        <v>768</v>
      </c>
      <c r="C226" s="3" t="s">
        <v>1969</v>
      </c>
      <c r="D226" s="2" t="s">
        <v>1970</v>
      </c>
      <c r="E226" s="156" t="s">
        <v>59</v>
      </c>
      <c r="F226" s="161" t="s">
        <v>3633</v>
      </c>
      <c r="G226" s="4" t="s">
        <v>1961</v>
      </c>
    </row>
    <row r="227" spans="1:7" x14ac:dyDescent="0.25">
      <c r="A227" s="154">
        <v>226</v>
      </c>
      <c r="B227" s="3" t="s">
        <v>768</v>
      </c>
      <c r="C227" s="3" t="s">
        <v>1988</v>
      </c>
      <c r="D227" s="2" t="s">
        <v>1989</v>
      </c>
      <c r="E227" s="156" t="s">
        <v>59</v>
      </c>
      <c r="F227" s="161" t="s">
        <v>3633</v>
      </c>
      <c r="G227" s="4" t="s">
        <v>1961</v>
      </c>
    </row>
    <row r="228" spans="1:7" x14ac:dyDescent="0.25">
      <c r="A228" s="158">
        <v>227</v>
      </c>
      <c r="B228" s="170" t="s">
        <v>499</v>
      </c>
      <c r="C228" s="499" t="s">
        <v>3463</v>
      </c>
      <c r="D228" s="2" t="s">
        <v>2023</v>
      </c>
      <c r="E228" s="156" t="s">
        <v>90</v>
      </c>
      <c r="F228" s="161" t="s">
        <v>3633</v>
      </c>
      <c r="G228" s="4" t="s">
        <v>766</v>
      </c>
    </row>
    <row r="229" spans="1:7" x14ac:dyDescent="0.25">
      <c r="A229" s="154">
        <v>228</v>
      </c>
      <c r="B229" s="3" t="s">
        <v>499</v>
      </c>
      <c r="C229" s="43" t="s">
        <v>3448</v>
      </c>
      <c r="D229" s="2" t="s">
        <v>2026</v>
      </c>
      <c r="E229" s="156" t="s">
        <v>969</v>
      </c>
      <c r="F229" s="161" t="s">
        <v>3633</v>
      </c>
      <c r="G229" s="4" t="s">
        <v>2028</v>
      </c>
    </row>
    <row r="230" spans="1:7" x14ac:dyDescent="0.25">
      <c r="A230" s="158">
        <v>229</v>
      </c>
      <c r="B230" s="3" t="s">
        <v>2004</v>
      </c>
      <c r="C230" s="3" t="s">
        <v>3067</v>
      </c>
      <c r="D230" s="2" t="s">
        <v>2006</v>
      </c>
      <c r="E230" s="156" t="s">
        <v>5588</v>
      </c>
      <c r="F230" s="161" t="s">
        <v>3633</v>
      </c>
      <c r="G230" s="4" t="s">
        <v>1847</v>
      </c>
    </row>
    <row r="231" spans="1:7" x14ac:dyDescent="0.25">
      <c r="A231" s="154">
        <v>230</v>
      </c>
      <c r="B231" s="3" t="s">
        <v>884</v>
      </c>
      <c r="C231" s="43" t="s">
        <v>885</v>
      </c>
      <c r="D231" s="2" t="s">
        <v>2019</v>
      </c>
      <c r="E231" s="156" t="s">
        <v>90</v>
      </c>
      <c r="F231" s="161" t="s">
        <v>3633</v>
      </c>
      <c r="G231" s="4" t="s">
        <v>766</v>
      </c>
    </row>
    <row r="232" spans="1:7" x14ac:dyDescent="0.25">
      <c r="A232" s="158">
        <v>231</v>
      </c>
      <c r="B232" s="486" t="s">
        <v>3677</v>
      </c>
      <c r="C232" s="3" t="s">
        <v>2015</v>
      </c>
      <c r="D232" s="2" t="s">
        <v>2016</v>
      </c>
      <c r="E232" s="156" t="s">
        <v>969</v>
      </c>
      <c r="F232" s="161" t="s">
        <v>3633</v>
      </c>
      <c r="G232" s="4" t="s">
        <v>766</v>
      </c>
    </row>
    <row r="233" spans="1:7" x14ac:dyDescent="0.25">
      <c r="A233" s="154">
        <v>232</v>
      </c>
      <c r="B233" s="486" t="s">
        <v>3677</v>
      </c>
      <c r="C233" s="3" t="s">
        <v>2011</v>
      </c>
      <c r="D233" s="2" t="s">
        <v>2012</v>
      </c>
      <c r="E233" s="156" t="s">
        <v>124</v>
      </c>
      <c r="F233" s="161" t="s">
        <v>3633</v>
      </c>
      <c r="G233" s="4" t="s">
        <v>766</v>
      </c>
    </row>
    <row r="234" spans="1:7" x14ac:dyDescent="0.25">
      <c r="A234" s="158">
        <v>233</v>
      </c>
      <c r="B234" s="3" t="s">
        <v>325</v>
      </c>
      <c r="C234" s="43" t="s">
        <v>593</v>
      </c>
      <c r="D234" s="2" t="s">
        <v>3045</v>
      </c>
      <c r="E234" s="156" t="s">
        <v>124</v>
      </c>
      <c r="F234" s="161" t="s">
        <v>3633</v>
      </c>
      <c r="G234" s="4" t="s">
        <v>2122</v>
      </c>
    </row>
    <row r="235" spans="1:7" x14ac:dyDescent="0.25">
      <c r="A235" s="154">
        <v>234</v>
      </c>
      <c r="B235" s="3" t="s">
        <v>325</v>
      </c>
      <c r="C235" s="43" t="s">
        <v>593</v>
      </c>
      <c r="D235" s="2" t="s">
        <v>3199</v>
      </c>
      <c r="E235" s="156" t="s">
        <v>327</v>
      </c>
      <c r="F235" s="161" t="s">
        <v>3633</v>
      </c>
      <c r="G235" s="181" t="s">
        <v>1817</v>
      </c>
    </row>
    <row r="236" spans="1:7" x14ac:dyDescent="0.25">
      <c r="A236" s="158">
        <v>235</v>
      </c>
      <c r="B236" s="3" t="s">
        <v>325</v>
      </c>
      <c r="C236" s="43" t="s">
        <v>1936</v>
      </c>
      <c r="D236" s="2" t="s">
        <v>1094</v>
      </c>
      <c r="E236" s="156" t="s">
        <v>232</v>
      </c>
      <c r="F236" s="161" t="s">
        <v>3633</v>
      </c>
      <c r="G236" s="181" t="s">
        <v>3765</v>
      </c>
    </row>
    <row r="237" spans="1:7" x14ac:dyDescent="0.25">
      <c r="A237" s="154">
        <v>236</v>
      </c>
      <c r="B237" s="3" t="s">
        <v>76</v>
      </c>
      <c r="C237" s="3" t="s">
        <v>77</v>
      </c>
      <c r="D237" s="2" t="s">
        <v>78</v>
      </c>
      <c r="E237" s="156" t="s">
        <v>79</v>
      </c>
      <c r="F237" s="3" t="s">
        <v>22</v>
      </c>
      <c r="G237" s="4" t="s">
        <v>81</v>
      </c>
    </row>
    <row r="238" spans="1:7" x14ac:dyDescent="0.25">
      <c r="A238" s="158">
        <v>237</v>
      </c>
      <c r="B238" s="3" t="s">
        <v>91</v>
      </c>
      <c r="C238" s="3" t="s">
        <v>92</v>
      </c>
      <c r="D238" s="2" t="s">
        <v>93</v>
      </c>
      <c r="E238" s="156" t="s">
        <v>79</v>
      </c>
      <c r="F238" s="3" t="s">
        <v>22</v>
      </c>
      <c r="G238" s="4" t="s">
        <v>81</v>
      </c>
    </row>
    <row r="239" spans="1:7" x14ac:dyDescent="0.25">
      <c r="A239" s="154">
        <v>238</v>
      </c>
      <c r="B239" s="3" t="s">
        <v>95</v>
      </c>
      <c r="C239" s="3" t="s">
        <v>96</v>
      </c>
      <c r="D239" s="2" t="s">
        <v>97</v>
      </c>
      <c r="E239" s="156" t="s">
        <v>124</v>
      </c>
      <c r="F239" s="3" t="s">
        <v>22</v>
      </c>
      <c r="G239" s="4" t="s">
        <v>81</v>
      </c>
    </row>
    <row r="240" spans="1:7" x14ac:dyDescent="0.25">
      <c r="A240" s="158">
        <v>239</v>
      </c>
      <c r="B240" s="485" t="s">
        <v>3701</v>
      </c>
      <c r="C240" s="485" t="s">
        <v>2384</v>
      </c>
      <c r="D240" s="2" t="s">
        <v>98</v>
      </c>
      <c r="E240" s="156" t="s">
        <v>159</v>
      </c>
      <c r="F240" s="3" t="s">
        <v>22</v>
      </c>
      <c r="G240" s="4" t="s">
        <v>81</v>
      </c>
    </row>
    <row r="241" spans="1:7" x14ac:dyDescent="0.25">
      <c r="A241" s="154">
        <v>240</v>
      </c>
      <c r="B241" s="3" t="s">
        <v>24</v>
      </c>
      <c r="C241" s="3" t="s">
        <v>25</v>
      </c>
      <c r="D241" s="2" t="s">
        <v>26</v>
      </c>
      <c r="E241" s="156" t="s">
        <v>124</v>
      </c>
      <c r="F241" s="3" t="s">
        <v>22</v>
      </c>
      <c r="G241" s="4" t="s">
        <v>23</v>
      </c>
    </row>
    <row r="242" spans="1:7" x14ac:dyDescent="0.25">
      <c r="A242" s="158">
        <v>241</v>
      </c>
      <c r="B242" s="3" t="s">
        <v>24</v>
      </c>
      <c r="C242" s="3" t="s">
        <v>45</v>
      </c>
      <c r="D242" s="2" t="s">
        <v>52</v>
      </c>
      <c r="E242" s="156" t="s">
        <v>47</v>
      </c>
      <c r="F242" s="3" t="s">
        <v>22</v>
      </c>
      <c r="G242" s="4" t="s">
        <v>53</v>
      </c>
    </row>
    <row r="243" spans="1:7" x14ac:dyDescent="0.25">
      <c r="A243" s="154">
        <v>242</v>
      </c>
      <c r="B243" s="3" t="s">
        <v>24</v>
      </c>
      <c r="C243" s="3" t="s">
        <v>37</v>
      </c>
      <c r="D243" s="2" t="s">
        <v>58</v>
      </c>
      <c r="E243" s="156" t="s">
        <v>59</v>
      </c>
      <c r="F243" s="3" t="s">
        <v>22</v>
      </c>
      <c r="G243" s="4" t="s">
        <v>56</v>
      </c>
    </row>
    <row r="244" spans="1:7" x14ac:dyDescent="0.25">
      <c r="A244" s="158">
        <v>243</v>
      </c>
      <c r="B244" s="3" t="s">
        <v>24</v>
      </c>
      <c r="C244" s="3" t="s">
        <v>104</v>
      </c>
      <c r="D244" s="2" t="s">
        <v>105</v>
      </c>
      <c r="E244" s="156" t="s">
        <v>283</v>
      </c>
      <c r="F244" s="3" t="s">
        <v>22</v>
      </c>
      <c r="G244" s="4" t="s">
        <v>81</v>
      </c>
    </row>
    <row r="245" spans="1:7" x14ac:dyDescent="0.25">
      <c r="A245" s="154">
        <v>244</v>
      </c>
      <c r="B245" s="3" t="s">
        <v>24</v>
      </c>
      <c r="C245" s="3" t="s">
        <v>104</v>
      </c>
      <c r="D245" s="2" t="s">
        <v>107</v>
      </c>
      <c r="E245" s="156" t="s">
        <v>283</v>
      </c>
      <c r="F245" s="3" t="s">
        <v>22</v>
      </c>
      <c r="G245" s="4" t="s">
        <v>81</v>
      </c>
    </row>
    <row r="246" spans="1:7" x14ac:dyDescent="0.25">
      <c r="A246" s="158">
        <v>245</v>
      </c>
      <c r="B246" s="3" t="s">
        <v>24</v>
      </c>
      <c r="C246" s="3" t="s">
        <v>37</v>
      </c>
      <c r="D246" s="2" t="s">
        <v>114</v>
      </c>
      <c r="E246" s="156" t="s">
        <v>464</v>
      </c>
      <c r="F246" s="3" t="s">
        <v>22</v>
      </c>
      <c r="G246" s="4" t="s">
        <v>116</v>
      </c>
    </row>
    <row r="247" spans="1:7" x14ac:dyDescent="0.25">
      <c r="A247" s="154">
        <v>246</v>
      </c>
      <c r="B247" s="3" t="s">
        <v>24</v>
      </c>
      <c r="C247" s="3" t="s">
        <v>25</v>
      </c>
      <c r="D247" s="2" t="s">
        <v>117</v>
      </c>
      <c r="E247" s="156" t="s">
        <v>124</v>
      </c>
      <c r="F247" s="3" t="s">
        <v>22</v>
      </c>
      <c r="G247" s="4" t="s">
        <v>119</v>
      </c>
    </row>
    <row r="248" spans="1:7" x14ac:dyDescent="0.25">
      <c r="A248" s="158">
        <v>247</v>
      </c>
      <c r="B248" s="3" t="s">
        <v>24</v>
      </c>
      <c r="C248" s="3" t="s">
        <v>37</v>
      </c>
      <c r="D248" s="2" t="s">
        <v>120</v>
      </c>
      <c r="E248" s="156" t="s">
        <v>124</v>
      </c>
      <c r="F248" s="3" t="s">
        <v>22</v>
      </c>
      <c r="G248" s="4" t="s">
        <v>122</v>
      </c>
    </row>
    <row r="249" spans="1:7" x14ac:dyDescent="0.25">
      <c r="A249" s="154">
        <v>248</v>
      </c>
      <c r="B249" s="3" t="s">
        <v>24</v>
      </c>
      <c r="C249" s="3" t="s">
        <v>25</v>
      </c>
      <c r="D249" s="2" t="s">
        <v>123</v>
      </c>
      <c r="E249" s="156" t="s">
        <v>124</v>
      </c>
      <c r="F249" s="3" t="s">
        <v>22</v>
      </c>
      <c r="G249" s="4" t="s">
        <v>126</v>
      </c>
    </row>
    <row r="250" spans="1:7" x14ac:dyDescent="0.25">
      <c r="A250" s="158">
        <v>249</v>
      </c>
      <c r="B250" s="3" t="s">
        <v>24</v>
      </c>
      <c r="C250" s="3" t="s">
        <v>37</v>
      </c>
      <c r="D250" s="2" t="s">
        <v>128</v>
      </c>
      <c r="E250" s="156" t="s">
        <v>59</v>
      </c>
      <c r="F250" s="3" t="s">
        <v>22</v>
      </c>
      <c r="G250" s="4"/>
    </row>
    <row r="251" spans="1:7" x14ac:dyDescent="0.25">
      <c r="A251" s="154">
        <v>250</v>
      </c>
      <c r="B251" s="3" t="s">
        <v>2973</v>
      </c>
      <c r="C251" s="43" t="s">
        <v>2987</v>
      </c>
      <c r="D251" s="2" t="s">
        <v>3356</v>
      </c>
      <c r="E251" s="156" t="s">
        <v>90</v>
      </c>
      <c r="F251" s="3" t="s">
        <v>2110</v>
      </c>
      <c r="G251" s="4" t="s">
        <v>1263</v>
      </c>
    </row>
    <row r="252" spans="1:7" x14ac:dyDescent="0.25">
      <c r="A252" s="158">
        <v>251</v>
      </c>
      <c r="B252" s="3" t="s">
        <v>2974</v>
      </c>
      <c r="C252" s="43" t="s">
        <v>2986</v>
      </c>
      <c r="D252" s="2" t="s">
        <v>3358</v>
      </c>
      <c r="E252" s="156" t="s">
        <v>615</v>
      </c>
      <c r="F252" s="3" t="s">
        <v>2110</v>
      </c>
      <c r="G252" s="4" t="s">
        <v>1263</v>
      </c>
    </row>
    <row r="253" spans="1:7" x14ac:dyDescent="0.25">
      <c r="A253" s="154">
        <v>252</v>
      </c>
      <c r="B253" s="3" t="s">
        <v>2975</v>
      </c>
      <c r="C253" s="3" t="s">
        <v>3268</v>
      </c>
      <c r="D253" s="2" t="s">
        <v>3360</v>
      </c>
      <c r="E253" s="156" t="s">
        <v>3262</v>
      </c>
      <c r="F253" s="3" t="s">
        <v>2110</v>
      </c>
      <c r="G253" s="4" t="s">
        <v>1263</v>
      </c>
    </row>
    <row r="254" spans="1:7" x14ac:dyDescent="0.25">
      <c r="A254" s="158">
        <v>253</v>
      </c>
      <c r="B254" s="3" t="s">
        <v>2975</v>
      </c>
      <c r="C254" s="3" t="s">
        <v>3268</v>
      </c>
      <c r="D254" s="2" t="s">
        <v>3362</v>
      </c>
      <c r="E254" s="156" t="s">
        <v>79</v>
      </c>
      <c r="F254" s="3" t="s">
        <v>2110</v>
      </c>
      <c r="G254" s="4" t="s">
        <v>1263</v>
      </c>
    </row>
    <row r="255" spans="1:7" x14ac:dyDescent="0.25">
      <c r="A255" s="154">
        <v>254</v>
      </c>
      <c r="B255" s="3" t="s">
        <v>1264</v>
      </c>
      <c r="C255" s="459" t="s">
        <v>1270</v>
      </c>
      <c r="D255" s="2" t="s">
        <v>3364</v>
      </c>
      <c r="E255" s="156" t="s">
        <v>615</v>
      </c>
      <c r="F255" s="3" t="s">
        <v>2110</v>
      </c>
      <c r="G255" s="4" t="s">
        <v>1263</v>
      </c>
    </row>
    <row r="256" spans="1:7" x14ac:dyDescent="0.25">
      <c r="A256" s="158">
        <v>255</v>
      </c>
      <c r="B256" s="3" t="s">
        <v>1408</v>
      </c>
      <c r="C256" s="3" t="s">
        <v>3366</v>
      </c>
      <c r="D256" s="2" t="s">
        <v>3367</v>
      </c>
      <c r="E256" s="156" t="s">
        <v>159</v>
      </c>
      <c r="F256" s="3" t="s">
        <v>2110</v>
      </c>
      <c r="G256" s="4" t="s">
        <v>1263</v>
      </c>
    </row>
    <row r="257" spans="1:7" x14ac:dyDescent="0.25">
      <c r="A257" s="154">
        <v>256</v>
      </c>
      <c r="B257" s="3" t="s">
        <v>1408</v>
      </c>
      <c r="C257" s="3" t="s">
        <v>3366</v>
      </c>
      <c r="D257" s="2" t="s">
        <v>3369</v>
      </c>
      <c r="E257" s="156" t="s">
        <v>615</v>
      </c>
      <c r="F257" s="3" t="s">
        <v>2110</v>
      </c>
      <c r="G257" s="4" t="s">
        <v>1263</v>
      </c>
    </row>
    <row r="258" spans="1:7" x14ac:dyDescent="0.25">
      <c r="A258" s="158">
        <v>257</v>
      </c>
      <c r="B258" s="3" t="s">
        <v>3371</v>
      </c>
      <c r="C258" s="3" t="s">
        <v>1327</v>
      </c>
      <c r="D258" s="2" t="s">
        <v>3372</v>
      </c>
      <c r="E258" s="156" t="s">
        <v>2277</v>
      </c>
      <c r="F258" s="3" t="s">
        <v>2110</v>
      </c>
      <c r="G258" s="4" t="s">
        <v>1263</v>
      </c>
    </row>
    <row r="259" spans="1:7" x14ac:dyDescent="0.25">
      <c r="A259" s="154">
        <v>258</v>
      </c>
      <c r="B259" s="3" t="s">
        <v>2978</v>
      </c>
      <c r="C259" s="43" t="s">
        <v>2982</v>
      </c>
      <c r="D259" s="2" t="s">
        <v>3374</v>
      </c>
      <c r="E259" s="156" t="s">
        <v>3375</v>
      </c>
      <c r="F259" s="3" t="s">
        <v>2110</v>
      </c>
      <c r="G259" s="4" t="s">
        <v>1263</v>
      </c>
    </row>
    <row r="260" spans="1:7" x14ac:dyDescent="0.25">
      <c r="A260" s="158">
        <v>259</v>
      </c>
      <c r="B260" s="3" t="s">
        <v>2978</v>
      </c>
      <c r="C260" s="43" t="s">
        <v>2982</v>
      </c>
      <c r="D260" s="2" t="s">
        <v>3377</v>
      </c>
      <c r="E260" s="156" t="s">
        <v>327</v>
      </c>
      <c r="F260" s="3" t="s">
        <v>2110</v>
      </c>
      <c r="G260" s="4" t="s">
        <v>1263</v>
      </c>
    </row>
    <row r="261" spans="1:7" x14ac:dyDescent="0.25">
      <c r="A261" s="154">
        <v>260</v>
      </c>
      <c r="B261" s="3" t="s">
        <v>24</v>
      </c>
      <c r="C261" s="3" t="s">
        <v>104</v>
      </c>
      <c r="D261" s="2" t="s">
        <v>3310</v>
      </c>
      <c r="E261" s="156" t="s">
        <v>283</v>
      </c>
      <c r="F261" s="3" t="s">
        <v>2110</v>
      </c>
      <c r="G261" s="4" t="s">
        <v>3312</v>
      </c>
    </row>
    <row r="262" spans="1:7" x14ac:dyDescent="0.25">
      <c r="A262" s="158">
        <v>261</v>
      </c>
      <c r="B262" s="3" t="s">
        <v>24</v>
      </c>
      <c r="C262" s="3" t="s">
        <v>1084</v>
      </c>
      <c r="D262" s="2" t="s">
        <v>3321</v>
      </c>
      <c r="E262" s="156" t="s">
        <v>59</v>
      </c>
      <c r="F262" s="3" t="s">
        <v>2110</v>
      </c>
      <c r="G262" s="4" t="s">
        <v>3315</v>
      </c>
    </row>
    <row r="263" spans="1:7" x14ac:dyDescent="0.25">
      <c r="A263" s="154">
        <v>262</v>
      </c>
      <c r="B263" s="3" t="s">
        <v>24</v>
      </c>
      <c r="C263" s="3" t="s">
        <v>104</v>
      </c>
      <c r="D263" s="2" t="s">
        <v>3323</v>
      </c>
      <c r="E263" s="156" t="s">
        <v>283</v>
      </c>
      <c r="F263" s="3" t="s">
        <v>2110</v>
      </c>
      <c r="G263" s="4" t="s">
        <v>3315</v>
      </c>
    </row>
    <row r="264" spans="1:7" x14ac:dyDescent="0.25">
      <c r="A264" s="158">
        <v>263</v>
      </c>
      <c r="B264" s="3" t="s">
        <v>24</v>
      </c>
      <c r="C264" s="3" t="s">
        <v>37</v>
      </c>
      <c r="D264" s="2" t="s">
        <v>3337</v>
      </c>
      <c r="E264" s="156" t="s">
        <v>59</v>
      </c>
      <c r="F264" s="3" t="s">
        <v>2110</v>
      </c>
      <c r="G264" s="4" t="s">
        <v>1895</v>
      </c>
    </row>
    <row r="265" spans="1:7" x14ac:dyDescent="0.25">
      <c r="A265" s="154">
        <v>264</v>
      </c>
      <c r="B265" s="3" t="s">
        <v>24</v>
      </c>
      <c r="C265" s="3" t="s">
        <v>1084</v>
      </c>
      <c r="D265" s="2" t="s">
        <v>3344</v>
      </c>
      <c r="E265" s="156" t="s">
        <v>59</v>
      </c>
      <c r="F265" s="3" t="s">
        <v>2110</v>
      </c>
      <c r="G265" s="4" t="s">
        <v>3092</v>
      </c>
    </row>
    <row r="266" spans="1:7" x14ac:dyDescent="0.25">
      <c r="A266" s="158">
        <v>265</v>
      </c>
      <c r="B266" s="3" t="s">
        <v>24</v>
      </c>
      <c r="C266" s="3" t="s">
        <v>37</v>
      </c>
      <c r="D266" s="2" t="s">
        <v>3346</v>
      </c>
      <c r="E266" s="156" t="s">
        <v>59</v>
      </c>
      <c r="F266" s="3" t="s">
        <v>2110</v>
      </c>
      <c r="G266" s="4" t="s">
        <v>1160</v>
      </c>
    </row>
    <row r="267" spans="1:7" x14ac:dyDescent="0.25">
      <c r="A267" s="154">
        <v>266</v>
      </c>
      <c r="B267" s="3" t="s">
        <v>24</v>
      </c>
      <c r="C267" s="3" t="s">
        <v>1084</v>
      </c>
      <c r="D267" s="2" t="s">
        <v>3348</v>
      </c>
      <c r="E267" s="156" t="s">
        <v>59</v>
      </c>
      <c r="F267" s="3" t="s">
        <v>2110</v>
      </c>
      <c r="G267" s="4" t="s">
        <v>1167</v>
      </c>
    </row>
    <row r="268" spans="1:7" x14ac:dyDescent="0.25">
      <c r="A268" s="158">
        <v>267</v>
      </c>
      <c r="B268" s="3" t="s">
        <v>24</v>
      </c>
      <c r="C268" s="3" t="s">
        <v>37</v>
      </c>
      <c r="D268" s="2">
        <v>15132</v>
      </c>
      <c r="E268" s="156" t="s">
        <v>59</v>
      </c>
      <c r="F268" s="3" t="s">
        <v>2110</v>
      </c>
      <c r="G268" s="4" t="s">
        <v>1081</v>
      </c>
    </row>
    <row r="269" spans="1:7" x14ac:dyDescent="0.25">
      <c r="A269" s="154">
        <v>268</v>
      </c>
      <c r="B269" s="3" t="s">
        <v>24</v>
      </c>
      <c r="C269" s="3" t="s">
        <v>37</v>
      </c>
      <c r="D269" s="2" t="s">
        <v>3354</v>
      </c>
      <c r="E269" s="156" t="s">
        <v>59</v>
      </c>
      <c r="F269" s="3" t="s">
        <v>2110</v>
      </c>
      <c r="G269" s="4" t="s">
        <v>1081</v>
      </c>
    </row>
    <row r="270" spans="1:7" x14ac:dyDescent="0.25">
      <c r="A270" s="158">
        <v>269</v>
      </c>
      <c r="B270" s="3" t="s">
        <v>24</v>
      </c>
      <c r="C270" s="3" t="s">
        <v>1084</v>
      </c>
      <c r="D270" s="2" t="s">
        <v>3379</v>
      </c>
      <c r="E270" s="156" t="s">
        <v>79</v>
      </c>
      <c r="F270" s="3" t="s">
        <v>2110</v>
      </c>
      <c r="G270" s="4" t="s">
        <v>1263</v>
      </c>
    </row>
    <row r="271" spans="1:7" x14ac:dyDescent="0.25">
      <c r="A271" s="154">
        <v>270</v>
      </c>
      <c r="B271" s="3" t="s">
        <v>24</v>
      </c>
      <c r="C271" s="3" t="s">
        <v>1084</v>
      </c>
      <c r="D271" s="2" t="s">
        <v>3382</v>
      </c>
      <c r="E271" s="156" t="s">
        <v>79</v>
      </c>
      <c r="F271" s="3" t="s">
        <v>2110</v>
      </c>
      <c r="G271" s="4" t="s">
        <v>122</v>
      </c>
    </row>
    <row r="272" spans="1:7" x14ac:dyDescent="0.25">
      <c r="A272" s="158">
        <v>271</v>
      </c>
      <c r="B272" s="3" t="s">
        <v>24</v>
      </c>
      <c r="C272" s="3" t="s">
        <v>1084</v>
      </c>
      <c r="D272" s="2" t="s">
        <v>3383</v>
      </c>
      <c r="E272" s="156" t="s">
        <v>59</v>
      </c>
      <c r="F272" s="3" t="s">
        <v>2110</v>
      </c>
      <c r="G272" s="4" t="s">
        <v>122</v>
      </c>
    </row>
    <row r="273" spans="1:7" x14ac:dyDescent="0.25">
      <c r="A273" s="154">
        <v>272</v>
      </c>
      <c r="B273" s="3" t="s">
        <v>325</v>
      </c>
      <c r="C273" s="43" t="s">
        <v>1936</v>
      </c>
      <c r="D273" s="2"/>
      <c r="E273" s="156" t="s">
        <v>5588</v>
      </c>
      <c r="F273" s="3" t="s">
        <v>2110</v>
      </c>
      <c r="G273" s="4" t="s">
        <v>1895</v>
      </c>
    </row>
    <row r="274" spans="1:7" x14ac:dyDescent="0.25">
      <c r="A274" s="158">
        <v>273</v>
      </c>
      <c r="B274" s="3" t="s">
        <v>604</v>
      </c>
      <c r="C274" s="3" t="s">
        <v>605</v>
      </c>
      <c r="D274" s="2" t="s">
        <v>606</v>
      </c>
      <c r="E274" s="156" t="s">
        <v>5588</v>
      </c>
      <c r="F274" s="482" t="s">
        <v>442</v>
      </c>
      <c r="G274" s="4" t="s">
        <v>599</v>
      </c>
    </row>
    <row r="275" spans="1:7" x14ac:dyDescent="0.25">
      <c r="A275" s="154">
        <v>274</v>
      </c>
      <c r="B275" s="170" t="s">
        <v>3728</v>
      </c>
      <c r="C275" s="459" t="s">
        <v>2996</v>
      </c>
      <c r="D275" s="2"/>
      <c r="E275" s="156" t="s">
        <v>5588</v>
      </c>
      <c r="F275" s="482" t="s">
        <v>442</v>
      </c>
      <c r="G275" s="4" t="s">
        <v>766</v>
      </c>
    </row>
    <row r="276" spans="1:7" x14ac:dyDescent="0.25">
      <c r="A276" s="158">
        <v>275</v>
      </c>
      <c r="B276" s="170" t="s">
        <v>3728</v>
      </c>
      <c r="C276" s="170" t="s">
        <v>556</v>
      </c>
      <c r="D276" s="2" t="s">
        <v>557</v>
      </c>
      <c r="E276" s="156" t="s">
        <v>51</v>
      </c>
      <c r="F276" s="482" t="s">
        <v>442</v>
      </c>
      <c r="G276" s="4" t="s">
        <v>515</v>
      </c>
    </row>
    <row r="277" spans="1:7" x14ac:dyDescent="0.25">
      <c r="A277" s="154">
        <v>276</v>
      </c>
      <c r="B277" s="170" t="s">
        <v>3728</v>
      </c>
      <c r="C277" s="3" t="s">
        <v>556</v>
      </c>
      <c r="D277" s="2" t="s">
        <v>559</v>
      </c>
      <c r="E277" s="156" t="s">
        <v>51</v>
      </c>
      <c r="F277" s="482" t="s">
        <v>442</v>
      </c>
      <c r="G277" s="4" t="s">
        <v>515</v>
      </c>
    </row>
    <row r="278" spans="1:7" x14ac:dyDescent="0.25">
      <c r="A278" s="158">
        <v>277</v>
      </c>
      <c r="B278" s="170" t="s">
        <v>3728</v>
      </c>
      <c r="C278" s="3" t="s">
        <v>585</v>
      </c>
      <c r="D278" s="2" t="s">
        <v>586</v>
      </c>
      <c r="E278" s="156" t="s">
        <v>59</v>
      </c>
      <c r="F278" s="482" t="s">
        <v>442</v>
      </c>
      <c r="G278" s="4" t="s">
        <v>567</v>
      </c>
    </row>
    <row r="279" spans="1:7" x14ac:dyDescent="0.25">
      <c r="A279" s="154">
        <v>278</v>
      </c>
      <c r="B279" s="170" t="s">
        <v>3728</v>
      </c>
      <c r="C279" s="3" t="s">
        <v>585</v>
      </c>
      <c r="D279" s="2" t="s">
        <v>588</v>
      </c>
      <c r="E279" s="156" t="s">
        <v>59</v>
      </c>
      <c r="F279" s="482" t="s">
        <v>442</v>
      </c>
      <c r="G279" s="4" t="s">
        <v>567</v>
      </c>
    </row>
    <row r="280" spans="1:7" x14ac:dyDescent="0.25">
      <c r="A280" s="158">
        <v>279</v>
      </c>
      <c r="B280" s="3" t="s">
        <v>91</v>
      </c>
      <c r="C280" s="3" t="s">
        <v>92</v>
      </c>
      <c r="D280" s="2" t="s">
        <v>611</v>
      </c>
      <c r="E280" s="156" t="s">
        <v>66</v>
      </c>
      <c r="F280" s="482" t="s">
        <v>442</v>
      </c>
      <c r="G280" s="4" t="s">
        <v>599</v>
      </c>
    </row>
    <row r="281" spans="1:7" x14ac:dyDescent="0.25">
      <c r="A281" s="154">
        <v>280</v>
      </c>
      <c r="B281" s="3" t="s">
        <v>91</v>
      </c>
      <c r="C281" s="3" t="s">
        <v>613</v>
      </c>
      <c r="D281" s="2" t="s">
        <v>614</v>
      </c>
      <c r="E281" s="156" t="s">
        <v>615</v>
      </c>
      <c r="F281" s="482" t="s">
        <v>442</v>
      </c>
      <c r="G281" s="4" t="s">
        <v>599</v>
      </c>
    </row>
    <row r="282" spans="1:7" x14ac:dyDescent="0.25">
      <c r="A282" s="158">
        <v>281</v>
      </c>
      <c r="B282" s="3" t="s">
        <v>154</v>
      </c>
      <c r="C282" s="3" t="s">
        <v>1139</v>
      </c>
      <c r="D282" s="2" t="s">
        <v>570</v>
      </c>
      <c r="E282" s="156" t="s">
        <v>5588</v>
      </c>
      <c r="F282" s="482" t="s">
        <v>442</v>
      </c>
      <c r="G282" s="4" t="s">
        <v>567</v>
      </c>
    </row>
    <row r="283" spans="1:7" x14ac:dyDescent="0.25">
      <c r="A283" s="154">
        <v>282</v>
      </c>
      <c r="B283" s="3" t="s">
        <v>24</v>
      </c>
      <c r="C283" s="3" t="s">
        <v>104</v>
      </c>
      <c r="D283" s="2"/>
      <c r="E283" s="156" t="s">
        <v>5588</v>
      </c>
      <c r="F283" s="482" t="s">
        <v>442</v>
      </c>
      <c r="G283" s="4" t="s">
        <v>450</v>
      </c>
    </row>
    <row r="284" spans="1:7" x14ac:dyDescent="0.25">
      <c r="A284" s="158">
        <v>283</v>
      </c>
      <c r="B284" s="3" t="s">
        <v>24</v>
      </c>
      <c r="C284" s="3" t="s">
        <v>104</v>
      </c>
      <c r="D284" s="2"/>
      <c r="E284" s="156" t="s">
        <v>5588</v>
      </c>
      <c r="F284" s="482" t="s">
        <v>442</v>
      </c>
      <c r="G284" s="4" t="s">
        <v>466</v>
      </c>
    </row>
    <row r="285" spans="1:7" x14ac:dyDescent="0.25">
      <c r="A285" s="154">
        <v>284</v>
      </c>
      <c r="B285" s="3" t="s">
        <v>24</v>
      </c>
      <c r="C285" s="3" t="s">
        <v>37</v>
      </c>
      <c r="D285" s="2" t="s">
        <v>583</v>
      </c>
      <c r="E285" s="156" t="s">
        <v>159</v>
      </c>
      <c r="F285" s="482" t="s">
        <v>442</v>
      </c>
      <c r="G285" s="4" t="s">
        <v>567</v>
      </c>
    </row>
    <row r="286" spans="1:7" x14ac:dyDescent="0.25">
      <c r="A286" s="158">
        <v>285</v>
      </c>
      <c r="B286" s="3" t="s">
        <v>24</v>
      </c>
      <c r="C286" s="3" t="s">
        <v>25</v>
      </c>
      <c r="D286" s="2"/>
      <c r="E286" s="156" t="s">
        <v>5588</v>
      </c>
      <c r="F286" s="482" t="s">
        <v>442</v>
      </c>
      <c r="G286" s="4" t="s">
        <v>599</v>
      </c>
    </row>
    <row r="287" spans="1:7" x14ac:dyDescent="0.25">
      <c r="A287" s="154">
        <v>286</v>
      </c>
      <c r="B287" s="3" t="s">
        <v>24</v>
      </c>
      <c r="C287" s="3" t="s">
        <v>25</v>
      </c>
      <c r="D287" s="2" t="s">
        <v>653</v>
      </c>
      <c r="E287" s="156" t="s">
        <v>5588</v>
      </c>
      <c r="F287" s="482" t="s">
        <v>442</v>
      </c>
      <c r="G287" s="4" t="s">
        <v>599</v>
      </c>
    </row>
    <row r="288" spans="1:7" x14ac:dyDescent="0.25">
      <c r="A288" s="158">
        <v>287</v>
      </c>
      <c r="B288" s="3" t="s">
        <v>24</v>
      </c>
      <c r="C288" s="3" t="s">
        <v>25</v>
      </c>
      <c r="D288" s="2" t="s">
        <v>701</v>
      </c>
      <c r="E288" s="156" t="s">
        <v>5588</v>
      </c>
      <c r="F288" s="482" t="s">
        <v>442</v>
      </c>
      <c r="G288" s="4" t="s">
        <v>703</v>
      </c>
    </row>
    <row r="289" spans="1:7" x14ac:dyDescent="0.25">
      <c r="A289" s="154">
        <v>288</v>
      </c>
      <c r="B289" s="3" t="s">
        <v>499</v>
      </c>
      <c r="C289" s="3" t="s">
        <v>500</v>
      </c>
      <c r="D289" s="2" t="s">
        <v>501</v>
      </c>
      <c r="E289" s="504" t="s">
        <v>159</v>
      </c>
      <c r="F289" s="482" t="s">
        <v>442</v>
      </c>
      <c r="G289" s="4" t="s">
        <v>466</v>
      </c>
    </row>
    <row r="290" spans="1:7" x14ac:dyDescent="0.25">
      <c r="A290" s="158">
        <v>289</v>
      </c>
      <c r="B290" s="3" t="s">
        <v>325</v>
      </c>
      <c r="C290" s="3" t="s">
        <v>593</v>
      </c>
      <c r="D290" s="2" t="s">
        <v>594</v>
      </c>
      <c r="E290" s="156">
        <v>2012</v>
      </c>
      <c r="F290" s="482" t="s">
        <v>442</v>
      </c>
      <c r="G290" s="4" t="s">
        <v>567</v>
      </c>
    </row>
    <row r="291" spans="1:7" x14ac:dyDescent="0.25">
      <c r="A291" s="154">
        <v>290</v>
      </c>
      <c r="B291" s="3" t="s">
        <v>325</v>
      </c>
      <c r="C291" s="3" t="s">
        <v>593</v>
      </c>
      <c r="D291" s="2" t="s">
        <v>761</v>
      </c>
      <c r="E291" s="156">
        <v>2012</v>
      </c>
      <c r="F291" s="482" t="s">
        <v>442</v>
      </c>
      <c r="G291" s="181" t="s">
        <v>599</v>
      </c>
    </row>
    <row r="292" spans="1:7" x14ac:dyDescent="0.25">
      <c r="A292" s="158">
        <v>291</v>
      </c>
      <c r="B292" s="485" t="s">
        <v>3702</v>
      </c>
      <c r="C292" s="3" t="s">
        <v>195</v>
      </c>
      <c r="D292" s="2" t="s">
        <v>196</v>
      </c>
      <c r="E292" s="156" t="s">
        <v>90</v>
      </c>
      <c r="F292" s="3" t="s">
        <v>132</v>
      </c>
      <c r="G292" s="4" t="s">
        <v>190</v>
      </c>
    </row>
    <row r="293" spans="1:7" x14ac:dyDescent="0.25">
      <c r="A293" s="154">
        <v>292</v>
      </c>
      <c r="B293" s="3" t="s">
        <v>233</v>
      </c>
      <c r="C293" s="507" t="s">
        <v>234</v>
      </c>
      <c r="D293" s="2" t="s">
        <v>235</v>
      </c>
      <c r="E293" s="156" t="s">
        <v>79</v>
      </c>
      <c r="F293" s="3" t="s">
        <v>132</v>
      </c>
      <c r="G293" s="4" t="s">
        <v>238</v>
      </c>
    </row>
    <row r="294" spans="1:7" x14ac:dyDescent="0.25">
      <c r="A294" s="158">
        <v>293</v>
      </c>
      <c r="B294" s="3" t="s">
        <v>154</v>
      </c>
      <c r="C294" s="3" t="s">
        <v>1139</v>
      </c>
      <c r="D294" s="2" t="s">
        <v>155</v>
      </c>
      <c r="E294" s="156" t="s">
        <v>5588</v>
      </c>
      <c r="F294" s="3" t="s">
        <v>132</v>
      </c>
      <c r="G294" s="4" t="s">
        <v>149</v>
      </c>
    </row>
    <row r="295" spans="1:7" x14ac:dyDescent="0.25">
      <c r="A295" s="154">
        <v>294</v>
      </c>
      <c r="B295" s="3" t="s">
        <v>138</v>
      </c>
      <c r="C295" s="3" t="s">
        <v>139</v>
      </c>
      <c r="D295" s="2" t="s">
        <v>140</v>
      </c>
      <c r="E295" s="156" t="s">
        <v>3262</v>
      </c>
      <c r="F295" s="3" t="s">
        <v>132</v>
      </c>
      <c r="G295" s="4" t="s">
        <v>133</v>
      </c>
    </row>
    <row r="296" spans="1:7" x14ac:dyDescent="0.25">
      <c r="A296" s="158">
        <v>295</v>
      </c>
      <c r="B296" s="3" t="s">
        <v>24</v>
      </c>
      <c r="C296" s="3" t="s">
        <v>37</v>
      </c>
      <c r="D296" s="2"/>
      <c r="E296" s="156" t="s">
        <v>5588</v>
      </c>
      <c r="F296" s="3" t="s">
        <v>132</v>
      </c>
      <c r="G296" s="4" t="s">
        <v>133</v>
      </c>
    </row>
    <row r="297" spans="1:7" x14ac:dyDescent="0.25">
      <c r="A297" s="154">
        <v>296</v>
      </c>
      <c r="B297" s="3" t="s">
        <v>24</v>
      </c>
      <c r="C297" s="3" t="s">
        <v>157</v>
      </c>
      <c r="D297" s="2" t="s">
        <v>158</v>
      </c>
      <c r="E297" s="156" t="s">
        <v>159</v>
      </c>
      <c r="F297" s="3" t="s">
        <v>132</v>
      </c>
      <c r="G297" s="4" t="s">
        <v>149</v>
      </c>
    </row>
    <row r="298" spans="1:7" x14ac:dyDescent="0.25">
      <c r="A298" s="158">
        <v>297</v>
      </c>
      <c r="B298" s="3" t="s">
        <v>24</v>
      </c>
      <c r="C298" s="3" t="s">
        <v>208</v>
      </c>
      <c r="D298" s="2" t="s">
        <v>209</v>
      </c>
      <c r="E298" s="156" t="s">
        <v>79</v>
      </c>
      <c r="F298" s="3" t="s">
        <v>132</v>
      </c>
      <c r="G298" s="4" t="s">
        <v>132</v>
      </c>
    </row>
    <row r="299" spans="1:7" x14ac:dyDescent="0.25">
      <c r="A299" s="154">
        <v>298</v>
      </c>
      <c r="B299" s="3" t="s">
        <v>24</v>
      </c>
      <c r="C299" s="3" t="s">
        <v>208</v>
      </c>
      <c r="D299" s="2" t="s">
        <v>229</v>
      </c>
      <c r="E299" s="156" t="s">
        <v>90</v>
      </c>
      <c r="F299" s="3" t="s">
        <v>132</v>
      </c>
      <c r="G299" s="4" t="s">
        <v>231</v>
      </c>
    </row>
    <row r="300" spans="1:7" x14ac:dyDescent="0.25">
      <c r="A300" s="158">
        <v>299</v>
      </c>
      <c r="B300" s="3" t="s">
        <v>239</v>
      </c>
      <c r="C300" s="3" t="s">
        <v>240</v>
      </c>
      <c r="D300" s="2" t="s">
        <v>241</v>
      </c>
      <c r="E300" s="156" t="s">
        <v>232</v>
      </c>
      <c r="F300" s="3" t="s">
        <v>132</v>
      </c>
      <c r="G300" s="4" t="s">
        <v>238</v>
      </c>
    </row>
    <row r="301" spans="1:7" x14ac:dyDescent="0.25">
      <c r="A301" s="154">
        <v>300</v>
      </c>
      <c r="B301" s="3" t="s">
        <v>211</v>
      </c>
      <c r="C301" s="3" t="s">
        <v>212</v>
      </c>
      <c r="D301" s="2" t="s">
        <v>213</v>
      </c>
      <c r="E301" s="156" t="s">
        <v>159</v>
      </c>
      <c r="F301" s="3" t="s">
        <v>132</v>
      </c>
      <c r="G301" s="4" t="s">
        <v>132</v>
      </c>
    </row>
    <row r="302" spans="1:7" x14ac:dyDescent="0.25">
      <c r="A302" s="158">
        <v>301</v>
      </c>
      <c r="B302" s="3" t="s">
        <v>499</v>
      </c>
      <c r="C302" s="3" t="s">
        <v>2050</v>
      </c>
      <c r="D302" s="2" t="s">
        <v>2051</v>
      </c>
      <c r="E302" s="156" t="s">
        <v>124</v>
      </c>
      <c r="F302" s="3" t="s">
        <v>2048</v>
      </c>
      <c r="G302" s="4" t="s">
        <v>2053</v>
      </c>
    </row>
    <row r="303" spans="1:7" x14ac:dyDescent="0.25">
      <c r="A303" s="154">
        <v>302</v>
      </c>
      <c r="B303" s="3" t="s">
        <v>499</v>
      </c>
      <c r="C303" s="3" t="s">
        <v>2061</v>
      </c>
      <c r="D303" s="2" t="s">
        <v>2062</v>
      </c>
      <c r="E303" s="156" t="s">
        <v>969</v>
      </c>
      <c r="F303" s="3" t="s">
        <v>2048</v>
      </c>
      <c r="G303" s="4" t="s">
        <v>2064</v>
      </c>
    </row>
    <row r="304" spans="1:7" x14ac:dyDescent="0.25">
      <c r="A304" s="158">
        <v>303</v>
      </c>
      <c r="B304" s="3" t="s">
        <v>499</v>
      </c>
      <c r="C304" s="3" t="s">
        <v>2067</v>
      </c>
      <c r="D304" s="2" t="s">
        <v>2068</v>
      </c>
      <c r="E304" s="156" t="s">
        <v>79</v>
      </c>
      <c r="F304" s="3" t="s">
        <v>2048</v>
      </c>
      <c r="G304" s="4" t="s">
        <v>2070</v>
      </c>
    </row>
    <row r="305" spans="1:7" x14ac:dyDescent="0.25">
      <c r="A305" s="154">
        <v>304</v>
      </c>
      <c r="B305" s="486" t="s">
        <v>3677</v>
      </c>
      <c r="C305" s="3" t="s">
        <v>2045</v>
      </c>
      <c r="D305" s="515" t="s">
        <v>2046</v>
      </c>
      <c r="E305" s="156" t="s">
        <v>5588</v>
      </c>
      <c r="F305" s="3" t="s">
        <v>2048</v>
      </c>
      <c r="G305" s="4" t="s">
        <v>2049</v>
      </c>
    </row>
    <row r="306" spans="1:7" x14ac:dyDescent="0.25">
      <c r="A306" s="158">
        <v>305</v>
      </c>
      <c r="B306" s="486" t="s">
        <v>3677</v>
      </c>
      <c r="C306" s="3" t="s">
        <v>2045</v>
      </c>
      <c r="D306" s="2" t="s">
        <v>2054</v>
      </c>
      <c r="E306" s="156" t="s">
        <v>5588</v>
      </c>
      <c r="F306" s="3" t="s">
        <v>2048</v>
      </c>
      <c r="G306" s="4" t="s">
        <v>2053</v>
      </c>
    </row>
    <row r="307" spans="1:7" x14ac:dyDescent="0.25">
      <c r="A307" s="154">
        <v>306</v>
      </c>
      <c r="B307" s="486" t="s">
        <v>3677</v>
      </c>
      <c r="C307" s="43" t="s">
        <v>3461</v>
      </c>
      <c r="D307" s="2" t="s">
        <v>2057</v>
      </c>
      <c r="E307" s="156" t="s">
        <v>969</v>
      </c>
      <c r="F307" s="3" t="s">
        <v>2048</v>
      </c>
      <c r="G307" s="4" t="s">
        <v>2060</v>
      </c>
    </row>
    <row r="308" spans="1:7" x14ac:dyDescent="0.25">
      <c r="A308" s="158">
        <v>307</v>
      </c>
      <c r="B308" s="486" t="s">
        <v>3677</v>
      </c>
      <c r="C308" s="3" t="s">
        <v>2045</v>
      </c>
      <c r="D308" s="2" t="s">
        <v>2065</v>
      </c>
      <c r="E308" s="156" t="s">
        <v>5588</v>
      </c>
      <c r="F308" s="3" t="s">
        <v>2048</v>
      </c>
      <c r="G308" s="4" t="s">
        <v>2064</v>
      </c>
    </row>
    <row r="309" spans="1:7" x14ac:dyDescent="0.25">
      <c r="A309" s="154">
        <v>308</v>
      </c>
      <c r="B309" s="3" t="s">
        <v>499</v>
      </c>
      <c r="C309" s="3" t="s">
        <v>2079</v>
      </c>
      <c r="D309" s="2" t="s">
        <v>2080</v>
      </c>
      <c r="E309" s="156" t="s">
        <v>90</v>
      </c>
      <c r="F309" s="3" t="s">
        <v>2074</v>
      </c>
      <c r="G309" s="4" t="s">
        <v>2078</v>
      </c>
    </row>
    <row r="310" spans="1:7" x14ac:dyDescent="0.25">
      <c r="A310" s="158">
        <v>309</v>
      </c>
      <c r="B310" s="486" t="s">
        <v>3677</v>
      </c>
      <c r="C310" s="3" t="s">
        <v>2071</v>
      </c>
      <c r="D310" s="2" t="s">
        <v>2072</v>
      </c>
      <c r="E310" s="156" t="s">
        <v>225</v>
      </c>
      <c r="F310" s="3" t="s">
        <v>2074</v>
      </c>
      <c r="G310" s="4" t="s">
        <v>2075</v>
      </c>
    </row>
    <row r="311" spans="1:7" x14ac:dyDescent="0.25">
      <c r="A311" s="154">
        <v>310</v>
      </c>
      <c r="B311" s="486" t="s">
        <v>3677</v>
      </c>
      <c r="C311" s="3" t="s">
        <v>2076</v>
      </c>
      <c r="D311" s="2" t="s">
        <v>2077</v>
      </c>
      <c r="E311" s="156" t="s">
        <v>79</v>
      </c>
      <c r="F311" s="3" t="s">
        <v>2074</v>
      </c>
      <c r="G311" s="4" t="s">
        <v>2078</v>
      </c>
    </row>
    <row r="312" spans="1:7" x14ac:dyDescent="0.25">
      <c r="A312" s="158">
        <v>311</v>
      </c>
      <c r="B312" s="486" t="s">
        <v>3677</v>
      </c>
      <c r="C312" s="3" t="s">
        <v>2045</v>
      </c>
      <c r="D312" s="2" t="s">
        <v>2082</v>
      </c>
      <c r="E312" s="156" t="s">
        <v>5588</v>
      </c>
      <c r="F312" s="3" t="s">
        <v>2074</v>
      </c>
      <c r="G312" s="4" t="s">
        <v>2083</v>
      </c>
    </row>
    <row r="313" spans="1:7" x14ac:dyDescent="0.25">
      <c r="A313" s="154">
        <v>312</v>
      </c>
      <c r="B313" s="170" t="s">
        <v>3728</v>
      </c>
      <c r="C313" s="170" t="s">
        <v>3399</v>
      </c>
      <c r="D313" s="2" t="s">
        <v>2725</v>
      </c>
      <c r="E313" s="156" t="s">
        <v>159</v>
      </c>
      <c r="F313" s="3" t="s">
        <v>1842</v>
      </c>
      <c r="G313" s="4" t="s">
        <v>2088</v>
      </c>
    </row>
    <row r="314" spans="1:7" x14ac:dyDescent="0.25">
      <c r="A314" s="158">
        <v>313</v>
      </c>
      <c r="B314" s="170" t="s">
        <v>499</v>
      </c>
      <c r="C314" s="43" t="s">
        <v>2089</v>
      </c>
      <c r="D314" s="2"/>
      <c r="E314" s="156" t="s">
        <v>159</v>
      </c>
      <c r="F314" s="3" t="s">
        <v>1842</v>
      </c>
      <c r="G314" s="4" t="s">
        <v>2088</v>
      </c>
    </row>
    <row r="315" spans="1:7" x14ac:dyDescent="0.25">
      <c r="A315" s="154">
        <v>314</v>
      </c>
      <c r="B315" s="3" t="s">
        <v>499</v>
      </c>
      <c r="C315" s="43" t="s">
        <v>2085</v>
      </c>
      <c r="D315" s="2" t="s">
        <v>2086</v>
      </c>
      <c r="E315" s="156" t="s">
        <v>90</v>
      </c>
      <c r="F315" s="3" t="s">
        <v>1842</v>
      </c>
      <c r="G315" s="4" t="s">
        <v>2088</v>
      </c>
    </row>
    <row r="316" spans="1:7" x14ac:dyDescent="0.25">
      <c r="A316" s="158">
        <v>315</v>
      </c>
      <c r="B316" s="486" t="s">
        <v>3677</v>
      </c>
      <c r="C316" s="43" t="s">
        <v>3462</v>
      </c>
      <c r="D316" s="2"/>
      <c r="E316" s="156" t="s">
        <v>5588</v>
      </c>
      <c r="F316" s="3" t="s">
        <v>1842</v>
      </c>
      <c r="G316" s="4" t="s">
        <v>2088</v>
      </c>
    </row>
    <row r="317" spans="1:7" x14ac:dyDescent="0.25">
      <c r="A317" s="154">
        <v>316</v>
      </c>
      <c r="B317" s="486" t="s">
        <v>3677</v>
      </c>
      <c r="C317" s="43" t="s">
        <v>3461</v>
      </c>
      <c r="D317" s="2" t="s">
        <v>2092</v>
      </c>
      <c r="E317" s="156" t="s">
        <v>969</v>
      </c>
      <c r="F317" s="3" t="s">
        <v>1842</v>
      </c>
      <c r="G317" s="181" t="s">
        <v>3738</v>
      </c>
    </row>
    <row r="318" spans="1:7" x14ac:dyDescent="0.25">
      <c r="A318" s="158">
        <v>317</v>
      </c>
      <c r="B318" s="3" t="s">
        <v>2972</v>
      </c>
      <c r="C318" s="3" t="s">
        <v>2902</v>
      </c>
      <c r="D318" s="2" t="s">
        <v>2903</v>
      </c>
      <c r="E318" s="156" t="s">
        <v>5589</v>
      </c>
      <c r="F318" s="174" t="s">
        <v>3481</v>
      </c>
      <c r="G318" s="4" t="s">
        <v>1263</v>
      </c>
    </row>
    <row r="319" spans="1:7" x14ac:dyDescent="0.25">
      <c r="A319" s="154">
        <v>318</v>
      </c>
      <c r="B319" s="3" t="s">
        <v>1339</v>
      </c>
      <c r="C319" s="3" t="s">
        <v>2905</v>
      </c>
      <c r="D319" s="2" t="s">
        <v>2906</v>
      </c>
      <c r="E319" s="156" t="s">
        <v>5590</v>
      </c>
      <c r="F319" s="174" t="s">
        <v>3481</v>
      </c>
      <c r="G319" s="4" t="s">
        <v>1263</v>
      </c>
    </row>
    <row r="320" spans="1:7" x14ac:dyDescent="0.25">
      <c r="A320" s="158">
        <v>319</v>
      </c>
      <c r="B320" s="3" t="s">
        <v>2973</v>
      </c>
      <c r="C320" s="43" t="s">
        <v>2987</v>
      </c>
      <c r="D320" s="2" t="s">
        <v>2909</v>
      </c>
      <c r="E320" s="156" t="s">
        <v>2910</v>
      </c>
      <c r="F320" s="174" t="s">
        <v>3481</v>
      </c>
      <c r="G320" s="4" t="s">
        <v>1263</v>
      </c>
    </row>
    <row r="321" spans="1:7" x14ac:dyDescent="0.25">
      <c r="A321" s="154">
        <v>320</v>
      </c>
      <c r="B321" s="3" t="s">
        <v>2974</v>
      </c>
      <c r="C321" s="43" t="s">
        <v>2986</v>
      </c>
      <c r="D321" s="2" t="s">
        <v>2912</v>
      </c>
      <c r="E321" s="156" t="s">
        <v>159</v>
      </c>
      <c r="F321" s="174" t="s">
        <v>3481</v>
      </c>
      <c r="G321" s="4" t="s">
        <v>1263</v>
      </c>
    </row>
    <row r="322" spans="1:7" x14ac:dyDescent="0.25">
      <c r="A322" s="158">
        <v>321</v>
      </c>
      <c r="B322" s="3" t="s">
        <v>2975</v>
      </c>
      <c r="C322" s="43" t="s">
        <v>2985</v>
      </c>
      <c r="D322" s="2" t="s">
        <v>2914</v>
      </c>
      <c r="E322" s="156" t="s">
        <v>5588</v>
      </c>
      <c r="F322" s="174" t="s">
        <v>3481</v>
      </c>
      <c r="G322" s="4" t="s">
        <v>1263</v>
      </c>
    </row>
    <row r="323" spans="1:7" x14ac:dyDescent="0.25">
      <c r="A323" s="154">
        <v>322</v>
      </c>
      <c r="B323" s="3" t="s">
        <v>1264</v>
      </c>
      <c r="C323" s="459" t="s">
        <v>1270</v>
      </c>
      <c r="D323" s="2" t="s">
        <v>2916</v>
      </c>
      <c r="E323" s="156" t="s">
        <v>615</v>
      </c>
      <c r="F323" s="174" t="s">
        <v>3481</v>
      </c>
      <c r="G323" s="4" t="s">
        <v>1263</v>
      </c>
    </row>
    <row r="324" spans="1:7" x14ac:dyDescent="0.25">
      <c r="A324" s="158">
        <v>323</v>
      </c>
      <c r="B324" s="3" t="s">
        <v>1266</v>
      </c>
      <c r="C324" s="43" t="s">
        <v>2984</v>
      </c>
      <c r="D324" s="2" t="s">
        <v>2918</v>
      </c>
      <c r="E324" s="156" t="s">
        <v>1370</v>
      </c>
      <c r="F324" s="174" t="s">
        <v>3481</v>
      </c>
      <c r="G324" s="4" t="s">
        <v>1263</v>
      </c>
    </row>
    <row r="325" spans="1:7" x14ac:dyDescent="0.25">
      <c r="A325" s="154">
        <v>324</v>
      </c>
      <c r="B325" s="3" t="s">
        <v>2976</v>
      </c>
      <c r="C325" s="43" t="s">
        <v>2983</v>
      </c>
      <c r="D325" s="2" t="s">
        <v>2920</v>
      </c>
      <c r="E325" s="156" t="s">
        <v>41</v>
      </c>
      <c r="F325" s="174" t="s">
        <v>3481</v>
      </c>
      <c r="G325" s="4" t="s">
        <v>1263</v>
      </c>
    </row>
    <row r="326" spans="1:7" x14ac:dyDescent="0.25">
      <c r="A326" s="158">
        <v>325</v>
      </c>
      <c r="B326" s="3" t="s">
        <v>2977</v>
      </c>
      <c r="C326" s="3" t="s">
        <v>1288</v>
      </c>
      <c r="D326" s="2" t="s">
        <v>2922</v>
      </c>
      <c r="E326" s="156" t="s">
        <v>79</v>
      </c>
      <c r="F326" s="174" t="s">
        <v>3481</v>
      </c>
      <c r="G326" s="4" t="s">
        <v>1263</v>
      </c>
    </row>
    <row r="327" spans="1:7" x14ac:dyDescent="0.25">
      <c r="A327" s="154">
        <v>326</v>
      </c>
      <c r="B327" s="3" t="s">
        <v>2977</v>
      </c>
      <c r="C327" s="3" t="s">
        <v>1288</v>
      </c>
      <c r="D327" s="2" t="s">
        <v>2924</v>
      </c>
      <c r="E327" s="156" t="s">
        <v>41</v>
      </c>
      <c r="F327" s="174" t="s">
        <v>3481</v>
      </c>
      <c r="G327" s="4" t="s">
        <v>1263</v>
      </c>
    </row>
    <row r="328" spans="1:7" x14ac:dyDescent="0.25">
      <c r="A328" s="158">
        <v>327</v>
      </c>
      <c r="B328" s="3" t="s">
        <v>352</v>
      </c>
      <c r="C328" s="43" t="s">
        <v>3411</v>
      </c>
      <c r="D328" s="2" t="s">
        <v>2767</v>
      </c>
      <c r="E328" s="156" t="s">
        <v>5588</v>
      </c>
      <c r="F328" s="174" t="s">
        <v>3481</v>
      </c>
      <c r="G328" s="4" t="s">
        <v>766</v>
      </c>
    </row>
    <row r="329" spans="1:7" x14ac:dyDescent="0.25">
      <c r="A329" s="154">
        <v>328</v>
      </c>
      <c r="B329" s="3" t="s">
        <v>352</v>
      </c>
      <c r="C329" s="43" t="s">
        <v>3406</v>
      </c>
      <c r="D329" s="2" t="s">
        <v>2754</v>
      </c>
      <c r="E329" s="156" t="s">
        <v>283</v>
      </c>
      <c r="F329" s="174" t="s">
        <v>3481</v>
      </c>
      <c r="G329" s="4" t="s">
        <v>766</v>
      </c>
    </row>
    <row r="330" spans="1:7" x14ac:dyDescent="0.25">
      <c r="A330" s="158">
        <v>329</v>
      </c>
      <c r="B330" s="170" t="s">
        <v>3728</v>
      </c>
      <c r="C330" s="43" t="s">
        <v>3399</v>
      </c>
      <c r="D330" s="2" t="s">
        <v>2807</v>
      </c>
      <c r="E330" s="156" t="s">
        <v>90</v>
      </c>
      <c r="F330" s="174" t="s">
        <v>3481</v>
      </c>
      <c r="G330" s="4" t="s">
        <v>766</v>
      </c>
    </row>
    <row r="331" spans="1:7" x14ac:dyDescent="0.25">
      <c r="A331" s="154">
        <v>330</v>
      </c>
      <c r="B331" s="170" t="s">
        <v>3728</v>
      </c>
      <c r="C331" s="43" t="s">
        <v>3399</v>
      </c>
      <c r="D331" s="2" t="s">
        <v>2805</v>
      </c>
      <c r="E331" s="156" t="s">
        <v>90</v>
      </c>
      <c r="F331" s="174" t="s">
        <v>3481</v>
      </c>
      <c r="G331" s="4" t="s">
        <v>766</v>
      </c>
    </row>
    <row r="332" spans="1:7" x14ac:dyDescent="0.25">
      <c r="A332" s="158">
        <v>331</v>
      </c>
      <c r="B332" s="170" t="s">
        <v>3728</v>
      </c>
      <c r="C332" s="170" t="s">
        <v>2996</v>
      </c>
      <c r="D332" s="2" t="s">
        <v>2863</v>
      </c>
      <c r="E332" s="156" t="s">
        <v>232</v>
      </c>
      <c r="F332" s="174" t="s">
        <v>3481</v>
      </c>
      <c r="G332" s="4" t="s">
        <v>2028</v>
      </c>
    </row>
    <row r="333" spans="1:7" x14ac:dyDescent="0.25">
      <c r="A333" s="154">
        <v>332</v>
      </c>
      <c r="B333" s="3" t="s">
        <v>763</v>
      </c>
      <c r="C333" s="43" t="s">
        <v>3413</v>
      </c>
      <c r="D333" s="2" t="s">
        <v>2776</v>
      </c>
      <c r="E333" s="156" t="s">
        <v>5588</v>
      </c>
      <c r="F333" s="174" t="s">
        <v>3481</v>
      </c>
      <c r="G333" s="4" t="s">
        <v>766</v>
      </c>
    </row>
    <row r="334" spans="1:7" x14ac:dyDescent="0.25">
      <c r="A334" s="158">
        <v>333</v>
      </c>
      <c r="B334" s="3" t="s">
        <v>763</v>
      </c>
      <c r="C334" s="43" t="s">
        <v>3413</v>
      </c>
      <c r="D334" s="2" t="s">
        <v>2775</v>
      </c>
      <c r="E334" s="156" t="s">
        <v>5588</v>
      </c>
      <c r="F334" s="174" t="s">
        <v>3481</v>
      </c>
      <c r="G334" s="4" t="s">
        <v>766</v>
      </c>
    </row>
    <row r="335" spans="1:7" x14ac:dyDescent="0.25">
      <c r="A335" s="154">
        <v>334</v>
      </c>
      <c r="B335" s="3" t="s">
        <v>2978</v>
      </c>
      <c r="C335" s="43" t="s">
        <v>2982</v>
      </c>
      <c r="D335" s="2" t="s">
        <v>2926</v>
      </c>
      <c r="E335" s="156" t="s">
        <v>5588</v>
      </c>
      <c r="F335" s="174" t="s">
        <v>3481</v>
      </c>
      <c r="G335" s="4" t="s">
        <v>1263</v>
      </c>
    </row>
    <row r="336" spans="1:7" x14ac:dyDescent="0.25">
      <c r="A336" s="158">
        <v>335</v>
      </c>
      <c r="B336" s="3" t="s">
        <v>2971</v>
      </c>
      <c r="C336" s="43" t="s">
        <v>2989</v>
      </c>
      <c r="D336" s="2"/>
      <c r="E336" s="156" t="s">
        <v>5588</v>
      </c>
      <c r="F336" s="174" t="s">
        <v>3481</v>
      </c>
      <c r="G336" s="4" t="s">
        <v>985</v>
      </c>
    </row>
    <row r="337" spans="1:7" x14ac:dyDescent="0.25">
      <c r="A337" s="154">
        <v>336</v>
      </c>
      <c r="B337" s="3" t="s">
        <v>91</v>
      </c>
      <c r="C337" s="43" t="s">
        <v>92</v>
      </c>
      <c r="D337" s="2" t="s">
        <v>2856</v>
      </c>
      <c r="E337" s="156" t="s">
        <v>1832</v>
      </c>
      <c r="F337" s="174" t="s">
        <v>3481</v>
      </c>
      <c r="G337" s="4" t="s">
        <v>2028</v>
      </c>
    </row>
    <row r="338" spans="1:7" x14ac:dyDescent="0.25">
      <c r="A338" s="158">
        <v>337</v>
      </c>
      <c r="B338" s="3" t="s">
        <v>91</v>
      </c>
      <c r="C338" s="3" t="s">
        <v>92</v>
      </c>
      <c r="D338" s="2" t="s">
        <v>1883</v>
      </c>
      <c r="E338" s="156" t="s">
        <v>66</v>
      </c>
      <c r="F338" s="174" t="s">
        <v>3481</v>
      </c>
      <c r="G338" s="4" t="s">
        <v>1773</v>
      </c>
    </row>
    <row r="339" spans="1:7" x14ac:dyDescent="0.25">
      <c r="A339" s="154">
        <v>338</v>
      </c>
      <c r="B339" s="3" t="s">
        <v>1399</v>
      </c>
      <c r="C339" s="459" t="s">
        <v>2980</v>
      </c>
      <c r="D339" s="2" t="s">
        <v>2931</v>
      </c>
      <c r="E339" s="156" t="s">
        <v>41</v>
      </c>
      <c r="F339" s="174" t="s">
        <v>3481</v>
      </c>
      <c r="G339" s="4" t="s">
        <v>1263</v>
      </c>
    </row>
    <row r="340" spans="1:7" x14ac:dyDescent="0.25">
      <c r="A340" s="158">
        <v>339</v>
      </c>
      <c r="B340" s="3" t="s">
        <v>24</v>
      </c>
      <c r="C340" s="3" t="s">
        <v>1105</v>
      </c>
      <c r="D340" s="2" t="s">
        <v>1872</v>
      </c>
      <c r="E340" s="156" t="s">
        <v>296</v>
      </c>
      <c r="F340" s="174" t="s">
        <v>3481</v>
      </c>
      <c r="G340" s="4" t="s">
        <v>1154</v>
      </c>
    </row>
    <row r="341" spans="1:7" x14ac:dyDescent="0.25">
      <c r="A341" s="154">
        <v>340</v>
      </c>
      <c r="B341" s="3" t="s">
        <v>24</v>
      </c>
      <c r="C341" s="3" t="s">
        <v>37</v>
      </c>
      <c r="D341" s="2" t="s">
        <v>1870</v>
      </c>
      <c r="E341" s="156" t="s">
        <v>66</v>
      </c>
      <c r="F341" s="174" t="s">
        <v>3481</v>
      </c>
      <c r="G341" s="4" t="s">
        <v>1157</v>
      </c>
    </row>
    <row r="342" spans="1:7" x14ac:dyDescent="0.25">
      <c r="A342" s="158">
        <v>341</v>
      </c>
      <c r="B342" s="3" t="s">
        <v>24</v>
      </c>
      <c r="C342" s="3" t="s">
        <v>1105</v>
      </c>
      <c r="D342" s="2" t="s">
        <v>1869</v>
      </c>
      <c r="E342" s="156" t="s">
        <v>296</v>
      </c>
      <c r="F342" s="174" t="s">
        <v>3481</v>
      </c>
      <c r="G342" s="4" t="s">
        <v>1160</v>
      </c>
    </row>
    <row r="343" spans="1:7" x14ac:dyDescent="0.25">
      <c r="A343" s="154">
        <v>342</v>
      </c>
      <c r="B343" s="3" t="s">
        <v>24</v>
      </c>
      <c r="C343" s="3" t="s">
        <v>37</v>
      </c>
      <c r="D343" s="2" t="s">
        <v>2845</v>
      </c>
      <c r="E343" s="156" t="s">
        <v>59</v>
      </c>
      <c r="F343" s="174" t="s">
        <v>3481</v>
      </c>
      <c r="G343" s="4" t="s">
        <v>1160</v>
      </c>
    </row>
    <row r="344" spans="1:7" x14ac:dyDescent="0.25">
      <c r="A344" s="158">
        <v>343</v>
      </c>
      <c r="B344" s="3" t="s">
        <v>24</v>
      </c>
      <c r="C344" s="3" t="s">
        <v>1105</v>
      </c>
      <c r="D344" s="2" t="s">
        <v>1865</v>
      </c>
      <c r="E344" s="156" t="s">
        <v>296</v>
      </c>
      <c r="F344" s="174" t="s">
        <v>3481</v>
      </c>
      <c r="G344" s="4" t="s">
        <v>1164</v>
      </c>
    </row>
    <row r="345" spans="1:7" x14ac:dyDescent="0.25">
      <c r="A345" s="154">
        <v>344</v>
      </c>
      <c r="B345" s="3" t="s">
        <v>24</v>
      </c>
      <c r="C345" s="3" t="s">
        <v>37</v>
      </c>
      <c r="D345" s="2" t="s">
        <v>2847</v>
      </c>
      <c r="E345" s="156" t="s">
        <v>59</v>
      </c>
      <c r="F345" s="174" t="s">
        <v>3481</v>
      </c>
      <c r="G345" s="4" t="s">
        <v>1164</v>
      </c>
    </row>
    <row r="346" spans="1:7" x14ac:dyDescent="0.25">
      <c r="A346" s="158">
        <v>345</v>
      </c>
      <c r="B346" s="3" t="s">
        <v>24</v>
      </c>
      <c r="C346" s="3" t="s">
        <v>1105</v>
      </c>
      <c r="D346" s="2" t="s">
        <v>1863</v>
      </c>
      <c r="E346" s="156" t="s">
        <v>296</v>
      </c>
      <c r="F346" s="174" t="s">
        <v>3481</v>
      </c>
      <c r="G346" s="4" t="s">
        <v>1167</v>
      </c>
    </row>
    <row r="347" spans="1:7" x14ac:dyDescent="0.25">
      <c r="A347" s="154">
        <v>346</v>
      </c>
      <c r="B347" s="3" t="s">
        <v>24</v>
      </c>
      <c r="C347" s="3" t="s">
        <v>37</v>
      </c>
      <c r="D347" s="2" t="s">
        <v>2849</v>
      </c>
      <c r="E347" s="156" t="s">
        <v>59</v>
      </c>
      <c r="F347" s="174" t="s">
        <v>3481</v>
      </c>
      <c r="G347" s="4" t="s">
        <v>1167</v>
      </c>
    </row>
    <row r="348" spans="1:7" x14ac:dyDescent="0.25">
      <c r="A348" s="158">
        <v>347</v>
      </c>
      <c r="B348" s="3" t="s">
        <v>24</v>
      </c>
      <c r="C348" s="3" t="s">
        <v>37</v>
      </c>
      <c r="D348" s="2" t="s">
        <v>2851</v>
      </c>
      <c r="E348" s="156" t="s">
        <v>59</v>
      </c>
      <c r="F348" s="174" t="s">
        <v>3481</v>
      </c>
      <c r="G348" s="4" t="s">
        <v>2134</v>
      </c>
    </row>
    <row r="349" spans="1:7" x14ac:dyDescent="0.25">
      <c r="A349" s="154">
        <v>348</v>
      </c>
      <c r="B349" s="3" t="s">
        <v>24</v>
      </c>
      <c r="C349" s="3" t="s">
        <v>1105</v>
      </c>
      <c r="D349" s="2" t="s">
        <v>1857</v>
      </c>
      <c r="E349" s="156" t="s">
        <v>296</v>
      </c>
      <c r="F349" s="174" t="s">
        <v>3481</v>
      </c>
      <c r="G349" s="4" t="s">
        <v>1859</v>
      </c>
    </row>
    <row r="350" spans="1:7" x14ac:dyDescent="0.25">
      <c r="A350" s="158">
        <v>349</v>
      </c>
      <c r="B350" s="3" t="s">
        <v>24</v>
      </c>
      <c r="C350" s="3" t="s">
        <v>37</v>
      </c>
      <c r="D350" s="2" t="s">
        <v>2853</v>
      </c>
      <c r="E350" s="156" t="s">
        <v>59</v>
      </c>
      <c r="F350" s="174" t="s">
        <v>3481</v>
      </c>
      <c r="G350" s="4" t="s">
        <v>1859</v>
      </c>
    </row>
    <row r="351" spans="1:7" x14ac:dyDescent="0.25">
      <c r="A351" s="154">
        <v>350</v>
      </c>
      <c r="B351" s="3" t="s">
        <v>24</v>
      </c>
      <c r="C351" s="3" t="s">
        <v>25</v>
      </c>
      <c r="D351" s="2" t="s">
        <v>2860</v>
      </c>
      <c r="E351" s="156" t="s">
        <v>66</v>
      </c>
      <c r="F351" s="174" t="s">
        <v>3481</v>
      </c>
      <c r="G351" s="4" t="s">
        <v>2028</v>
      </c>
    </row>
    <row r="352" spans="1:7" x14ac:dyDescent="0.25">
      <c r="A352" s="158">
        <v>351</v>
      </c>
      <c r="B352" s="3" t="s">
        <v>24</v>
      </c>
      <c r="C352" s="3" t="s">
        <v>1105</v>
      </c>
      <c r="D352" s="2" t="s">
        <v>1878</v>
      </c>
      <c r="E352" s="156" t="s">
        <v>296</v>
      </c>
      <c r="F352" s="174" t="s">
        <v>3481</v>
      </c>
      <c r="G352" s="4" t="s">
        <v>1773</v>
      </c>
    </row>
    <row r="353" spans="1:7" x14ac:dyDescent="0.25">
      <c r="A353" s="154">
        <v>352</v>
      </c>
      <c r="B353" s="3" t="s">
        <v>24</v>
      </c>
      <c r="C353" s="3" t="s">
        <v>25</v>
      </c>
      <c r="D353" s="2" t="s">
        <v>2877</v>
      </c>
      <c r="E353" s="156" t="s">
        <v>1078</v>
      </c>
      <c r="F353" s="174" t="s">
        <v>3481</v>
      </c>
      <c r="G353" s="4" t="s">
        <v>1076</v>
      </c>
    </row>
    <row r="354" spans="1:7" x14ac:dyDescent="0.25">
      <c r="A354" s="158">
        <v>353</v>
      </c>
      <c r="B354" s="3" t="s">
        <v>24</v>
      </c>
      <c r="C354" s="3" t="s">
        <v>37</v>
      </c>
      <c r="D354" s="2" t="s">
        <v>2885</v>
      </c>
      <c r="E354" s="156" t="s">
        <v>41</v>
      </c>
      <c r="F354" s="174" t="s">
        <v>3481</v>
      </c>
      <c r="G354" s="4" t="s">
        <v>706</v>
      </c>
    </row>
    <row r="355" spans="1:7" x14ac:dyDescent="0.25">
      <c r="A355" s="154">
        <v>354</v>
      </c>
      <c r="B355" s="3" t="s">
        <v>24</v>
      </c>
      <c r="C355" s="3" t="s">
        <v>104</v>
      </c>
      <c r="D355" s="2" t="s">
        <v>2886</v>
      </c>
      <c r="E355" s="156" t="s">
        <v>283</v>
      </c>
      <c r="F355" s="174" t="s">
        <v>3481</v>
      </c>
      <c r="G355" s="4" t="s">
        <v>706</v>
      </c>
    </row>
    <row r="356" spans="1:7" x14ac:dyDescent="0.25">
      <c r="A356" s="158">
        <v>355</v>
      </c>
      <c r="B356" s="3" t="s">
        <v>24</v>
      </c>
      <c r="C356" s="3" t="s">
        <v>104</v>
      </c>
      <c r="D356" s="2" t="s">
        <v>343</v>
      </c>
      <c r="E356" s="156" t="s">
        <v>283</v>
      </c>
      <c r="F356" s="174" t="s">
        <v>3481</v>
      </c>
      <c r="G356" s="4" t="s">
        <v>706</v>
      </c>
    </row>
    <row r="357" spans="1:7" x14ac:dyDescent="0.25">
      <c r="A357" s="154">
        <v>356</v>
      </c>
      <c r="B357" s="3" t="s">
        <v>24</v>
      </c>
      <c r="C357" s="3" t="s">
        <v>104</v>
      </c>
      <c r="D357" s="2" t="s">
        <v>2889</v>
      </c>
      <c r="E357" s="156" t="s">
        <v>283</v>
      </c>
      <c r="F357" s="174" t="s">
        <v>3481</v>
      </c>
      <c r="G357" s="4" t="s">
        <v>706</v>
      </c>
    </row>
    <row r="358" spans="1:7" x14ac:dyDescent="0.25">
      <c r="A358" s="158">
        <v>357</v>
      </c>
      <c r="B358" s="3" t="s">
        <v>24</v>
      </c>
      <c r="C358" s="3" t="s">
        <v>1105</v>
      </c>
      <c r="D358" s="2" t="s">
        <v>1860</v>
      </c>
      <c r="E358" s="156" t="s">
        <v>296</v>
      </c>
      <c r="F358" s="174" t="s">
        <v>3481</v>
      </c>
      <c r="G358" s="4" t="s">
        <v>1856</v>
      </c>
    </row>
    <row r="359" spans="1:7" x14ac:dyDescent="0.25">
      <c r="A359" s="154">
        <v>358</v>
      </c>
      <c r="B359" s="3" t="s">
        <v>24</v>
      </c>
      <c r="C359" s="3" t="s">
        <v>1105</v>
      </c>
      <c r="D359" s="2" t="s">
        <v>1854</v>
      </c>
      <c r="E359" s="156" t="s">
        <v>296</v>
      </c>
      <c r="F359" s="174" t="s">
        <v>3481</v>
      </c>
      <c r="G359" s="4" t="s">
        <v>1856</v>
      </c>
    </row>
    <row r="360" spans="1:7" x14ac:dyDescent="0.25">
      <c r="A360" s="158">
        <v>359</v>
      </c>
      <c r="B360" s="3" t="s">
        <v>24</v>
      </c>
      <c r="C360" s="3" t="s">
        <v>37</v>
      </c>
      <c r="D360" s="2" t="s">
        <v>2895</v>
      </c>
      <c r="E360" s="156" t="s">
        <v>66</v>
      </c>
      <c r="F360" s="174" t="s">
        <v>3481</v>
      </c>
      <c r="G360" s="4" t="s">
        <v>985</v>
      </c>
    </row>
    <row r="361" spans="1:7" x14ac:dyDescent="0.25">
      <c r="A361" s="154">
        <v>360</v>
      </c>
      <c r="B361" s="3" t="s">
        <v>24</v>
      </c>
      <c r="C361" s="3" t="s">
        <v>37</v>
      </c>
      <c r="D361" s="2" t="s">
        <v>2901</v>
      </c>
      <c r="E361" s="156" t="s">
        <v>66</v>
      </c>
      <c r="F361" s="174" t="s">
        <v>3481</v>
      </c>
      <c r="G361" s="4" t="s">
        <v>1081</v>
      </c>
    </row>
    <row r="362" spans="1:7" x14ac:dyDescent="0.25">
      <c r="A362" s="158">
        <v>361</v>
      </c>
      <c r="B362" s="3" t="s">
        <v>24</v>
      </c>
      <c r="C362" s="3" t="s">
        <v>37</v>
      </c>
      <c r="D362" s="2" t="s">
        <v>2933</v>
      </c>
      <c r="E362" s="156" t="s">
        <v>159</v>
      </c>
      <c r="F362" s="174" t="s">
        <v>3481</v>
      </c>
      <c r="G362" s="4" t="s">
        <v>1263</v>
      </c>
    </row>
    <row r="363" spans="1:7" x14ac:dyDescent="0.25">
      <c r="A363" s="154">
        <v>362</v>
      </c>
      <c r="B363" s="3" t="s">
        <v>24</v>
      </c>
      <c r="C363" s="3" t="s">
        <v>37</v>
      </c>
      <c r="D363" s="2" t="s">
        <v>2940</v>
      </c>
      <c r="E363" s="156" t="s">
        <v>159</v>
      </c>
      <c r="F363" s="174" t="s">
        <v>3481</v>
      </c>
      <c r="G363" s="4" t="s">
        <v>2939</v>
      </c>
    </row>
    <row r="364" spans="1:7" x14ac:dyDescent="0.25">
      <c r="A364" s="158">
        <v>363</v>
      </c>
      <c r="B364" s="3" t="s">
        <v>2966</v>
      </c>
      <c r="C364" s="43" t="s">
        <v>2997</v>
      </c>
      <c r="D364" s="2"/>
      <c r="E364" s="156" t="s">
        <v>5588</v>
      </c>
      <c r="F364" s="174" t="s">
        <v>3481</v>
      </c>
      <c r="G364" s="4" t="s">
        <v>2028</v>
      </c>
    </row>
    <row r="365" spans="1:7" x14ac:dyDescent="0.25">
      <c r="A365" s="154">
        <v>364</v>
      </c>
      <c r="B365" s="3" t="s">
        <v>2947</v>
      </c>
      <c r="C365" s="43" t="s">
        <v>2995</v>
      </c>
      <c r="D365" s="2" t="s">
        <v>2866</v>
      </c>
      <c r="E365" s="156" t="s">
        <v>5588</v>
      </c>
      <c r="F365" s="174" t="s">
        <v>3481</v>
      </c>
      <c r="G365" s="4" t="s">
        <v>2028</v>
      </c>
    </row>
    <row r="366" spans="1:7" x14ac:dyDescent="0.25">
      <c r="A366" s="158">
        <v>365</v>
      </c>
      <c r="B366" s="3" t="s">
        <v>897</v>
      </c>
      <c r="C366" s="43" t="s">
        <v>3407</v>
      </c>
      <c r="D366" s="2" t="s">
        <v>2756</v>
      </c>
      <c r="E366" s="156" t="s">
        <v>232</v>
      </c>
      <c r="F366" s="174" t="s">
        <v>3481</v>
      </c>
      <c r="G366" s="4" t="s">
        <v>766</v>
      </c>
    </row>
    <row r="367" spans="1:7" x14ac:dyDescent="0.25">
      <c r="A367" s="154">
        <v>366</v>
      </c>
      <c r="B367" s="3" t="s">
        <v>499</v>
      </c>
      <c r="C367" s="43" t="s">
        <v>2093</v>
      </c>
      <c r="D367" s="2" t="s">
        <v>2094</v>
      </c>
      <c r="E367" s="156" t="s">
        <v>51</v>
      </c>
      <c r="F367" s="174" t="s">
        <v>3481</v>
      </c>
      <c r="G367" s="4" t="s">
        <v>766</v>
      </c>
    </row>
    <row r="368" spans="1:7" x14ac:dyDescent="0.25">
      <c r="A368" s="158">
        <v>367</v>
      </c>
      <c r="B368" s="3" t="s">
        <v>499</v>
      </c>
      <c r="C368" s="459" t="s">
        <v>2097</v>
      </c>
      <c r="D368" s="2" t="s">
        <v>2098</v>
      </c>
      <c r="E368" s="156" t="s">
        <v>51</v>
      </c>
      <c r="F368" s="174" t="s">
        <v>3481</v>
      </c>
      <c r="G368" s="4" t="s">
        <v>2028</v>
      </c>
    </row>
    <row r="369" spans="1:7" x14ac:dyDescent="0.25">
      <c r="A369" s="154">
        <v>368</v>
      </c>
      <c r="B369" s="3" t="s">
        <v>2010</v>
      </c>
      <c r="C369" s="170" t="s">
        <v>2102</v>
      </c>
      <c r="D369" s="2" t="s">
        <v>2103</v>
      </c>
      <c r="E369" s="156" t="s">
        <v>124</v>
      </c>
      <c r="F369" s="174" t="s">
        <v>3481</v>
      </c>
      <c r="G369" s="4" t="s">
        <v>985</v>
      </c>
    </row>
    <row r="370" spans="1:7" x14ac:dyDescent="0.25">
      <c r="A370" s="158">
        <v>369</v>
      </c>
      <c r="B370" s="486" t="s">
        <v>3677</v>
      </c>
      <c r="C370" s="43" t="s">
        <v>1848</v>
      </c>
      <c r="D370" s="2" t="s">
        <v>1849</v>
      </c>
      <c r="E370" s="156" t="s">
        <v>225</v>
      </c>
      <c r="F370" s="174" t="s">
        <v>3481</v>
      </c>
      <c r="G370" s="4" t="s">
        <v>766</v>
      </c>
    </row>
    <row r="371" spans="1:7" x14ac:dyDescent="0.25">
      <c r="A371" s="154">
        <v>370</v>
      </c>
      <c r="B371" s="486" t="s">
        <v>3677</v>
      </c>
      <c r="C371" s="43" t="s">
        <v>2037</v>
      </c>
      <c r="D371" s="2" t="s">
        <v>2096</v>
      </c>
      <c r="E371" s="156" t="s">
        <v>59</v>
      </c>
      <c r="F371" s="174" t="s">
        <v>3481</v>
      </c>
      <c r="G371" s="4" t="s">
        <v>766</v>
      </c>
    </row>
    <row r="372" spans="1:7" x14ac:dyDescent="0.25">
      <c r="A372" s="158">
        <v>371</v>
      </c>
      <c r="B372" s="486" t="s">
        <v>3677</v>
      </c>
      <c r="C372" s="43" t="s">
        <v>2100</v>
      </c>
      <c r="D372" s="2" t="s">
        <v>2101</v>
      </c>
      <c r="E372" s="156" t="s">
        <v>41</v>
      </c>
      <c r="F372" s="174" t="s">
        <v>3481</v>
      </c>
      <c r="G372" s="4" t="s">
        <v>706</v>
      </c>
    </row>
    <row r="373" spans="1:7" x14ac:dyDescent="0.25">
      <c r="A373" s="154">
        <v>372</v>
      </c>
      <c r="B373" s="3" t="s">
        <v>911</v>
      </c>
      <c r="C373" s="43" t="s">
        <v>916</v>
      </c>
      <c r="D373" s="2" t="s">
        <v>2817</v>
      </c>
      <c r="E373" s="156" t="s">
        <v>5588</v>
      </c>
      <c r="F373" s="174" t="s">
        <v>3481</v>
      </c>
      <c r="G373" s="4" t="s">
        <v>766</v>
      </c>
    </row>
    <row r="374" spans="1:7" x14ac:dyDescent="0.25">
      <c r="A374" s="158">
        <v>373</v>
      </c>
      <c r="B374" s="3" t="s">
        <v>911</v>
      </c>
      <c r="C374" s="43" t="s">
        <v>3426</v>
      </c>
      <c r="D374" s="2" t="s">
        <v>2819</v>
      </c>
      <c r="E374" s="156" t="s">
        <v>5591</v>
      </c>
      <c r="F374" s="174" t="s">
        <v>3481</v>
      </c>
      <c r="G374" s="4" t="s">
        <v>766</v>
      </c>
    </row>
    <row r="375" spans="1:7" x14ac:dyDescent="0.25">
      <c r="A375" s="154">
        <v>374</v>
      </c>
      <c r="B375" s="3" t="s">
        <v>325</v>
      </c>
      <c r="C375" s="43" t="s">
        <v>1936</v>
      </c>
      <c r="D375" s="2" t="s">
        <v>2878</v>
      </c>
      <c r="E375" s="156" t="s">
        <v>232</v>
      </c>
      <c r="F375" s="174" t="s">
        <v>3481</v>
      </c>
      <c r="G375" s="4" t="s">
        <v>1076</v>
      </c>
    </row>
    <row r="376" spans="1:7" x14ac:dyDescent="0.25">
      <c r="A376" s="158">
        <v>375</v>
      </c>
      <c r="B376" s="3" t="s">
        <v>325</v>
      </c>
      <c r="C376" s="43" t="s">
        <v>593</v>
      </c>
      <c r="D376" s="2" t="s">
        <v>2935</v>
      </c>
      <c r="E376" s="156" t="s">
        <v>66</v>
      </c>
      <c r="F376" s="174" t="s">
        <v>3481</v>
      </c>
      <c r="G376" s="4" t="s">
        <v>1263</v>
      </c>
    </row>
    <row r="377" spans="1:7" x14ac:dyDescent="0.25">
      <c r="A377" s="154">
        <v>376</v>
      </c>
      <c r="B377" s="3" t="s">
        <v>154</v>
      </c>
      <c r="C377" s="3" t="s">
        <v>1139</v>
      </c>
      <c r="D377" s="2" t="s">
        <v>155</v>
      </c>
      <c r="E377" s="156" t="s">
        <v>5588</v>
      </c>
      <c r="F377" s="3" t="s">
        <v>1101</v>
      </c>
      <c r="G377" s="483" t="s">
        <v>5519</v>
      </c>
    </row>
    <row r="378" spans="1:7" x14ac:dyDescent="0.25">
      <c r="A378" s="158">
        <v>377</v>
      </c>
      <c r="B378" s="3" t="s">
        <v>24</v>
      </c>
      <c r="C378" s="3" t="s">
        <v>1105</v>
      </c>
      <c r="D378" s="469" t="s">
        <v>5575</v>
      </c>
      <c r="E378" s="156" t="s">
        <v>296</v>
      </c>
      <c r="F378" s="3" t="s">
        <v>1101</v>
      </c>
      <c r="G378" s="4" t="s">
        <v>1220</v>
      </c>
    </row>
    <row r="379" spans="1:7" x14ac:dyDescent="0.25">
      <c r="A379" s="154">
        <v>378</v>
      </c>
      <c r="B379" s="3" t="s">
        <v>24</v>
      </c>
      <c r="C379" s="3" t="s">
        <v>1105</v>
      </c>
      <c r="D379" s="2" t="s">
        <v>1199</v>
      </c>
      <c r="E379" s="156" t="s">
        <v>296</v>
      </c>
      <c r="F379" s="3" t="s">
        <v>1101</v>
      </c>
      <c r="G379" s="4" t="s">
        <v>1201</v>
      </c>
    </row>
    <row r="380" spans="1:7" x14ac:dyDescent="0.25">
      <c r="A380" s="158">
        <v>379</v>
      </c>
      <c r="B380" s="3" t="s">
        <v>24</v>
      </c>
      <c r="C380" s="3" t="s">
        <v>37</v>
      </c>
      <c r="D380" s="2" t="s">
        <v>1231</v>
      </c>
      <c r="E380" s="156" t="s">
        <v>59</v>
      </c>
      <c r="F380" s="3" t="s">
        <v>1101</v>
      </c>
      <c r="G380" s="4" t="s">
        <v>1233</v>
      </c>
    </row>
    <row r="381" spans="1:7" x14ac:dyDescent="0.25">
      <c r="A381" s="154">
        <v>380</v>
      </c>
      <c r="B381" s="3" t="s">
        <v>24</v>
      </c>
      <c r="C381" s="3" t="s">
        <v>104</v>
      </c>
      <c r="D381" s="2"/>
      <c r="E381" s="156" t="s">
        <v>5588</v>
      </c>
      <c r="F381" s="3" t="s">
        <v>1101</v>
      </c>
      <c r="G381" s="4" t="s">
        <v>1227</v>
      </c>
    </row>
    <row r="382" spans="1:7" x14ac:dyDescent="0.25">
      <c r="A382" s="158">
        <v>381</v>
      </c>
      <c r="B382" s="3" t="s">
        <v>24</v>
      </c>
      <c r="C382" s="3" t="s">
        <v>37</v>
      </c>
      <c r="D382" s="2" t="s">
        <v>1228</v>
      </c>
      <c r="E382" s="156" t="s">
        <v>59</v>
      </c>
      <c r="F382" s="3" t="s">
        <v>1101</v>
      </c>
      <c r="G382" s="4" t="s">
        <v>1230</v>
      </c>
    </row>
    <row r="383" spans="1:7" x14ac:dyDescent="0.25">
      <c r="A383" s="154">
        <v>382</v>
      </c>
      <c r="B383" s="3" t="s">
        <v>24</v>
      </c>
      <c r="C383" s="3" t="s">
        <v>37</v>
      </c>
      <c r="D383" s="2" t="s">
        <v>1152</v>
      </c>
      <c r="E383" s="156" t="s">
        <v>51</v>
      </c>
      <c r="F383" s="3" t="s">
        <v>1101</v>
      </c>
      <c r="G383" s="4" t="s">
        <v>1154</v>
      </c>
    </row>
    <row r="384" spans="1:7" x14ac:dyDescent="0.25">
      <c r="A384" s="158">
        <v>383</v>
      </c>
      <c r="B384" s="3" t="s">
        <v>24</v>
      </c>
      <c r="C384" s="3" t="s">
        <v>37</v>
      </c>
      <c r="D384" s="2" t="s">
        <v>1176</v>
      </c>
      <c r="E384" s="156" t="s">
        <v>51</v>
      </c>
      <c r="F384" s="3" t="s">
        <v>1101</v>
      </c>
      <c r="G384" s="4" t="s">
        <v>1178</v>
      </c>
    </row>
    <row r="385" spans="1:7" x14ac:dyDescent="0.25">
      <c r="A385" s="154">
        <v>384</v>
      </c>
      <c r="B385" s="3" t="s">
        <v>24</v>
      </c>
      <c r="C385" s="3" t="s">
        <v>37</v>
      </c>
      <c r="D385" s="2" t="s">
        <v>1179</v>
      </c>
      <c r="E385" s="156" t="s">
        <v>51</v>
      </c>
      <c r="F385" s="3" t="s">
        <v>1101</v>
      </c>
      <c r="G385" s="4" t="s">
        <v>1181</v>
      </c>
    </row>
    <row r="386" spans="1:7" x14ac:dyDescent="0.25">
      <c r="A386" s="158">
        <v>385</v>
      </c>
      <c r="B386" s="3" t="s">
        <v>24</v>
      </c>
      <c r="C386" s="3" t="s">
        <v>37</v>
      </c>
      <c r="D386" s="2" t="s">
        <v>1183</v>
      </c>
      <c r="E386" s="156" t="s">
        <v>66</v>
      </c>
      <c r="F386" s="3" t="s">
        <v>1101</v>
      </c>
      <c r="G386" s="4" t="s">
        <v>1185</v>
      </c>
    </row>
    <row r="387" spans="1:7" x14ac:dyDescent="0.25">
      <c r="A387" s="154">
        <v>386</v>
      </c>
      <c r="B387" s="3" t="s">
        <v>24</v>
      </c>
      <c r="C387" s="3" t="s">
        <v>37</v>
      </c>
      <c r="D387" s="2" t="s">
        <v>1187</v>
      </c>
      <c r="E387" s="156" t="s">
        <v>51</v>
      </c>
      <c r="F387" s="3" t="s">
        <v>1101</v>
      </c>
      <c r="G387" s="4" t="s">
        <v>1189</v>
      </c>
    </row>
    <row r="388" spans="1:7" x14ac:dyDescent="0.25">
      <c r="A388" s="158">
        <v>387</v>
      </c>
      <c r="B388" s="3" t="s">
        <v>24</v>
      </c>
      <c r="C388" s="3" t="s">
        <v>37</v>
      </c>
      <c r="D388" s="2" t="s">
        <v>1190</v>
      </c>
      <c r="E388" s="156" t="s">
        <v>51</v>
      </c>
      <c r="F388" s="3" t="s">
        <v>1101</v>
      </c>
      <c r="G388" s="4" t="s">
        <v>1192</v>
      </c>
    </row>
    <row r="389" spans="1:7" x14ac:dyDescent="0.25">
      <c r="A389" s="154">
        <v>388</v>
      </c>
      <c r="B389" s="3" t="s">
        <v>24</v>
      </c>
      <c r="C389" s="3" t="s">
        <v>37</v>
      </c>
      <c r="D389" s="2" t="s">
        <v>1193</v>
      </c>
      <c r="E389" s="156" t="s">
        <v>59</v>
      </c>
      <c r="F389" s="3" t="s">
        <v>1101</v>
      </c>
      <c r="G389" s="4" t="s">
        <v>1195</v>
      </c>
    </row>
    <row r="390" spans="1:7" x14ac:dyDescent="0.25">
      <c r="A390" s="158">
        <v>389</v>
      </c>
      <c r="B390" s="3" t="s">
        <v>24</v>
      </c>
      <c r="C390" s="3" t="s">
        <v>37</v>
      </c>
      <c r="D390" s="2" t="s">
        <v>1196</v>
      </c>
      <c r="E390" s="156" t="s">
        <v>51</v>
      </c>
      <c r="F390" s="3" t="s">
        <v>1101</v>
      </c>
      <c r="G390" s="4" t="s">
        <v>1198</v>
      </c>
    </row>
    <row r="391" spans="1:7" x14ac:dyDescent="0.25">
      <c r="A391" s="154">
        <v>390</v>
      </c>
      <c r="B391" s="3" t="s">
        <v>24</v>
      </c>
      <c r="C391" s="3" t="s">
        <v>25</v>
      </c>
      <c r="D391" s="2" t="s">
        <v>1155</v>
      </c>
      <c r="E391" s="156" t="s">
        <v>124</v>
      </c>
      <c r="F391" s="3" t="s">
        <v>1101</v>
      </c>
      <c r="G391" s="4" t="s">
        <v>1157</v>
      </c>
    </row>
    <row r="392" spans="1:7" x14ac:dyDescent="0.25">
      <c r="A392" s="158">
        <v>391</v>
      </c>
      <c r="B392" s="3" t="s">
        <v>24</v>
      </c>
      <c r="C392" s="3" t="s">
        <v>25</v>
      </c>
      <c r="D392" s="2" t="s">
        <v>1158</v>
      </c>
      <c r="E392" s="156" t="s">
        <v>90</v>
      </c>
      <c r="F392" s="3" t="s">
        <v>1101</v>
      </c>
      <c r="G392" s="4" t="s">
        <v>1160</v>
      </c>
    </row>
    <row r="393" spans="1:7" x14ac:dyDescent="0.25">
      <c r="A393" s="154">
        <v>392</v>
      </c>
      <c r="B393" s="3" t="s">
        <v>24</v>
      </c>
      <c r="C393" s="3" t="s">
        <v>1105</v>
      </c>
      <c r="D393" s="2" t="s">
        <v>1162</v>
      </c>
      <c r="E393" s="156" t="s">
        <v>296</v>
      </c>
      <c r="F393" s="3" t="s">
        <v>1101</v>
      </c>
      <c r="G393" s="4" t="s">
        <v>1164</v>
      </c>
    </row>
    <row r="394" spans="1:7" x14ac:dyDescent="0.25">
      <c r="A394" s="158">
        <v>393</v>
      </c>
      <c r="B394" s="3" t="s">
        <v>24</v>
      </c>
      <c r="C394" s="3" t="s">
        <v>1105</v>
      </c>
      <c r="D394" s="2" t="s">
        <v>1165</v>
      </c>
      <c r="E394" s="156" t="s">
        <v>296</v>
      </c>
      <c r="F394" s="3" t="s">
        <v>1101</v>
      </c>
      <c r="G394" s="4" t="s">
        <v>1167</v>
      </c>
    </row>
    <row r="395" spans="1:7" x14ac:dyDescent="0.25">
      <c r="A395" s="154">
        <v>394</v>
      </c>
      <c r="B395" s="3" t="s">
        <v>24</v>
      </c>
      <c r="C395" s="3" t="s">
        <v>37</v>
      </c>
      <c r="D395" s="2" t="s">
        <v>1170</v>
      </c>
      <c r="E395" s="156" t="s">
        <v>51</v>
      </c>
      <c r="F395" s="3" t="s">
        <v>1101</v>
      </c>
      <c r="G395" s="4" t="s">
        <v>1172</v>
      </c>
    </row>
    <row r="396" spans="1:7" x14ac:dyDescent="0.25">
      <c r="A396" s="158">
        <v>395</v>
      </c>
      <c r="B396" s="3" t="s">
        <v>24</v>
      </c>
      <c r="C396" s="3" t="s">
        <v>37</v>
      </c>
      <c r="D396" s="2" t="s">
        <v>1173</v>
      </c>
      <c r="E396" s="156" t="s">
        <v>51</v>
      </c>
      <c r="F396" s="3" t="s">
        <v>1101</v>
      </c>
      <c r="G396" s="4" t="s">
        <v>1175</v>
      </c>
    </row>
    <row r="397" spans="1:7" x14ac:dyDescent="0.25">
      <c r="A397" s="154">
        <v>396</v>
      </c>
      <c r="B397" s="3" t="s">
        <v>24</v>
      </c>
      <c r="C397" s="3" t="s">
        <v>1105</v>
      </c>
      <c r="D397" s="2" t="s">
        <v>1150</v>
      </c>
      <c r="E397" s="156" t="s">
        <v>296</v>
      </c>
      <c r="F397" s="3" t="s">
        <v>1101</v>
      </c>
      <c r="G397" s="4" t="s">
        <v>1073</v>
      </c>
    </row>
    <row r="398" spans="1:7" x14ac:dyDescent="0.25">
      <c r="A398" s="158">
        <v>397</v>
      </c>
      <c r="B398" s="3" t="s">
        <v>24</v>
      </c>
      <c r="C398" s="3" t="s">
        <v>104</v>
      </c>
      <c r="D398" s="2" t="s">
        <v>1217</v>
      </c>
      <c r="E398" s="156" t="s">
        <v>283</v>
      </c>
      <c r="F398" s="3" t="s">
        <v>1101</v>
      </c>
      <c r="G398" s="4" t="s">
        <v>1208</v>
      </c>
    </row>
    <row r="399" spans="1:7" x14ac:dyDescent="0.25">
      <c r="A399" s="154">
        <v>398</v>
      </c>
      <c r="B399" s="3" t="s">
        <v>24</v>
      </c>
      <c r="C399" s="3" t="s">
        <v>37</v>
      </c>
      <c r="D399" s="2" t="s">
        <v>1221</v>
      </c>
      <c r="E399" s="156" t="s">
        <v>51</v>
      </c>
      <c r="F399" s="3" t="s">
        <v>1101</v>
      </c>
      <c r="G399" s="4" t="s">
        <v>1223</v>
      </c>
    </row>
    <row r="400" spans="1:7" x14ac:dyDescent="0.25">
      <c r="A400" s="158">
        <v>399</v>
      </c>
      <c r="B400" s="3" t="s">
        <v>24</v>
      </c>
      <c r="C400" s="3" t="s">
        <v>208</v>
      </c>
      <c r="D400" s="2" t="s">
        <v>1224</v>
      </c>
      <c r="E400" s="156" t="s">
        <v>90</v>
      </c>
      <c r="F400" s="3" t="s">
        <v>1101</v>
      </c>
      <c r="G400" s="4" t="s">
        <v>1081</v>
      </c>
    </row>
    <row r="401" spans="1:7" x14ac:dyDescent="0.25">
      <c r="A401" s="154">
        <v>400</v>
      </c>
      <c r="B401" s="3" t="s">
        <v>24</v>
      </c>
      <c r="C401" s="3" t="s">
        <v>1105</v>
      </c>
      <c r="D401" s="2" t="s">
        <v>1234</v>
      </c>
      <c r="E401" s="156" t="s">
        <v>296</v>
      </c>
      <c r="F401" s="3" t="s">
        <v>1101</v>
      </c>
      <c r="G401" s="4" t="s">
        <v>1236</v>
      </c>
    </row>
    <row r="402" spans="1:7" x14ac:dyDescent="0.25">
      <c r="A402" s="158">
        <v>401</v>
      </c>
      <c r="B402" s="3" t="s">
        <v>24</v>
      </c>
      <c r="C402" s="3" t="s">
        <v>1105</v>
      </c>
      <c r="D402" s="2" t="s">
        <v>1106</v>
      </c>
      <c r="E402" s="156" t="s">
        <v>296</v>
      </c>
      <c r="F402" s="3" t="s">
        <v>1101</v>
      </c>
      <c r="G402" s="4"/>
    </row>
    <row r="403" spans="1:7" x14ac:dyDescent="0.25">
      <c r="A403" s="154">
        <v>402</v>
      </c>
      <c r="B403" s="3" t="s">
        <v>24</v>
      </c>
      <c r="C403" s="3" t="s">
        <v>1109</v>
      </c>
      <c r="D403" s="2" t="s">
        <v>1110</v>
      </c>
      <c r="E403" s="156" t="s">
        <v>464</v>
      </c>
      <c r="F403" s="3" t="s">
        <v>1101</v>
      </c>
      <c r="G403" s="4"/>
    </row>
    <row r="404" spans="1:7" x14ac:dyDescent="0.25">
      <c r="A404" s="158">
        <v>403</v>
      </c>
      <c r="B404" s="3" t="s">
        <v>24</v>
      </c>
      <c r="C404" s="3" t="s">
        <v>1102</v>
      </c>
      <c r="D404" s="2" t="s">
        <v>1103</v>
      </c>
      <c r="E404" s="156" t="s">
        <v>90</v>
      </c>
      <c r="F404" s="3" t="s">
        <v>1101</v>
      </c>
      <c r="G404" s="4"/>
    </row>
    <row r="405" spans="1:7" x14ac:dyDescent="0.25">
      <c r="A405" s="154">
        <v>404</v>
      </c>
      <c r="B405" s="3" t="s">
        <v>24</v>
      </c>
      <c r="C405" s="3" t="s">
        <v>1102</v>
      </c>
      <c r="D405" s="2"/>
      <c r="E405" s="156" t="s">
        <v>79</v>
      </c>
      <c r="F405" s="3" t="s">
        <v>1101</v>
      </c>
      <c r="G405" s="4"/>
    </row>
    <row r="406" spans="1:7" x14ac:dyDescent="0.25">
      <c r="A406" s="158">
        <v>405</v>
      </c>
      <c r="B406" s="3" t="s">
        <v>24</v>
      </c>
      <c r="C406" s="3" t="s">
        <v>37</v>
      </c>
      <c r="D406" s="2"/>
      <c r="E406" s="156" t="s">
        <v>5588</v>
      </c>
      <c r="F406" s="3" t="s">
        <v>1101</v>
      </c>
      <c r="G406" s="4"/>
    </row>
    <row r="407" spans="1:7" x14ac:dyDescent="0.25">
      <c r="A407" s="154">
        <v>406</v>
      </c>
      <c r="B407" s="3" t="s">
        <v>325</v>
      </c>
      <c r="C407" s="3" t="s">
        <v>1147</v>
      </c>
      <c r="D407" s="2" t="s">
        <v>1148</v>
      </c>
      <c r="E407" s="156" t="s">
        <v>5588</v>
      </c>
      <c r="F407" s="3" t="s">
        <v>1101</v>
      </c>
      <c r="G407" s="4" t="s">
        <v>1073</v>
      </c>
    </row>
    <row r="408" spans="1:7" x14ac:dyDescent="0.25">
      <c r="A408" s="158">
        <v>407</v>
      </c>
      <c r="B408" s="3" t="s">
        <v>24</v>
      </c>
      <c r="C408" s="3" t="s">
        <v>45</v>
      </c>
      <c r="D408" s="2" t="s">
        <v>264</v>
      </c>
      <c r="E408" s="156" t="s">
        <v>47</v>
      </c>
      <c r="F408" s="3" t="s">
        <v>248</v>
      </c>
      <c r="G408" s="4" t="s">
        <v>249</v>
      </c>
    </row>
    <row r="409" spans="1:7" x14ac:dyDescent="0.25">
      <c r="A409" s="154">
        <v>408</v>
      </c>
      <c r="B409" s="3" t="s">
        <v>24</v>
      </c>
      <c r="C409" s="3" t="s">
        <v>104</v>
      </c>
      <c r="D409" s="2" t="s">
        <v>282</v>
      </c>
      <c r="E409" s="156" t="s">
        <v>283</v>
      </c>
      <c r="F409" s="3" t="s">
        <v>248</v>
      </c>
      <c r="G409" s="4" t="s">
        <v>271</v>
      </c>
    </row>
    <row r="410" spans="1:7" x14ac:dyDescent="0.25">
      <c r="A410" s="158">
        <v>409</v>
      </c>
      <c r="B410" s="3" t="s">
        <v>24</v>
      </c>
      <c r="C410" s="3" t="s">
        <v>104</v>
      </c>
      <c r="D410" s="2" t="s">
        <v>316</v>
      </c>
      <c r="E410" s="156" t="s">
        <v>283</v>
      </c>
      <c r="F410" s="3" t="s">
        <v>248</v>
      </c>
      <c r="G410" s="4" t="s">
        <v>293</v>
      </c>
    </row>
    <row r="411" spans="1:7" x14ac:dyDescent="0.25">
      <c r="A411" s="154">
        <v>410</v>
      </c>
      <c r="B411" s="3" t="s">
        <v>24</v>
      </c>
      <c r="C411" s="3" t="s">
        <v>157</v>
      </c>
      <c r="D411" s="2" t="s">
        <v>343</v>
      </c>
      <c r="E411" s="156" t="s">
        <v>283</v>
      </c>
      <c r="F411" s="3" t="s">
        <v>248</v>
      </c>
      <c r="G411" s="4" t="s">
        <v>340</v>
      </c>
    </row>
    <row r="412" spans="1:7" x14ac:dyDescent="0.25">
      <c r="A412" s="158">
        <v>411</v>
      </c>
      <c r="B412" s="3" t="s">
        <v>325</v>
      </c>
      <c r="C412" s="3" t="s">
        <v>2327</v>
      </c>
      <c r="D412" s="2" t="s">
        <v>326</v>
      </c>
      <c r="E412" s="156" t="s">
        <v>327</v>
      </c>
      <c r="F412" s="3" t="s">
        <v>248</v>
      </c>
      <c r="G412" s="4" t="s">
        <v>293</v>
      </c>
    </row>
    <row r="413" spans="1:7" x14ac:dyDescent="0.25">
      <c r="A413" s="154">
        <v>412</v>
      </c>
      <c r="B413" s="3" t="s">
        <v>325</v>
      </c>
      <c r="C413" s="459" t="s">
        <v>1936</v>
      </c>
      <c r="D413" s="142" t="s">
        <v>3471</v>
      </c>
      <c r="E413" s="156" t="s">
        <v>5588</v>
      </c>
      <c r="F413" s="3" t="s">
        <v>248</v>
      </c>
      <c r="G413" s="4" t="s">
        <v>293</v>
      </c>
    </row>
    <row r="414" spans="1:7" x14ac:dyDescent="0.25">
      <c r="A414" s="158">
        <v>413</v>
      </c>
      <c r="B414" s="3" t="s">
        <v>352</v>
      </c>
      <c r="C414" s="3" t="s">
        <v>1001</v>
      </c>
      <c r="D414" s="2" t="s">
        <v>1002</v>
      </c>
      <c r="E414" s="156" t="s">
        <v>5588</v>
      </c>
      <c r="F414" s="3" t="s">
        <v>1004</v>
      </c>
      <c r="G414" s="4" t="s">
        <v>1005</v>
      </c>
    </row>
    <row r="415" spans="1:7" x14ac:dyDescent="0.25">
      <c r="A415" s="154">
        <v>414</v>
      </c>
      <c r="B415" s="3" t="s">
        <v>355</v>
      </c>
      <c r="C415" s="3" t="s">
        <v>1006</v>
      </c>
      <c r="D415" s="2" t="s">
        <v>1007</v>
      </c>
      <c r="E415" s="156" t="s">
        <v>5588</v>
      </c>
      <c r="F415" s="3" t="s">
        <v>1004</v>
      </c>
      <c r="G415" s="4" t="s">
        <v>1005</v>
      </c>
    </row>
    <row r="416" spans="1:7" x14ac:dyDescent="0.25">
      <c r="A416" s="158">
        <v>415</v>
      </c>
      <c r="B416" s="3" t="s">
        <v>91</v>
      </c>
      <c r="C416" s="3" t="s">
        <v>92</v>
      </c>
      <c r="D416" s="2" t="s">
        <v>1009</v>
      </c>
      <c r="E416" s="156" t="s">
        <v>59</v>
      </c>
      <c r="F416" s="3" t="s">
        <v>1004</v>
      </c>
      <c r="G416" s="4" t="s">
        <v>1005</v>
      </c>
    </row>
    <row r="417" spans="1:7" x14ac:dyDescent="0.25">
      <c r="A417" s="154">
        <v>416</v>
      </c>
      <c r="B417" s="3" t="s">
        <v>91</v>
      </c>
      <c r="C417" s="3" t="s">
        <v>92</v>
      </c>
      <c r="D417" s="2" t="s">
        <v>1041</v>
      </c>
      <c r="E417" s="156" t="s">
        <v>1042</v>
      </c>
      <c r="F417" s="3" t="s">
        <v>1004</v>
      </c>
      <c r="G417" s="4" t="s">
        <v>1044</v>
      </c>
    </row>
    <row r="418" spans="1:7" x14ac:dyDescent="0.25">
      <c r="A418" s="158">
        <v>417</v>
      </c>
      <c r="B418" s="3" t="s">
        <v>24</v>
      </c>
      <c r="C418" s="3" t="s">
        <v>25</v>
      </c>
      <c r="D418" s="2" t="s">
        <v>1012</v>
      </c>
      <c r="E418" s="156" t="s">
        <v>79</v>
      </c>
      <c r="F418" s="3" t="s">
        <v>1004</v>
      </c>
      <c r="G418" s="4" t="s">
        <v>1005</v>
      </c>
    </row>
    <row r="419" spans="1:7" x14ac:dyDescent="0.25">
      <c r="A419" s="154">
        <v>418</v>
      </c>
      <c r="B419" s="3" t="s">
        <v>24</v>
      </c>
      <c r="C419" s="3" t="s">
        <v>104</v>
      </c>
      <c r="D419" s="2"/>
      <c r="E419" s="156" t="s">
        <v>5588</v>
      </c>
      <c r="F419" s="475" t="s">
        <v>1004</v>
      </c>
      <c r="G419" s="477" t="s">
        <v>1019</v>
      </c>
    </row>
    <row r="420" spans="1:7" x14ac:dyDescent="0.25">
      <c r="A420" s="158">
        <v>419</v>
      </c>
      <c r="B420" s="3" t="s">
        <v>24</v>
      </c>
      <c r="C420" s="3" t="s">
        <v>104</v>
      </c>
      <c r="D420" s="2"/>
      <c r="E420" s="156" t="s">
        <v>5588</v>
      </c>
      <c r="F420" s="3" t="s">
        <v>1004</v>
      </c>
      <c r="G420" s="4" t="s">
        <v>1019</v>
      </c>
    </row>
    <row r="421" spans="1:7" x14ac:dyDescent="0.25">
      <c r="A421" s="154">
        <v>420</v>
      </c>
      <c r="B421" s="3" t="s">
        <v>24</v>
      </c>
      <c r="C421" s="3" t="s">
        <v>37</v>
      </c>
      <c r="D421" s="2" t="s">
        <v>1021</v>
      </c>
      <c r="E421" s="156" t="s">
        <v>159</v>
      </c>
      <c r="F421" s="3" t="s">
        <v>1004</v>
      </c>
      <c r="G421" s="4" t="s">
        <v>1023</v>
      </c>
    </row>
    <row r="422" spans="1:7" x14ac:dyDescent="0.25">
      <c r="A422" s="158">
        <v>421</v>
      </c>
      <c r="B422" s="3" t="s">
        <v>24</v>
      </c>
      <c r="C422" s="3" t="s">
        <v>104</v>
      </c>
      <c r="D422" s="2"/>
      <c r="E422" s="156" t="s">
        <v>5588</v>
      </c>
      <c r="F422" s="475" t="s">
        <v>1004</v>
      </c>
      <c r="G422" s="477" t="s">
        <v>1025</v>
      </c>
    </row>
    <row r="423" spans="1:7" x14ac:dyDescent="0.25">
      <c r="A423" s="154">
        <v>422</v>
      </c>
      <c r="B423" s="3" t="s">
        <v>24</v>
      </c>
      <c r="C423" s="3" t="s">
        <v>104</v>
      </c>
      <c r="D423" s="2"/>
      <c r="E423" s="156" t="s">
        <v>5588</v>
      </c>
      <c r="F423" s="3" t="s">
        <v>1004</v>
      </c>
      <c r="G423" s="4" t="s">
        <v>1025</v>
      </c>
    </row>
    <row r="424" spans="1:7" x14ac:dyDescent="0.25">
      <c r="A424" s="158">
        <v>423</v>
      </c>
      <c r="B424" s="3" t="s">
        <v>24</v>
      </c>
      <c r="C424" s="3" t="s">
        <v>45</v>
      </c>
      <c r="D424" s="2" t="s">
        <v>1026</v>
      </c>
      <c r="E424" s="156" t="s">
        <v>969</v>
      </c>
      <c r="F424" s="3" t="s">
        <v>1004</v>
      </c>
      <c r="G424" s="4" t="s">
        <v>1028</v>
      </c>
    </row>
    <row r="425" spans="1:7" x14ac:dyDescent="0.25">
      <c r="A425" s="154">
        <v>424</v>
      </c>
      <c r="B425" s="3" t="s">
        <v>24</v>
      </c>
      <c r="C425" s="3" t="s">
        <v>25</v>
      </c>
      <c r="D425" s="2" t="s">
        <v>1029</v>
      </c>
      <c r="E425" s="156" t="s">
        <v>969</v>
      </c>
      <c r="F425" s="3" t="s">
        <v>1004</v>
      </c>
      <c r="G425" s="4" t="s">
        <v>1031</v>
      </c>
    </row>
    <row r="426" spans="1:7" x14ac:dyDescent="0.25">
      <c r="A426" s="158">
        <v>425</v>
      </c>
      <c r="B426" s="3" t="s">
        <v>24</v>
      </c>
      <c r="C426" s="3" t="s">
        <v>37</v>
      </c>
      <c r="D426" s="2" t="s">
        <v>1032</v>
      </c>
      <c r="E426" s="156" t="s">
        <v>159</v>
      </c>
      <c r="F426" s="3" t="s">
        <v>1004</v>
      </c>
      <c r="G426" s="4" t="s">
        <v>1034</v>
      </c>
    </row>
    <row r="427" spans="1:7" x14ac:dyDescent="0.25">
      <c r="A427" s="154">
        <v>426</v>
      </c>
      <c r="B427" s="3" t="s">
        <v>24</v>
      </c>
      <c r="C427" s="3" t="s">
        <v>37</v>
      </c>
      <c r="D427" s="2"/>
      <c r="E427" s="156" t="s">
        <v>5588</v>
      </c>
      <c r="F427" s="3" t="s">
        <v>1004</v>
      </c>
      <c r="G427" s="4" t="s">
        <v>1034</v>
      </c>
    </row>
    <row r="428" spans="1:7" x14ac:dyDescent="0.25">
      <c r="A428" s="158">
        <v>427</v>
      </c>
      <c r="B428" s="3" t="s">
        <v>24</v>
      </c>
      <c r="C428" s="3" t="s">
        <v>37</v>
      </c>
      <c r="D428" s="2"/>
      <c r="E428" s="156" t="s">
        <v>5588</v>
      </c>
      <c r="F428" s="475" t="s">
        <v>1004</v>
      </c>
      <c r="G428" s="477" t="s">
        <v>1034</v>
      </c>
    </row>
    <row r="429" spans="1:7" x14ac:dyDescent="0.25">
      <c r="A429" s="154">
        <v>428</v>
      </c>
      <c r="B429" s="3" t="s">
        <v>24</v>
      </c>
      <c r="C429" s="3" t="s">
        <v>37</v>
      </c>
      <c r="D429" s="2" t="s">
        <v>1036</v>
      </c>
      <c r="E429" s="156" t="s">
        <v>159</v>
      </c>
      <c r="F429" s="3" t="s">
        <v>1004</v>
      </c>
      <c r="G429" s="4" t="s">
        <v>1038</v>
      </c>
    </row>
    <row r="430" spans="1:7" x14ac:dyDescent="0.25">
      <c r="A430" s="158">
        <v>429</v>
      </c>
      <c r="B430" s="3" t="s">
        <v>24</v>
      </c>
      <c r="C430" s="3" t="s">
        <v>104</v>
      </c>
      <c r="D430" s="2"/>
      <c r="E430" s="156" t="s">
        <v>5588</v>
      </c>
      <c r="F430" s="3" t="s">
        <v>1004</v>
      </c>
      <c r="G430" s="4" t="s">
        <v>1040</v>
      </c>
    </row>
    <row r="431" spans="1:7" x14ac:dyDescent="0.25">
      <c r="A431" s="154">
        <v>430</v>
      </c>
      <c r="B431" s="3" t="s">
        <v>24</v>
      </c>
      <c r="C431" s="3" t="s">
        <v>104</v>
      </c>
      <c r="D431" s="2"/>
      <c r="E431" s="156" t="s">
        <v>5588</v>
      </c>
      <c r="F431" s="475" t="s">
        <v>1004</v>
      </c>
      <c r="G431" s="477" t="s">
        <v>1040</v>
      </c>
    </row>
    <row r="432" spans="1:7" x14ac:dyDescent="0.25">
      <c r="A432" s="158">
        <v>431</v>
      </c>
      <c r="B432" s="3" t="s">
        <v>24</v>
      </c>
      <c r="C432" s="3" t="s">
        <v>25</v>
      </c>
      <c r="D432" s="2" t="s">
        <v>1046</v>
      </c>
      <c r="E432" s="156" t="s">
        <v>969</v>
      </c>
      <c r="F432" s="3" t="s">
        <v>1004</v>
      </c>
      <c r="G432" s="4" t="s">
        <v>1044</v>
      </c>
    </row>
    <row r="433" spans="1:7" x14ac:dyDescent="0.25">
      <c r="A433" s="154">
        <v>432</v>
      </c>
      <c r="B433" s="3" t="s">
        <v>24</v>
      </c>
      <c r="C433" s="3" t="s">
        <v>45</v>
      </c>
      <c r="D433" s="2" t="s">
        <v>1055</v>
      </c>
      <c r="E433" s="156" t="s">
        <v>969</v>
      </c>
      <c r="F433" s="3" t="s">
        <v>1004</v>
      </c>
      <c r="G433" s="4" t="s">
        <v>1057</v>
      </c>
    </row>
    <row r="434" spans="1:7" x14ac:dyDescent="0.25">
      <c r="A434" s="158">
        <v>433</v>
      </c>
      <c r="B434" s="3" t="s">
        <v>24</v>
      </c>
      <c r="C434" s="3" t="s">
        <v>37</v>
      </c>
      <c r="D434" s="2" t="s">
        <v>1058</v>
      </c>
      <c r="E434" s="156" t="s">
        <v>615</v>
      </c>
      <c r="F434" s="3" t="s">
        <v>1004</v>
      </c>
      <c r="G434" s="4" t="s">
        <v>1060</v>
      </c>
    </row>
    <row r="435" spans="1:7" x14ac:dyDescent="0.25">
      <c r="A435" s="154">
        <v>434</v>
      </c>
      <c r="B435" s="3" t="s">
        <v>24</v>
      </c>
      <c r="C435" s="3" t="s">
        <v>1065</v>
      </c>
      <c r="D435" s="2"/>
      <c r="E435" s="156" t="s">
        <v>5588</v>
      </c>
      <c r="F435" s="3" t="s">
        <v>1004</v>
      </c>
      <c r="G435" s="4" t="s">
        <v>1067</v>
      </c>
    </row>
    <row r="436" spans="1:7" x14ac:dyDescent="0.25">
      <c r="A436" s="158">
        <v>435</v>
      </c>
      <c r="B436" s="3" t="s">
        <v>24</v>
      </c>
      <c r="C436" s="3" t="s">
        <v>45</v>
      </c>
      <c r="D436" s="2" t="s">
        <v>1068</v>
      </c>
      <c r="E436" s="156" t="s">
        <v>969</v>
      </c>
      <c r="F436" s="3" t="s">
        <v>1004</v>
      </c>
      <c r="G436" s="4" t="s">
        <v>1070</v>
      </c>
    </row>
    <row r="437" spans="1:7" x14ac:dyDescent="0.25">
      <c r="A437" s="154">
        <v>436</v>
      </c>
      <c r="B437" s="3" t="s">
        <v>24</v>
      </c>
      <c r="C437" s="3" t="s">
        <v>37</v>
      </c>
      <c r="D437" s="2" t="s">
        <v>1077</v>
      </c>
      <c r="E437" s="156" t="s">
        <v>969</v>
      </c>
      <c r="F437" s="3" t="s">
        <v>1004</v>
      </c>
      <c r="G437" s="4" t="s">
        <v>1076</v>
      </c>
    </row>
    <row r="438" spans="1:7" x14ac:dyDescent="0.25">
      <c r="A438" s="158">
        <v>437</v>
      </c>
      <c r="B438" s="3" t="s">
        <v>24</v>
      </c>
      <c r="C438" s="3" t="s">
        <v>72</v>
      </c>
      <c r="D438" s="2"/>
      <c r="E438" s="156" t="s">
        <v>5588</v>
      </c>
      <c r="F438" s="3" t="s">
        <v>1004</v>
      </c>
      <c r="G438" s="4" t="s">
        <v>1081</v>
      </c>
    </row>
    <row r="439" spans="1:7" x14ac:dyDescent="0.25">
      <c r="A439" s="154">
        <v>438</v>
      </c>
      <c r="B439" s="3" t="s">
        <v>24</v>
      </c>
      <c r="C439" s="3" t="s">
        <v>1084</v>
      </c>
      <c r="D439" s="2" t="s">
        <v>1085</v>
      </c>
      <c r="E439" s="156" t="s">
        <v>5588</v>
      </c>
      <c r="F439" s="3" t="s">
        <v>1004</v>
      </c>
      <c r="G439" s="4" t="s">
        <v>1083</v>
      </c>
    </row>
    <row r="440" spans="1:7" x14ac:dyDescent="0.25">
      <c r="A440" s="158">
        <v>439</v>
      </c>
      <c r="B440" s="3" t="s">
        <v>24</v>
      </c>
      <c r="C440" s="3" t="s">
        <v>1084</v>
      </c>
      <c r="D440" s="2" t="s">
        <v>1087</v>
      </c>
      <c r="E440" s="156" t="s">
        <v>550</v>
      </c>
      <c r="F440" s="3" t="s">
        <v>1004</v>
      </c>
      <c r="G440" s="4" t="s">
        <v>1083</v>
      </c>
    </row>
    <row r="441" spans="1:7" x14ac:dyDescent="0.25">
      <c r="A441" s="154">
        <v>440</v>
      </c>
      <c r="B441" s="3" t="s">
        <v>24</v>
      </c>
      <c r="C441" s="3" t="s">
        <v>208</v>
      </c>
      <c r="D441" s="2" t="s">
        <v>1089</v>
      </c>
      <c r="E441" s="156" t="s">
        <v>59</v>
      </c>
      <c r="F441" s="3" t="s">
        <v>1004</v>
      </c>
      <c r="G441" s="4" t="s">
        <v>1083</v>
      </c>
    </row>
    <row r="442" spans="1:7" x14ac:dyDescent="0.25">
      <c r="A442" s="158">
        <v>441</v>
      </c>
      <c r="B442" s="3" t="s">
        <v>24</v>
      </c>
      <c r="C442" s="3" t="s">
        <v>25</v>
      </c>
      <c r="D442" s="2" t="s">
        <v>1092</v>
      </c>
      <c r="E442" s="156" t="s">
        <v>124</v>
      </c>
      <c r="F442" s="3" t="s">
        <v>1004</v>
      </c>
      <c r="G442" s="4"/>
    </row>
    <row r="443" spans="1:7" x14ac:dyDescent="0.25">
      <c r="A443" s="154">
        <v>442</v>
      </c>
      <c r="B443" s="3" t="s">
        <v>24</v>
      </c>
      <c r="C443" s="3" t="s">
        <v>72</v>
      </c>
      <c r="D443" s="2"/>
      <c r="E443" s="156" t="s">
        <v>5588</v>
      </c>
      <c r="F443" s="3" t="s">
        <v>1004</v>
      </c>
      <c r="G443" s="4"/>
    </row>
    <row r="444" spans="1:7" x14ac:dyDescent="0.25">
      <c r="A444" s="158">
        <v>443</v>
      </c>
      <c r="B444" s="3" t="s">
        <v>499</v>
      </c>
      <c r="C444" s="459" t="s">
        <v>3469</v>
      </c>
      <c r="D444" s="2" t="s">
        <v>1053</v>
      </c>
      <c r="E444" s="156" t="s">
        <v>283</v>
      </c>
      <c r="F444" s="3" t="s">
        <v>1004</v>
      </c>
      <c r="G444" s="4" t="s">
        <v>1044</v>
      </c>
    </row>
    <row r="445" spans="1:7" x14ac:dyDescent="0.25">
      <c r="A445" s="154">
        <v>444</v>
      </c>
      <c r="B445" s="3" t="s">
        <v>911</v>
      </c>
      <c r="C445" s="3" t="s">
        <v>912</v>
      </c>
      <c r="D445" s="2" t="s">
        <v>1048</v>
      </c>
      <c r="E445" s="156" t="s">
        <v>283</v>
      </c>
      <c r="F445" s="3" t="s">
        <v>1004</v>
      </c>
      <c r="G445" s="4" t="s">
        <v>1044</v>
      </c>
    </row>
    <row r="446" spans="1:7" x14ac:dyDescent="0.25">
      <c r="A446" s="158">
        <v>445</v>
      </c>
      <c r="B446" s="3" t="s">
        <v>325</v>
      </c>
      <c r="C446" s="3" t="s">
        <v>1936</v>
      </c>
      <c r="D446" s="2" t="s">
        <v>1094</v>
      </c>
      <c r="E446" s="156" t="s">
        <v>969</v>
      </c>
      <c r="F446" s="3" t="s">
        <v>1004</v>
      </c>
      <c r="G446" s="181" t="s">
        <v>1076</v>
      </c>
    </row>
    <row r="447" spans="1:7" x14ac:dyDescent="0.25">
      <c r="A447" s="154">
        <v>446</v>
      </c>
      <c r="B447" s="3" t="s">
        <v>461</v>
      </c>
      <c r="C447" s="3" t="s">
        <v>1726</v>
      </c>
      <c r="D447" s="2" t="s">
        <v>1727</v>
      </c>
      <c r="E447" s="156" t="s">
        <v>1728</v>
      </c>
      <c r="F447" s="3" t="s">
        <v>1730</v>
      </c>
      <c r="G447" s="4" t="s">
        <v>1731</v>
      </c>
    </row>
    <row r="448" spans="1:7" x14ac:dyDescent="0.25">
      <c r="A448" s="158">
        <v>447</v>
      </c>
      <c r="B448" s="3" t="s">
        <v>461</v>
      </c>
      <c r="C448" s="3" t="s">
        <v>1732</v>
      </c>
      <c r="D448" s="2" t="s">
        <v>1733</v>
      </c>
      <c r="E448" s="156" t="s">
        <v>232</v>
      </c>
      <c r="F448" s="3" t="s">
        <v>1730</v>
      </c>
      <c r="G448" s="4" t="s">
        <v>1731</v>
      </c>
    </row>
    <row r="449" spans="1:7" x14ac:dyDescent="0.25">
      <c r="A449" s="154">
        <v>448</v>
      </c>
      <c r="B449" s="3" t="s">
        <v>24</v>
      </c>
      <c r="C449" s="3" t="s">
        <v>1735</v>
      </c>
      <c r="D449" s="2" t="s">
        <v>1736</v>
      </c>
      <c r="E449" s="156" t="s">
        <v>232</v>
      </c>
      <c r="F449" s="3" t="s">
        <v>1730</v>
      </c>
      <c r="G449" s="4" t="s">
        <v>1731</v>
      </c>
    </row>
    <row r="450" spans="1:7" x14ac:dyDescent="0.25">
      <c r="A450" s="158">
        <v>449</v>
      </c>
      <c r="B450" s="3" t="s">
        <v>24</v>
      </c>
      <c r="C450" s="3" t="s">
        <v>1735</v>
      </c>
      <c r="D450" s="2" t="s">
        <v>1738</v>
      </c>
      <c r="E450" s="156" t="s">
        <v>232</v>
      </c>
      <c r="F450" s="3" t="s">
        <v>1730</v>
      </c>
      <c r="G450" s="4" t="s">
        <v>1731</v>
      </c>
    </row>
    <row r="451" spans="1:7" x14ac:dyDescent="0.25">
      <c r="A451" s="154">
        <v>450</v>
      </c>
      <c r="B451" s="3" t="s">
        <v>24</v>
      </c>
      <c r="C451" s="3" t="s">
        <v>1735</v>
      </c>
      <c r="D451" s="2" t="s">
        <v>1761</v>
      </c>
      <c r="E451" s="156" t="s">
        <v>59</v>
      </c>
      <c r="F451" s="3" t="s">
        <v>1730</v>
      </c>
      <c r="G451" s="4" t="s">
        <v>1760</v>
      </c>
    </row>
    <row r="452" spans="1:7" x14ac:dyDescent="0.25">
      <c r="A452" s="158">
        <v>451</v>
      </c>
      <c r="B452" s="3" t="s">
        <v>2010</v>
      </c>
      <c r="C452" s="170" t="s">
        <v>2102</v>
      </c>
      <c r="D452" s="2" t="s">
        <v>30</v>
      </c>
      <c r="E452" s="156" t="s">
        <v>124</v>
      </c>
      <c r="F452" s="3" t="s">
        <v>1730</v>
      </c>
      <c r="G452" s="4" t="s">
        <v>1731</v>
      </c>
    </row>
    <row r="453" spans="1:7" x14ac:dyDescent="0.25">
      <c r="A453" s="154">
        <v>452</v>
      </c>
      <c r="B453" s="3" t="s">
        <v>2010</v>
      </c>
      <c r="C453" s="3" t="s">
        <v>1747</v>
      </c>
      <c r="D453" s="2" t="s">
        <v>1751</v>
      </c>
      <c r="E453" s="156" t="s">
        <v>51</v>
      </c>
      <c r="F453" s="3" t="s">
        <v>1730</v>
      </c>
      <c r="G453" s="4" t="s">
        <v>1731</v>
      </c>
    </row>
    <row r="454" spans="1:7" x14ac:dyDescent="0.25">
      <c r="A454" s="158">
        <v>453</v>
      </c>
      <c r="B454" s="3" t="s">
        <v>2010</v>
      </c>
      <c r="C454" s="485" t="s">
        <v>3685</v>
      </c>
      <c r="D454" s="2" t="s">
        <v>1755</v>
      </c>
      <c r="E454" s="156" t="s">
        <v>615</v>
      </c>
      <c r="F454" s="3" t="s">
        <v>1730</v>
      </c>
      <c r="G454" s="4" t="s">
        <v>1731</v>
      </c>
    </row>
    <row r="455" spans="1:7" x14ac:dyDescent="0.25">
      <c r="A455" s="154">
        <v>454</v>
      </c>
      <c r="B455" s="3" t="s">
        <v>2010</v>
      </c>
      <c r="C455" s="170" t="s">
        <v>1747</v>
      </c>
      <c r="D455" s="470" t="s">
        <v>3684</v>
      </c>
      <c r="E455" s="156" t="s">
        <v>159</v>
      </c>
      <c r="F455" s="3" t="s">
        <v>1730</v>
      </c>
      <c r="G455" s="4" t="s">
        <v>1760</v>
      </c>
    </row>
    <row r="456" spans="1:7" x14ac:dyDescent="0.25">
      <c r="A456" s="158">
        <v>455</v>
      </c>
      <c r="B456" s="3" t="s">
        <v>2010</v>
      </c>
      <c r="C456" s="3" t="s">
        <v>1747</v>
      </c>
      <c r="D456" s="470" t="s">
        <v>3683</v>
      </c>
      <c r="E456" s="156" t="s">
        <v>159</v>
      </c>
      <c r="F456" s="3" t="s">
        <v>1730</v>
      </c>
      <c r="G456" s="4" t="s">
        <v>1760</v>
      </c>
    </row>
    <row r="457" spans="1:7" x14ac:dyDescent="0.25">
      <c r="A457" s="154">
        <v>456</v>
      </c>
      <c r="B457" s="3" t="s">
        <v>91</v>
      </c>
      <c r="C457" s="3" t="s">
        <v>92</v>
      </c>
      <c r="D457" s="2" t="s">
        <v>383</v>
      </c>
      <c r="E457" s="156" t="s">
        <v>79</v>
      </c>
      <c r="F457" s="3" t="s">
        <v>348</v>
      </c>
      <c r="G457" s="4" t="s">
        <v>349</v>
      </c>
    </row>
    <row r="458" spans="1:7" x14ac:dyDescent="0.25">
      <c r="A458" s="158">
        <v>457</v>
      </c>
      <c r="B458" s="3" t="s">
        <v>24</v>
      </c>
      <c r="C458" s="3" t="s">
        <v>37</v>
      </c>
      <c r="D458" s="2" t="s">
        <v>388</v>
      </c>
      <c r="E458" s="156" t="s">
        <v>47</v>
      </c>
      <c r="F458" s="3" t="s">
        <v>348</v>
      </c>
      <c r="G458" s="4" t="s">
        <v>349</v>
      </c>
    </row>
    <row r="459" spans="1:7" x14ac:dyDescent="0.25">
      <c r="A459" s="154">
        <v>458</v>
      </c>
      <c r="B459" s="3" t="s">
        <v>24</v>
      </c>
      <c r="C459" s="3" t="s">
        <v>37</v>
      </c>
      <c r="D459" s="2" t="s">
        <v>390</v>
      </c>
      <c r="E459" s="156" t="s">
        <v>47</v>
      </c>
      <c r="F459" s="3" t="s">
        <v>348</v>
      </c>
      <c r="G459" s="4" t="s">
        <v>349</v>
      </c>
    </row>
    <row r="460" spans="1:7" x14ac:dyDescent="0.25">
      <c r="A460" s="158">
        <v>459</v>
      </c>
      <c r="B460" s="3" t="s">
        <v>24</v>
      </c>
      <c r="C460" s="3" t="s">
        <v>104</v>
      </c>
      <c r="D460" s="2" t="s">
        <v>392</v>
      </c>
      <c r="E460" s="156" t="s">
        <v>283</v>
      </c>
      <c r="F460" s="3" t="s">
        <v>348</v>
      </c>
      <c r="G460" s="4" t="s">
        <v>349</v>
      </c>
    </row>
    <row r="461" spans="1:7" x14ac:dyDescent="0.25">
      <c r="A461" s="154">
        <v>460</v>
      </c>
      <c r="B461" s="3" t="s">
        <v>24</v>
      </c>
      <c r="C461" s="3" t="s">
        <v>427</v>
      </c>
      <c r="D461" s="2" t="s">
        <v>428</v>
      </c>
      <c r="E461" s="156" t="s">
        <v>232</v>
      </c>
      <c r="F461" s="3" t="s">
        <v>348</v>
      </c>
      <c r="G461" s="4" t="s">
        <v>403</v>
      </c>
    </row>
    <row r="462" spans="1:7" x14ac:dyDescent="0.25">
      <c r="A462" s="158">
        <v>461</v>
      </c>
      <c r="B462" s="3" t="s">
        <v>24</v>
      </c>
      <c r="C462" s="3" t="s">
        <v>37</v>
      </c>
      <c r="D462" s="2" t="s">
        <v>430</v>
      </c>
      <c r="E462" s="156" t="s">
        <v>90</v>
      </c>
      <c r="F462" s="3" t="s">
        <v>348</v>
      </c>
      <c r="G462" s="4" t="s">
        <v>403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ER990"/>
  <sheetViews>
    <sheetView workbookViewId="0">
      <pane xSplit="1" ySplit="1" topLeftCell="B142" activePane="bottomRight" state="frozen"/>
      <selection pane="topRight" activeCell="B1" sqref="B1"/>
      <selection pane="bottomLeft" activeCell="A2" sqref="A2"/>
      <selection pane="bottomRight" activeCell="G1162" sqref="G1162"/>
    </sheetView>
  </sheetViews>
  <sheetFormatPr defaultRowHeight="15" x14ac:dyDescent="0.25"/>
  <cols>
    <col min="1" max="1" width="6.85546875" style="211" customWidth="1"/>
    <col min="2" max="2" width="88.7109375" style="211" customWidth="1"/>
    <col min="3" max="3" width="4.85546875" style="211" customWidth="1"/>
    <col min="4" max="4" width="19.28515625" style="209" customWidth="1"/>
    <col min="5" max="5" width="20.28515625" style="292" customWidth="1"/>
    <col min="6" max="6" width="29.5703125" style="343" hidden="1" customWidth="1"/>
    <col min="7" max="7" width="31.42578125" style="229" customWidth="1"/>
    <col min="8" max="8" width="18.28515625" style="229" customWidth="1"/>
    <col min="9" max="9" width="23.140625" style="190" hidden="1" customWidth="1"/>
    <col min="10" max="10" width="12.140625" style="231" hidden="1" customWidth="1"/>
    <col min="11" max="11" width="20.42578125" style="262" customWidth="1"/>
    <col min="12" max="12" width="11.28515625" style="262" customWidth="1"/>
    <col min="13" max="13" width="10.85546875" style="262" customWidth="1"/>
    <col min="14" max="14" width="8.7109375" style="211" customWidth="1"/>
    <col min="15" max="15" width="10.5703125" style="242" customWidth="1"/>
    <col min="16" max="16" width="31.7109375" style="242" customWidth="1"/>
    <col min="17" max="17" width="9.140625" style="253"/>
    <col min="18" max="18" width="13.85546875" style="254" customWidth="1"/>
    <col min="19" max="19" width="9.85546875" style="311" hidden="1" customWidth="1"/>
    <col min="20" max="20" width="11.7109375" style="190" hidden="1" customWidth="1"/>
    <col min="21" max="21" width="0" style="231" hidden="1" customWidth="1"/>
    <col min="22" max="25" width="9.140625" style="231"/>
    <col min="26" max="27" width="0" style="231" hidden="1" customWidth="1"/>
    <col min="28" max="28" width="15.28515625" style="229" customWidth="1"/>
    <col min="29" max="30" width="9.140625" style="229"/>
  </cols>
  <sheetData>
    <row r="1" spans="1:16372" ht="60" x14ac:dyDescent="0.25">
      <c r="A1" s="298" t="s">
        <v>4150</v>
      </c>
      <c r="B1" s="298" t="s">
        <v>3479</v>
      </c>
      <c r="C1" s="298"/>
      <c r="D1" s="299" t="s">
        <v>4151</v>
      </c>
      <c r="E1" s="300" t="s">
        <v>4152</v>
      </c>
      <c r="F1" s="308" t="s">
        <v>4163</v>
      </c>
      <c r="G1" s="298" t="s">
        <v>7</v>
      </c>
      <c r="H1" s="298" t="s">
        <v>8</v>
      </c>
      <c r="I1" s="301" t="s">
        <v>4164</v>
      </c>
      <c r="J1" s="301"/>
      <c r="K1" s="301" t="s">
        <v>4153</v>
      </c>
      <c r="L1" s="301" t="s">
        <v>3671</v>
      </c>
      <c r="M1" s="301" t="s">
        <v>4154</v>
      </c>
      <c r="N1" s="298" t="s">
        <v>4155</v>
      </c>
      <c r="O1" s="301" t="s">
        <v>4156</v>
      </c>
      <c r="P1" s="301" t="s">
        <v>4157</v>
      </c>
      <c r="Q1" s="302" t="s">
        <v>4158</v>
      </c>
      <c r="R1" s="303" t="s">
        <v>4159</v>
      </c>
      <c r="S1" s="301" t="s">
        <v>4165</v>
      </c>
      <c r="T1" s="301" t="s">
        <v>4166</v>
      </c>
      <c r="U1" s="301" t="s">
        <v>4167</v>
      </c>
      <c r="V1" s="301" t="s">
        <v>4168</v>
      </c>
      <c r="W1" s="301" t="s">
        <v>4169</v>
      </c>
      <c r="X1" s="301" t="s">
        <v>4170</v>
      </c>
      <c r="Y1" s="301" t="s">
        <v>746</v>
      </c>
      <c r="Z1" s="301" t="s">
        <v>4171</v>
      </c>
      <c r="AA1" s="301" t="s">
        <v>4172</v>
      </c>
      <c r="AB1" s="298" t="s">
        <v>4160</v>
      </c>
      <c r="AC1" s="298" t="s">
        <v>4161</v>
      </c>
      <c r="AD1" s="298" t="s">
        <v>4162</v>
      </c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305"/>
      <c r="BL1" s="305"/>
      <c r="BM1" s="305"/>
      <c r="BN1" s="305"/>
      <c r="BO1" s="305"/>
      <c r="BP1" s="305"/>
      <c r="BQ1" s="305"/>
      <c r="BR1" s="305"/>
      <c r="BS1" s="305"/>
      <c r="BT1" s="305"/>
      <c r="BU1" s="305"/>
      <c r="BV1" s="305"/>
      <c r="BW1" s="305"/>
      <c r="BX1" s="305"/>
      <c r="BY1" s="305"/>
      <c r="BZ1" s="305"/>
      <c r="CA1" s="305"/>
      <c r="CB1" s="305"/>
      <c r="CC1" s="305"/>
      <c r="CD1" s="305"/>
      <c r="CE1" s="305"/>
      <c r="CF1" s="305"/>
      <c r="CG1" s="305"/>
      <c r="CH1" s="305"/>
      <c r="CI1" s="305"/>
      <c r="CJ1" s="305"/>
      <c r="CK1" s="305"/>
      <c r="CL1" s="305"/>
      <c r="CM1" s="305"/>
      <c r="CN1" s="305"/>
      <c r="CO1" s="305"/>
      <c r="CP1" s="305"/>
      <c r="CQ1" s="305"/>
      <c r="CR1" s="305"/>
      <c r="CS1" s="305"/>
      <c r="CT1" s="305"/>
      <c r="CU1" s="305"/>
      <c r="CV1" s="305"/>
      <c r="CW1" s="305"/>
      <c r="CX1" s="305"/>
      <c r="CY1" s="305"/>
      <c r="CZ1" s="305"/>
      <c r="DA1" s="305"/>
      <c r="DB1" s="305"/>
      <c r="DC1" s="305"/>
      <c r="DD1" s="305"/>
      <c r="DE1" s="305"/>
      <c r="DF1" s="305"/>
      <c r="DG1" s="305"/>
      <c r="DH1" s="305"/>
      <c r="DI1" s="305"/>
      <c r="DJ1" s="305"/>
      <c r="DK1" s="305"/>
      <c r="DL1" s="305"/>
      <c r="DM1" s="305"/>
      <c r="DN1" s="305"/>
      <c r="DO1" s="305"/>
      <c r="DP1" s="305"/>
      <c r="DQ1" s="305"/>
      <c r="DR1" s="305"/>
      <c r="DS1" s="305"/>
      <c r="DT1" s="305"/>
      <c r="DU1" s="305"/>
      <c r="DV1" s="305"/>
      <c r="DW1" s="305"/>
      <c r="DX1" s="305"/>
      <c r="DY1" s="305"/>
      <c r="DZ1" s="305"/>
      <c r="EA1" s="305"/>
      <c r="EB1" s="305"/>
      <c r="EC1" s="305"/>
      <c r="ED1" s="305"/>
      <c r="EE1" s="305"/>
      <c r="EF1" s="305"/>
      <c r="EG1" s="305"/>
      <c r="EH1" s="305"/>
      <c r="EI1" s="305"/>
      <c r="EJ1" s="305"/>
      <c r="EK1" s="305"/>
      <c r="EL1" s="305"/>
      <c r="EM1" s="305"/>
      <c r="EN1" s="305"/>
      <c r="EO1" s="305"/>
      <c r="EP1" s="305"/>
      <c r="EQ1" s="305"/>
      <c r="ER1" s="305"/>
      <c r="ES1" s="305"/>
      <c r="ET1" s="305"/>
      <c r="EU1" s="305"/>
      <c r="EV1" s="305"/>
      <c r="EW1" s="305"/>
      <c r="EX1" s="305"/>
      <c r="EY1" s="305"/>
      <c r="EZ1" s="305"/>
      <c r="FA1" s="305"/>
      <c r="FB1" s="305"/>
      <c r="FC1" s="305"/>
      <c r="FD1" s="305"/>
      <c r="FE1" s="305"/>
      <c r="FF1" s="305"/>
      <c r="FG1" s="305"/>
      <c r="FH1" s="305"/>
      <c r="FI1" s="305"/>
      <c r="FJ1" s="305"/>
      <c r="FK1" s="305"/>
      <c r="FL1" s="305"/>
      <c r="FM1" s="305"/>
      <c r="FN1" s="305"/>
      <c r="FO1" s="305"/>
      <c r="FP1" s="305"/>
      <c r="FQ1" s="305"/>
      <c r="FR1" s="305"/>
      <c r="FS1" s="305"/>
      <c r="FT1" s="305"/>
      <c r="FU1" s="305"/>
      <c r="FV1" s="305"/>
      <c r="FW1" s="305"/>
      <c r="FX1" s="305"/>
      <c r="FY1" s="305"/>
      <c r="FZ1" s="305"/>
      <c r="GA1" s="305"/>
      <c r="GB1" s="305"/>
      <c r="GC1" s="305"/>
      <c r="GD1" s="305"/>
      <c r="GE1" s="305"/>
      <c r="GF1" s="305"/>
      <c r="GG1" s="305"/>
      <c r="GH1" s="305"/>
      <c r="GI1" s="305"/>
      <c r="GJ1" s="305"/>
      <c r="GK1" s="305"/>
      <c r="GL1" s="305"/>
      <c r="GM1" s="305"/>
      <c r="GN1" s="305"/>
      <c r="GO1" s="305"/>
      <c r="GP1" s="305"/>
      <c r="GQ1" s="305"/>
      <c r="GR1" s="305"/>
      <c r="GS1" s="305"/>
      <c r="GT1" s="305"/>
      <c r="GU1" s="305"/>
      <c r="GV1" s="305"/>
      <c r="GW1" s="305"/>
      <c r="GX1" s="305"/>
      <c r="GY1" s="305"/>
      <c r="GZ1" s="305"/>
      <c r="HA1" s="305"/>
      <c r="HB1" s="305"/>
      <c r="HC1" s="305"/>
      <c r="HD1" s="305"/>
      <c r="HE1" s="305"/>
      <c r="HF1" s="305"/>
      <c r="HG1" s="305"/>
      <c r="HH1" s="305"/>
      <c r="HI1" s="305"/>
      <c r="HJ1" s="305"/>
      <c r="HK1" s="305"/>
      <c r="HL1" s="305"/>
      <c r="HM1" s="305"/>
      <c r="HN1" s="305"/>
      <c r="HO1" s="305"/>
      <c r="HP1" s="305"/>
      <c r="HQ1" s="305"/>
      <c r="HR1" s="305"/>
      <c r="HS1" s="305"/>
      <c r="HT1" s="305"/>
      <c r="HU1" s="305"/>
      <c r="HV1" s="305"/>
      <c r="HW1" s="305"/>
      <c r="HX1" s="305"/>
      <c r="HY1" s="305"/>
      <c r="HZ1" s="305"/>
      <c r="IA1" s="305"/>
      <c r="IB1" s="305"/>
      <c r="IC1" s="305"/>
      <c r="ID1" s="305"/>
      <c r="IE1" s="305"/>
      <c r="IF1" s="305"/>
      <c r="IG1" s="305"/>
      <c r="IH1" s="305"/>
      <c r="II1" s="305"/>
      <c r="IJ1" s="305"/>
      <c r="IK1" s="305"/>
      <c r="IL1" s="305"/>
      <c r="IM1" s="305"/>
      <c r="IN1" s="305"/>
      <c r="IO1" s="305"/>
      <c r="IP1" s="305"/>
      <c r="IQ1" s="305"/>
      <c r="IR1" s="305"/>
      <c r="IS1" s="305"/>
      <c r="IT1" s="305"/>
      <c r="IU1" s="305"/>
      <c r="IV1" s="305"/>
      <c r="IW1" s="305"/>
      <c r="IX1" s="305"/>
      <c r="IY1" s="305"/>
      <c r="IZ1" s="305"/>
      <c r="JA1" s="305"/>
      <c r="JB1" s="305"/>
      <c r="JC1" s="305"/>
      <c r="JD1" s="305"/>
      <c r="JE1" s="305"/>
      <c r="JF1" s="305"/>
      <c r="JG1" s="305"/>
      <c r="JH1" s="305"/>
      <c r="JI1" s="305"/>
      <c r="JJ1" s="305"/>
      <c r="JK1" s="305"/>
      <c r="JL1" s="305"/>
      <c r="JM1" s="305"/>
      <c r="JN1" s="305"/>
      <c r="JO1" s="305"/>
      <c r="JP1" s="305"/>
      <c r="JQ1" s="305"/>
      <c r="JR1" s="305"/>
      <c r="JS1" s="305"/>
      <c r="JT1" s="305"/>
      <c r="JU1" s="305"/>
      <c r="JV1" s="305"/>
      <c r="JW1" s="305"/>
      <c r="JX1" s="305"/>
      <c r="JY1" s="305"/>
      <c r="JZ1" s="305"/>
      <c r="KA1" s="305"/>
      <c r="KB1" s="305"/>
      <c r="KC1" s="305"/>
      <c r="KD1" s="305"/>
      <c r="KE1" s="305"/>
      <c r="KF1" s="305"/>
      <c r="KG1" s="305"/>
      <c r="KH1" s="305"/>
      <c r="KI1" s="305"/>
      <c r="KJ1" s="305"/>
      <c r="KK1" s="305"/>
      <c r="KL1" s="305"/>
      <c r="KM1" s="305"/>
      <c r="KN1" s="305"/>
      <c r="KO1" s="305"/>
      <c r="KP1" s="305"/>
      <c r="KQ1" s="305"/>
      <c r="KR1" s="305"/>
      <c r="KS1" s="305"/>
      <c r="KT1" s="305"/>
      <c r="KU1" s="305"/>
      <c r="KV1" s="305"/>
      <c r="KW1" s="305"/>
      <c r="KX1" s="305"/>
      <c r="KY1" s="305"/>
      <c r="KZ1" s="305"/>
      <c r="LA1" s="305"/>
      <c r="LB1" s="305"/>
      <c r="LC1" s="305"/>
      <c r="LD1" s="305"/>
      <c r="LE1" s="305"/>
      <c r="LF1" s="305"/>
      <c r="LG1" s="305"/>
      <c r="LH1" s="305"/>
      <c r="LI1" s="305"/>
      <c r="LJ1" s="305"/>
      <c r="LK1" s="305"/>
      <c r="LL1" s="305"/>
      <c r="LM1" s="305"/>
      <c r="LN1" s="305"/>
      <c r="LO1" s="305"/>
      <c r="LP1" s="305"/>
      <c r="LQ1" s="305"/>
      <c r="LR1" s="305"/>
      <c r="LS1" s="305"/>
      <c r="LT1" s="305"/>
      <c r="LU1" s="305"/>
      <c r="LV1" s="305"/>
      <c r="LW1" s="305"/>
      <c r="LX1" s="305"/>
      <c r="LY1" s="305"/>
      <c r="LZ1" s="305"/>
      <c r="MA1" s="305"/>
      <c r="MB1" s="305"/>
      <c r="MC1" s="305"/>
      <c r="MD1" s="305"/>
      <c r="ME1" s="305"/>
      <c r="MF1" s="305"/>
      <c r="MG1" s="305"/>
      <c r="MH1" s="305"/>
      <c r="MI1" s="305"/>
      <c r="MJ1" s="305"/>
      <c r="MK1" s="305"/>
      <c r="ML1" s="305"/>
      <c r="MM1" s="305"/>
      <c r="MN1" s="305"/>
      <c r="MO1" s="305"/>
      <c r="MP1" s="305"/>
      <c r="MQ1" s="305"/>
      <c r="MR1" s="305"/>
      <c r="MS1" s="305"/>
      <c r="MT1" s="305"/>
      <c r="MU1" s="305"/>
      <c r="MV1" s="305"/>
      <c r="MW1" s="305"/>
      <c r="MX1" s="305"/>
      <c r="MY1" s="305"/>
      <c r="MZ1" s="305"/>
      <c r="NA1" s="305"/>
      <c r="NB1" s="305"/>
      <c r="NC1" s="305"/>
      <c r="ND1" s="305"/>
      <c r="NE1" s="305"/>
      <c r="NF1" s="305"/>
      <c r="NG1" s="305"/>
      <c r="NH1" s="305"/>
      <c r="NI1" s="305"/>
      <c r="NJ1" s="305"/>
      <c r="NK1" s="305"/>
      <c r="NL1" s="305"/>
      <c r="NM1" s="305"/>
      <c r="NN1" s="305"/>
      <c r="NO1" s="305"/>
      <c r="NP1" s="305"/>
      <c r="NQ1" s="305"/>
      <c r="NR1" s="305"/>
      <c r="NS1" s="305"/>
      <c r="NT1" s="305"/>
      <c r="NU1" s="305"/>
      <c r="NV1" s="305"/>
      <c r="NW1" s="305"/>
      <c r="NX1" s="305"/>
      <c r="NY1" s="305"/>
      <c r="NZ1" s="305"/>
      <c r="OA1" s="305"/>
      <c r="OB1" s="305"/>
      <c r="OC1" s="305"/>
      <c r="OD1" s="305"/>
      <c r="OE1" s="305"/>
      <c r="OF1" s="305"/>
      <c r="OG1" s="305"/>
      <c r="OH1" s="305"/>
      <c r="OI1" s="305"/>
      <c r="OJ1" s="305"/>
      <c r="OK1" s="305"/>
      <c r="OL1" s="305"/>
      <c r="OM1" s="305"/>
      <c r="ON1" s="305"/>
      <c r="OO1" s="305"/>
      <c r="OP1" s="305"/>
      <c r="OQ1" s="305"/>
      <c r="OR1" s="305"/>
      <c r="OS1" s="305"/>
      <c r="OT1" s="305"/>
      <c r="OU1" s="305"/>
      <c r="OV1" s="305"/>
      <c r="OW1" s="305"/>
      <c r="OX1" s="305"/>
      <c r="OY1" s="305"/>
      <c r="OZ1" s="305"/>
      <c r="PA1" s="305"/>
      <c r="PB1" s="305"/>
      <c r="PC1" s="305"/>
      <c r="PD1" s="305"/>
      <c r="PE1" s="305"/>
      <c r="PF1" s="305"/>
      <c r="PG1" s="305"/>
      <c r="PH1" s="305"/>
      <c r="PI1" s="305"/>
      <c r="PJ1" s="305"/>
      <c r="PK1" s="305"/>
      <c r="PL1" s="305"/>
      <c r="PM1" s="305"/>
      <c r="PN1" s="305"/>
      <c r="PO1" s="305"/>
      <c r="PP1" s="305"/>
      <c r="PQ1" s="305"/>
      <c r="PR1" s="305"/>
      <c r="PS1" s="305"/>
      <c r="PT1" s="305"/>
      <c r="PU1" s="305"/>
      <c r="PV1" s="305"/>
      <c r="PW1" s="305"/>
      <c r="PX1" s="305"/>
      <c r="PY1" s="305"/>
      <c r="PZ1" s="305"/>
      <c r="QA1" s="305"/>
      <c r="QB1" s="305"/>
      <c r="QC1" s="305"/>
      <c r="QD1" s="305"/>
      <c r="QE1" s="305"/>
      <c r="QF1" s="305"/>
      <c r="QG1" s="305"/>
      <c r="QH1" s="305"/>
      <c r="QI1" s="305"/>
      <c r="QJ1" s="305"/>
      <c r="QK1" s="305"/>
      <c r="QL1" s="305"/>
      <c r="QM1" s="305"/>
      <c r="QN1" s="305"/>
      <c r="QO1" s="305"/>
      <c r="QP1" s="305"/>
      <c r="QQ1" s="305"/>
      <c r="QR1" s="305"/>
      <c r="QS1" s="305"/>
      <c r="QT1" s="305"/>
      <c r="QU1" s="305"/>
      <c r="QV1" s="305"/>
      <c r="QW1" s="305"/>
      <c r="QX1" s="305"/>
      <c r="QY1" s="305"/>
      <c r="QZ1" s="305"/>
      <c r="RA1" s="305"/>
      <c r="RB1" s="305"/>
      <c r="RC1" s="305"/>
      <c r="RD1" s="305"/>
      <c r="RE1" s="305"/>
      <c r="RF1" s="305"/>
      <c r="RG1" s="305"/>
      <c r="RH1" s="305"/>
      <c r="RI1" s="305"/>
      <c r="RJ1" s="305"/>
      <c r="RK1" s="305"/>
      <c r="RL1" s="305"/>
      <c r="RM1" s="305"/>
      <c r="RN1" s="305"/>
      <c r="RO1" s="305"/>
      <c r="RP1" s="305"/>
      <c r="RQ1" s="305"/>
      <c r="RR1" s="305"/>
      <c r="RS1" s="305"/>
      <c r="RT1" s="305"/>
      <c r="RU1" s="305"/>
      <c r="RV1" s="305"/>
      <c r="RW1" s="305"/>
      <c r="RX1" s="305"/>
      <c r="RY1" s="305"/>
      <c r="RZ1" s="305"/>
      <c r="SA1" s="305"/>
      <c r="SB1" s="305"/>
      <c r="SC1" s="305"/>
      <c r="SD1" s="305"/>
      <c r="SE1" s="305"/>
      <c r="SF1" s="305"/>
      <c r="SG1" s="305"/>
      <c r="SH1" s="305"/>
      <c r="SI1" s="305"/>
      <c r="SJ1" s="305"/>
      <c r="SK1" s="305"/>
      <c r="SL1" s="305"/>
      <c r="SM1" s="305"/>
      <c r="SN1" s="305"/>
      <c r="SO1" s="305"/>
      <c r="SP1" s="305"/>
      <c r="SQ1" s="305"/>
      <c r="SR1" s="305"/>
      <c r="SS1" s="305"/>
      <c r="ST1" s="305"/>
      <c r="SU1" s="305"/>
      <c r="SV1" s="305"/>
      <c r="SW1" s="305"/>
      <c r="SX1" s="305"/>
      <c r="SY1" s="305"/>
      <c r="SZ1" s="305"/>
      <c r="TA1" s="305"/>
      <c r="TB1" s="305"/>
      <c r="TC1" s="305"/>
      <c r="TD1" s="305"/>
      <c r="TE1" s="305"/>
      <c r="TF1" s="305"/>
      <c r="TG1" s="305"/>
      <c r="TH1" s="305"/>
      <c r="TI1" s="305"/>
      <c r="TJ1" s="305"/>
      <c r="TK1" s="305"/>
      <c r="TL1" s="305"/>
      <c r="TM1" s="305"/>
      <c r="TN1" s="305"/>
      <c r="TO1" s="305"/>
      <c r="TP1" s="305"/>
      <c r="TQ1" s="305"/>
      <c r="TR1" s="305"/>
      <c r="TS1" s="305"/>
      <c r="TT1" s="305"/>
      <c r="TU1" s="305"/>
      <c r="TV1" s="305"/>
      <c r="TW1" s="305"/>
      <c r="TX1" s="305"/>
      <c r="TY1" s="305"/>
      <c r="TZ1" s="305"/>
      <c r="UA1" s="305"/>
      <c r="UB1" s="305"/>
      <c r="UC1" s="305"/>
      <c r="UD1" s="305"/>
      <c r="UE1" s="305"/>
      <c r="UF1" s="305"/>
      <c r="UG1" s="305"/>
      <c r="UH1" s="305"/>
      <c r="UI1" s="305"/>
      <c r="UJ1" s="305"/>
      <c r="UK1" s="305"/>
      <c r="UL1" s="305"/>
      <c r="UM1" s="305"/>
      <c r="UN1" s="305"/>
      <c r="UO1" s="305"/>
      <c r="UP1" s="305"/>
      <c r="UQ1" s="305"/>
      <c r="UR1" s="305"/>
      <c r="US1" s="305"/>
      <c r="UT1" s="305"/>
      <c r="UU1" s="305"/>
      <c r="UV1" s="305"/>
      <c r="UW1" s="305"/>
      <c r="UX1" s="305"/>
      <c r="UY1" s="305"/>
      <c r="UZ1" s="305"/>
      <c r="VA1" s="305"/>
      <c r="VB1" s="305"/>
      <c r="VC1" s="305"/>
      <c r="VD1" s="305"/>
      <c r="VE1" s="305"/>
      <c r="VF1" s="305"/>
      <c r="VG1" s="305"/>
      <c r="VH1" s="305"/>
      <c r="VI1" s="305"/>
      <c r="VJ1" s="305"/>
      <c r="VK1" s="305"/>
      <c r="VL1" s="305"/>
      <c r="VM1" s="305"/>
      <c r="VN1" s="305"/>
      <c r="VO1" s="305"/>
      <c r="VP1" s="305"/>
      <c r="VQ1" s="305"/>
      <c r="VR1" s="305"/>
      <c r="VS1" s="305"/>
      <c r="VT1" s="305"/>
      <c r="VU1" s="305"/>
      <c r="VV1" s="305"/>
      <c r="VW1" s="305"/>
      <c r="VX1" s="305"/>
      <c r="VY1" s="305"/>
      <c r="VZ1" s="305"/>
      <c r="WA1" s="305"/>
      <c r="WB1" s="305"/>
      <c r="WC1" s="305"/>
      <c r="WD1" s="305"/>
      <c r="WE1" s="305"/>
      <c r="WF1" s="305"/>
      <c r="WG1" s="305"/>
      <c r="WH1" s="305"/>
      <c r="WI1" s="305"/>
      <c r="WJ1" s="305"/>
      <c r="WK1" s="305"/>
      <c r="WL1" s="305"/>
      <c r="WM1" s="305"/>
      <c r="WN1" s="305"/>
      <c r="WO1" s="305"/>
      <c r="WP1" s="305"/>
      <c r="WQ1" s="305"/>
      <c r="WR1" s="305"/>
      <c r="WS1" s="305"/>
      <c r="WT1" s="305"/>
      <c r="WU1" s="305"/>
      <c r="WV1" s="305"/>
      <c r="WW1" s="305"/>
      <c r="WX1" s="305"/>
      <c r="WY1" s="305"/>
      <c r="WZ1" s="305"/>
      <c r="XA1" s="305"/>
      <c r="XB1" s="305"/>
      <c r="XC1" s="305"/>
      <c r="XD1" s="305"/>
      <c r="XE1" s="305"/>
      <c r="XF1" s="305"/>
      <c r="XG1" s="305"/>
      <c r="XH1" s="305"/>
      <c r="XI1" s="305"/>
      <c r="XJ1" s="305"/>
      <c r="XK1" s="305"/>
      <c r="XL1" s="305"/>
      <c r="XM1" s="305"/>
      <c r="XN1" s="305"/>
      <c r="XO1" s="305"/>
      <c r="XP1" s="305"/>
      <c r="XQ1" s="305"/>
      <c r="XR1" s="305"/>
      <c r="XS1" s="305"/>
      <c r="XT1" s="305"/>
      <c r="XU1" s="305"/>
      <c r="XV1" s="305"/>
      <c r="XW1" s="305"/>
      <c r="XX1" s="305"/>
      <c r="XY1" s="305"/>
      <c r="XZ1" s="305"/>
      <c r="YA1" s="305"/>
      <c r="YB1" s="305"/>
      <c r="YC1" s="305"/>
      <c r="YD1" s="305"/>
      <c r="YE1" s="305"/>
      <c r="YF1" s="305"/>
      <c r="YG1" s="305"/>
      <c r="YH1" s="305"/>
      <c r="YI1" s="305"/>
      <c r="YJ1" s="305"/>
      <c r="YK1" s="305"/>
      <c r="YL1" s="305"/>
      <c r="YM1" s="305"/>
      <c r="YN1" s="305"/>
      <c r="YO1" s="305"/>
      <c r="YP1" s="305"/>
      <c r="YQ1" s="305"/>
      <c r="YR1" s="305"/>
      <c r="YS1" s="305"/>
      <c r="YT1" s="305"/>
      <c r="YU1" s="305"/>
      <c r="YV1" s="305"/>
      <c r="YW1" s="305"/>
      <c r="YX1" s="305"/>
      <c r="YY1" s="305"/>
      <c r="YZ1" s="305"/>
      <c r="ZA1" s="305"/>
      <c r="ZB1" s="305"/>
      <c r="ZC1" s="305"/>
      <c r="ZD1" s="305"/>
      <c r="ZE1" s="305"/>
      <c r="ZF1" s="305"/>
      <c r="ZG1" s="305"/>
      <c r="ZH1" s="305"/>
      <c r="ZI1" s="305"/>
      <c r="ZJ1" s="305"/>
      <c r="ZK1" s="305"/>
      <c r="ZL1" s="305"/>
      <c r="ZM1" s="305"/>
      <c r="ZN1" s="305"/>
      <c r="ZO1" s="305"/>
      <c r="ZP1" s="305"/>
      <c r="ZQ1" s="305"/>
      <c r="ZR1" s="305"/>
      <c r="ZS1" s="305"/>
      <c r="ZT1" s="305"/>
      <c r="ZU1" s="305"/>
      <c r="ZV1" s="305"/>
      <c r="ZW1" s="305"/>
      <c r="ZX1" s="305"/>
      <c r="ZY1" s="305"/>
      <c r="ZZ1" s="305"/>
      <c r="AAA1" s="305"/>
      <c r="AAB1" s="305"/>
      <c r="AAC1" s="305"/>
      <c r="AAD1" s="305"/>
      <c r="AAE1" s="305"/>
      <c r="AAF1" s="305"/>
      <c r="AAG1" s="305"/>
      <c r="AAH1" s="305"/>
      <c r="AAI1" s="305"/>
      <c r="AAJ1" s="305"/>
      <c r="AAK1" s="305"/>
      <c r="AAL1" s="305"/>
      <c r="AAM1" s="305"/>
      <c r="AAN1" s="305"/>
      <c r="AAO1" s="305"/>
      <c r="AAP1" s="305"/>
      <c r="AAQ1" s="305"/>
      <c r="AAR1" s="305"/>
      <c r="AAS1" s="305"/>
      <c r="AAT1" s="305"/>
      <c r="AAU1" s="305"/>
      <c r="AAV1" s="305"/>
      <c r="AAW1" s="305"/>
      <c r="AAX1" s="305"/>
      <c r="AAY1" s="305"/>
      <c r="AAZ1" s="305"/>
      <c r="ABA1" s="305"/>
      <c r="ABB1" s="305"/>
      <c r="ABC1" s="305"/>
      <c r="ABD1" s="305"/>
      <c r="ABE1" s="305"/>
      <c r="ABF1" s="305"/>
      <c r="ABG1" s="305"/>
      <c r="ABH1" s="305"/>
      <c r="ABI1" s="305"/>
      <c r="ABJ1" s="305"/>
      <c r="ABK1" s="305"/>
      <c r="ABL1" s="305"/>
      <c r="ABM1" s="305"/>
      <c r="ABN1" s="305"/>
      <c r="ABO1" s="305"/>
      <c r="ABP1" s="305"/>
      <c r="ABQ1" s="305"/>
      <c r="ABR1" s="305"/>
      <c r="ABS1" s="305"/>
      <c r="ABT1" s="305"/>
      <c r="ABU1" s="305"/>
      <c r="ABV1" s="305"/>
      <c r="ABW1" s="305"/>
      <c r="ABX1" s="305"/>
      <c r="ABY1" s="305"/>
      <c r="ABZ1" s="305"/>
      <c r="ACA1" s="305"/>
      <c r="ACB1" s="305"/>
      <c r="ACC1" s="305"/>
      <c r="ACD1" s="305"/>
      <c r="ACE1" s="305"/>
      <c r="ACF1" s="305"/>
      <c r="ACG1" s="305"/>
      <c r="ACH1" s="305"/>
      <c r="ACI1" s="305"/>
      <c r="ACJ1" s="305"/>
      <c r="ACK1" s="305"/>
      <c r="ACL1" s="305"/>
      <c r="ACM1" s="305"/>
      <c r="ACN1" s="305"/>
      <c r="ACO1" s="305"/>
      <c r="ACP1" s="305"/>
      <c r="ACQ1" s="305"/>
      <c r="ACR1" s="305"/>
      <c r="ACS1" s="305"/>
      <c r="ACT1" s="305"/>
      <c r="ACU1" s="305"/>
      <c r="ACV1" s="305"/>
      <c r="ACW1" s="305"/>
      <c r="ACX1" s="305"/>
      <c r="ACY1" s="305"/>
      <c r="ACZ1" s="305"/>
      <c r="ADA1" s="305"/>
      <c r="ADB1" s="305"/>
      <c r="ADC1" s="305"/>
      <c r="ADD1" s="305"/>
      <c r="ADE1" s="305"/>
      <c r="ADF1" s="305"/>
      <c r="ADG1" s="305"/>
      <c r="ADH1" s="305"/>
      <c r="ADI1" s="305"/>
      <c r="ADJ1" s="305"/>
      <c r="ADK1" s="305"/>
      <c r="ADL1" s="305"/>
      <c r="ADM1" s="305"/>
      <c r="ADN1" s="305"/>
      <c r="ADO1" s="305"/>
      <c r="ADP1" s="305"/>
      <c r="ADQ1" s="305"/>
      <c r="ADR1" s="305"/>
      <c r="ADS1" s="305"/>
      <c r="ADT1" s="305"/>
      <c r="ADU1" s="305"/>
      <c r="ADV1" s="305"/>
      <c r="ADW1" s="305"/>
      <c r="ADX1" s="305"/>
      <c r="ADY1" s="305"/>
      <c r="ADZ1" s="305"/>
      <c r="AEA1" s="305"/>
      <c r="AEB1" s="305"/>
      <c r="AEC1" s="305"/>
      <c r="AED1" s="305"/>
      <c r="AEE1" s="305"/>
      <c r="AEF1" s="305"/>
      <c r="AEG1" s="305"/>
      <c r="AEH1" s="305"/>
      <c r="AEI1" s="305"/>
      <c r="AEJ1" s="305"/>
      <c r="AEK1" s="305"/>
      <c r="AEL1" s="305"/>
      <c r="AEM1" s="305"/>
      <c r="AEN1" s="305"/>
      <c r="AEO1" s="305"/>
      <c r="AEP1" s="305"/>
      <c r="AEQ1" s="305"/>
      <c r="AER1" s="305"/>
      <c r="AES1" s="305"/>
      <c r="AET1" s="305"/>
      <c r="AEU1" s="305"/>
      <c r="AEV1" s="305"/>
      <c r="AEW1" s="305"/>
      <c r="AEX1" s="305"/>
      <c r="AEY1" s="305"/>
      <c r="AEZ1" s="305"/>
      <c r="AFA1" s="305"/>
      <c r="AFB1" s="305"/>
      <c r="AFC1" s="305"/>
      <c r="AFD1" s="305"/>
      <c r="AFE1" s="305"/>
      <c r="AFF1" s="305"/>
      <c r="AFG1" s="305"/>
      <c r="AFH1" s="305"/>
      <c r="AFI1" s="305"/>
      <c r="AFJ1" s="305"/>
      <c r="AFK1" s="305"/>
      <c r="AFL1" s="305"/>
      <c r="AFM1" s="305"/>
      <c r="AFN1" s="305"/>
      <c r="AFO1" s="305"/>
      <c r="AFP1" s="305"/>
      <c r="AFQ1" s="305"/>
      <c r="AFR1" s="305"/>
      <c r="AFS1" s="305"/>
      <c r="AFT1" s="305"/>
      <c r="AFU1" s="305"/>
      <c r="AFV1" s="305"/>
      <c r="AFW1" s="305"/>
      <c r="AFX1" s="305"/>
      <c r="AFY1" s="305"/>
      <c r="AFZ1" s="305"/>
      <c r="AGA1" s="305"/>
      <c r="AGB1" s="305"/>
      <c r="AGC1" s="305"/>
      <c r="AGD1" s="305"/>
      <c r="AGE1" s="305"/>
      <c r="AGF1" s="305"/>
      <c r="AGG1" s="305"/>
      <c r="AGH1" s="305"/>
      <c r="AGI1" s="305"/>
      <c r="AGJ1" s="305"/>
      <c r="AGK1" s="305"/>
      <c r="AGL1" s="305"/>
      <c r="AGM1" s="305"/>
      <c r="AGN1" s="305"/>
      <c r="AGO1" s="305"/>
      <c r="AGP1" s="305"/>
      <c r="AGQ1" s="305"/>
      <c r="AGR1" s="305"/>
      <c r="AGS1" s="305"/>
      <c r="AGT1" s="305"/>
      <c r="AGU1" s="305"/>
      <c r="AGV1" s="305"/>
      <c r="AGW1" s="305"/>
      <c r="AGX1" s="305"/>
      <c r="AGY1" s="305"/>
      <c r="AGZ1" s="305"/>
      <c r="AHA1" s="305"/>
      <c r="AHB1" s="305"/>
      <c r="AHC1" s="305"/>
      <c r="AHD1" s="305"/>
      <c r="AHE1" s="305"/>
      <c r="AHF1" s="305"/>
      <c r="AHG1" s="305"/>
      <c r="AHH1" s="305"/>
      <c r="AHI1" s="305"/>
      <c r="AHJ1" s="305"/>
      <c r="AHK1" s="305"/>
      <c r="AHL1" s="305"/>
      <c r="AHM1" s="305"/>
      <c r="AHN1" s="305"/>
      <c r="AHO1" s="305"/>
      <c r="AHP1" s="305"/>
      <c r="AHQ1" s="305"/>
      <c r="AHR1" s="305"/>
      <c r="AHS1" s="305"/>
      <c r="AHT1" s="305"/>
      <c r="AHU1" s="305"/>
      <c r="AHV1" s="305"/>
      <c r="AHW1" s="305"/>
      <c r="AHX1" s="305"/>
      <c r="AHY1" s="305"/>
      <c r="AHZ1" s="305"/>
      <c r="AIA1" s="305"/>
      <c r="AIB1" s="305"/>
      <c r="AIC1" s="305"/>
      <c r="AID1" s="305"/>
      <c r="AIE1" s="305"/>
      <c r="AIF1" s="305"/>
      <c r="AIG1" s="305"/>
      <c r="AIH1" s="305"/>
      <c r="AII1" s="305"/>
      <c r="AIJ1" s="305"/>
      <c r="AIK1" s="305"/>
      <c r="AIL1" s="305"/>
      <c r="AIM1" s="305"/>
      <c r="AIN1" s="305"/>
      <c r="AIO1" s="305"/>
      <c r="AIP1" s="305"/>
      <c r="AIQ1" s="305"/>
      <c r="AIR1" s="305"/>
      <c r="AIS1" s="305"/>
      <c r="AIT1" s="305"/>
      <c r="AIU1" s="305"/>
      <c r="AIV1" s="305"/>
      <c r="AIW1" s="305"/>
      <c r="AIX1" s="305"/>
      <c r="AIY1" s="305"/>
      <c r="AIZ1" s="305"/>
      <c r="AJA1" s="305"/>
      <c r="AJB1" s="305"/>
      <c r="AJC1" s="305"/>
      <c r="AJD1" s="305"/>
      <c r="AJE1" s="305"/>
      <c r="AJF1" s="305"/>
      <c r="AJG1" s="305"/>
      <c r="AJH1" s="305"/>
      <c r="AJI1" s="305"/>
      <c r="AJJ1" s="305"/>
      <c r="AJK1" s="305"/>
      <c r="AJL1" s="305"/>
      <c r="AJM1" s="305"/>
      <c r="AJN1" s="305"/>
      <c r="AJO1" s="305"/>
      <c r="AJP1" s="305"/>
      <c r="AJQ1" s="305"/>
      <c r="AJR1" s="305"/>
      <c r="AJS1" s="305"/>
      <c r="AJT1" s="305"/>
      <c r="AJU1" s="305"/>
      <c r="AJV1" s="305"/>
      <c r="AJW1" s="305"/>
      <c r="AJX1" s="305"/>
      <c r="AJY1" s="305"/>
      <c r="AJZ1" s="305"/>
      <c r="AKA1" s="305"/>
      <c r="AKB1" s="305"/>
      <c r="AKC1" s="305"/>
      <c r="AKD1" s="305"/>
      <c r="AKE1" s="305"/>
      <c r="AKF1" s="305"/>
      <c r="AKG1" s="305"/>
      <c r="AKH1" s="305"/>
      <c r="AKI1" s="305"/>
      <c r="AKJ1" s="305"/>
      <c r="AKK1" s="305"/>
      <c r="AKL1" s="305"/>
      <c r="AKM1" s="305"/>
      <c r="AKN1" s="305"/>
      <c r="AKO1" s="305"/>
      <c r="AKP1" s="305"/>
      <c r="AKQ1" s="305"/>
      <c r="AKR1" s="305"/>
      <c r="AKS1" s="305"/>
      <c r="AKT1" s="305"/>
      <c r="AKU1" s="305"/>
      <c r="AKV1" s="305"/>
      <c r="AKW1" s="305"/>
      <c r="AKX1" s="305"/>
      <c r="AKY1" s="305"/>
      <c r="AKZ1" s="305"/>
      <c r="ALA1" s="305"/>
      <c r="ALB1" s="305"/>
      <c r="ALC1" s="305"/>
      <c r="ALD1" s="305"/>
      <c r="ALE1" s="305"/>
      <c r="ALF1" s="305"/>
      <c r="ALG1" s="305"/>
      <c r="ALH1" s="305"/>
      <c r="ALI1" s="305"/>
      <c r="ALJ1" s="305"/>
      <c r="ALK1" s="305"/>
      <c r="ALL1" s="305"/>
      <c r="ALM1" s="305"/>
      <c r="ALN1" s="305"/>
      <c r="ALO1" s="305"/>
      <c r="ALP1" s="305"/>
      <c r="ALQ1" s="305"/>
      <c r="ALR1" s="305"/>
      <c r="ALS1" s="305"/>
      <c r="ALT1" s="305"/>
      <c r="ALU1" s="305"/>
      <c r="ALV1" s="305"/>
      <c r="ALW1" s="305"/>
      <c r="ALX1" s="305"/>
      <c r="ALY1" s="305"/>
      <c r="ALZ1" s="305"/>
      <c r="AMA1" s="305"/>
      <c r="AMB1" s="305"/>
      <c r="AMC1" s="305"/>
      <c r="AMD1" s="305"/>
      <c r="AME1" s="305"/>
      <c r="AMF1" s="305"/>
      <c r="AMG1" s="305"/>
      <c r="AMH1" s="305"/>
      <c r="AMI1" s="305"/>
      <c r="AMJ1" s="305"/>
      <c r="AMK1" s="305"/>
      <c r="AML1" s="305"/>
      <c r="AMM1" s="305"/>
      <c r="AMN1" s="305"/>
      <c r="AMO1" s="305"/>
      <c r="AMP1" s="305"/>
      <c r="AMQ1" s="305"/>
      <c r="AMR1" s="305"/>
      <c r="AMS1" s="305"/>
      <c r="AMT1" s="305"/>
      <c r="AMU1" s="305"/>
      <c r="AMV1" s="305"/>
      <c r="AMW1" s="305"/>
      <c r="AMX1" s="305"/>
      <c r="AMY1" s="305"/>
      <c r="AMZ1" s="305"/>
      <c r="ANA1" s="305"/>
      <c r="ANB1" s="305"/>
      <c r="ANC1" s="305"/>
      <c r="AND1" s="305"/>
      <c r="ANE1" s="305"/>
      <c r="ANF1" s="305"/>
      <c r="ANG1" s="305"/>
      <c r="ANH1" s="305"/>
      <c r="ANI1" s="305"/>
      <c r="ANJ1" s="305"/>
      <c r="ANK1" s="305"/>
      <c r="ANL1" s="305"/>
      <c r="ANM1" s="305"/>
      <c r="ANN1" s="305"/>
      <c r="ANO1" s="305"/>
      <c r="ANP1" s="305"/>
      <c r="ANQ1" s="305"/>
      <c r="ANR1" s="305"/>
      <c r="ANS1" s="305"/>
      <c r="ANT1" s="305"/>
      <c r="ANU1" s="305"/>
      <c r="ANV1" s="305"/>
      <c r="ANW1" s="305"/>
      <c r="ANX1" s="305"/>
      <c r="ANY1" s="305"/>
      <c r="ANZ1" s="305"/>
      <c r="AOA1" s="305"/>
      <c r="AOB1" s="305"/>
      <c r="AOC1" s="305"/>
      <c r="AOD1" s="305"/>
      <c r="AOE1" s="305"/>
      <c r="AOF1" s="305"/>
      <c r="AOG1" s="305"/>
      <c r="AOH1" s="305"/>
      <c r="AOI1" s="305"/>
      <c r="AOJ1" s="305"/>
      <c r="AOK1" s="305"/>
      <c r="AOL1" s="305"/>
      <c r="AOM1" s="305"/>
      <c r="AON1" s="305"/>
      <c r="AOO1" s="305"/>
      <c r="AOP1" s="305"/>
      <c r="AOQ1" s="305"/>
      <c r="AOR1" s="305"/>
      <c r="AOS1" s="305"/>
      <c r="AOT1" s="305"/>
      <c r="AOU1" s="305"/>
      <c r="AOV1" s="305"/>
      <c r="AOW1" s="305"/>
      <c r="AOX1" s="305"/>
      <c r="AOY1" s="305"/>
      <c r="AOZ1" s="305"/>
      <c r="APA1" s="305"/>
      <c r="APB1" s="305"/>
      <c r="APC1" s="305"/>
      <c r="APD1" s="305"/>
      <c r="APE1" s="305"/>
      <c r="APF1" s="305"/>
      <c r="APG1" s="305"/>
      <c r="APH1" s="305"/>
      <c r="API1" s="305"/>
      <c r="APJ1" s="305"/>
      <c r="APK1" s="305"/>
      <c r="APL1" s="305"/>
      <c r="APM1" s="305"/>
      <c r="APN1" s="305"/>
      <c r="APO1" s="305"/>
      <c r="APP1" s="305"/>
      <c r="APQ1" s="305"/>
      <c r="APR1" s="305"/>
      <c r="APS1" s="305"/>
      <c r="APT1" s="305"/>
      <c r="APU1" s="305"/>
      <c r="APV1" s="305"/>
      <c r="APW1" s="305"/>
      <c r="APX1" s="305"/>
      <c r="APY1" s="305"/>
      <c r="APZ1" s="305"/>
      <c r="AQA1" s="305"/>
      <c r="AQB1" s="305"/>
      <c r="AQC1" s="305"/>
      <c r="AQD1" s="305"/>
      <c r="AQE1" s="305"/>
      <c r="AQF1" s="305"/>
      <c r="AQG1" s="305"/>
      <c r="AQH1" s="305"/>
      <c r="AQI1" s="305"/>
      <c r="AQJ1" s="305"/>
      <c r="AQK1" s="305"/>
      <c r="AQL1" s="305"/>
      <c r="AQM1" s="305"/>
      <c r="AQN1" s="305"/>
      <c r="AQO1" s="305"/>
      <c r="AQP1" s="305"/>
      <c r="AQQ1" s="305"/>
      <c r="AQR1" s="305"/>
      <c r="AQS1" s="305"/>
      <c r="AQT1" s="305"/>
      <c r="AQU1" s="305"/>
      <c r="AQV1" s="305"/>
      <c r="AQW1" s="305"/>
      <c r="AQX1" s="305"/>
      <c r="AQY1" s="305"/>
      <c r="AQZ1" s="305"/>
      <c r="ARA1" s="305"/>
      <c r="ARB1" s="305"/>
      <c r="ARC1" s="305"/>
      <c r="ARD1" s="305"/>
      <c r="ARE1" s="305"/>
      <c r="ARF1" s="305"/>
      <c r="ARG1" s="305"/>
      <c r="ARH1" s="305"/>
      <c r="ARI1" s="305"/>
      <c r="ARJ1" s="305"/>
      <c r="ARK1" s="305"/>
      <c r="ARL1" s="305"/>
      <c r="ARM1" s="305"/>
      <c r="ARN1" s="305"/>
      <c r="ARO1" s="305"/>
      <c r="ARP1" s="305"/>
      <c r="ARQ1" s="305"/>
      <c r="ARR1" s="305"/>
      <c r="ARS1" s="305"/>
      <c r="ART1" s="305"/>
      <c r="ARU1" s="305"/>
      <c r="ARV1" s="305"/>
      <c r="ARW1" s="305"/>
      <c r="ARX1" s="305"/>
      <c r="ARY1" s="305"/>
      <c r="ARZ1" s="305"/>
      <c r="ASA1" s="305"/>
      <c r="ASB1" s="305"/>
      <c r="ASC1" s="305"/>
      <c r="ASD1" s="305"/>
      <c r="ASE1" s="305"/>
      <c r="ASF1" s="305"/>
      <c r="ASG1" s="305"/>
      <c r="ASH1" s="305"/>
      <c r="ASI1" s="305"/>
      <c r="ASJ1" s="305"/>
      <c r="ASK1" s="305"/>
      <c r="ASL1" s="305"/>
      <c r="ASM1" s="305"/>
      <c r="ASN1" s="305"/>
      <c r="ASO1" s="305"/>
      <c r="ASP1" s="305"/>
      <c r="ASQ1" s="305"/>
      <c r="ASR1" s="305"/>
      <c r="ASS1" s="305"/>
      <c r="AST1" s="305"/>
      <c r="ASU1" s="305"/>
      <c r="ASV1" s="305"/>
      <c r="ASW1" s="305"/>
      <c r="ASX1" s="305"/>
      <c r="ASY1" s="305"/>
      <c r="ASZ1" s="305"/>
      <c r="ATA1" s="305"/>
      <c r="ATB1" s="305"/>
      <c r="ATC1" s="305"/>
      <c r="ATD1" s="305"/>
      <c r="ATE1" s="305"/>
      <c r="ATF1" s="305"/>
      <c r="ATG1" s="305"/>
      <c r="ATH1" s="305"/>
      <c r="ATI1" s="305"/>
      <c r="ATJ1" s="305"/>
      <c r="ATK1" s="305"/>
      <c r="ATL1" s="305"/>
      <c r="ATM1" s="305"/>
      <c r="ATN1" s="305"/>
      <c r="ATO1" s="305"/>
      <c r="ATP1" s="305"/>
      <c r="ATQ1" s="305"/>
      <c r="ATR1" s="305"/>
      <c r="ATS1" s="305"/>
      <c r="ATT1" s="305"/>
      <c r="ATU1" s="305"/>
      <c r="ATV1" s="305"/>
      <c r="ATW1" s="305"/>
      <c r="ATX1" s="305"/>
      <c r="ATY1" s="305"/>
      <c r="ATZ1" s="305"/>
      <c r="AUA1" s="305"/>
      <c r="AUB1" s="305"/>
      <c r="AUC1" s="305"/>
      <c r="AUD1" s="305"/>
      <c r="AUE1" s="305"/>
      <c r="AUF1" s="305"/>
      <c r="AUG1" s="305"/>
      <c r="AUH1" s="305"/>
      <c r="AUI1" s="305"/>
      <c r="AUJ1" s="305"/>
      <c r="AUK1" s="305"/>
      <c r="AUL1" s="305"/>
      <c r="AUM1" s="305"/>
      <c r="AUN1" s="305"/>
      <c r="AUO1" s="305"/>
      <c r="AUP1" s="305"/>
      <c r="AUQ1" s="305"/>
      <c r="AUR1" s="305"/>
      <c r="AUS1" s="305"/>
      <c r="AUT1" s="305"/>
      <c r="AUU1" s="305"/>
      <c r="AUV1" s="305"/>
      <c r="AUW1" s="305"/>
      <c r="AUX1" s="305"/>
      <c r="AUY1" s="305"/>
      <c r="AUZ1" s="305"/>
      <c r="AVA1" s="305"/>
      <c r="AVB1" s="305"/>
      <c r="AVC1" s="305"/>
      <c r="AVD1" s="305"/>
      <c r="AVE1" s="305"/>
      <c r="AVF1" s="305"/>
      <c r="AVG1" s="305"/>
      <c r="AVH1" s="305"/>
      <c r="AVI1" s="305"/>
      <c r="AVJ1" s="305"/>
      <c r="AVK1" s="305"/>
      <c r="AVL1" s="305"/>
      <c r="AVM1" s="305"/>
      <c r="AVN1" s="305"/>
      <c r="AVO1" s="305"/>
      <c r="AVP1" s="305"/>
      <c r="AVQ1" s="305"/>
      <c r="AVR1" s="305"/>
      <c r="AVS1" s="305"/>
      <c r="AVT1" s="305"/>
      <c r="AVU1" s="305"/>
      <c r="AVV1" s="305"/>
      <c r="AVW1" s="305"/>
      <c r="AVX1" s="305"/>
      <c r="AVY1" s="305"/>
      <c r="AVZ1" s="305"/>
      <c r="AWA1" s="305"/>
      <c r="AWB1" s="305"/>
      <c r="AWC1" s="305"/>
      <c r="AWD1" s="305"/>
      <c r="AWE1" s="305"/>
      <c r="AWF1" s="305"/>
      <c r="AWG1" s="305"/>
      <c r="AWH1" s="305"/>
      <c r="AWI1" s="305"/>
      <c r="AWJ1" s="305"/>
      <c r="AWK1" s="305"/>
      <c r="AWL1" s="305"/>
      <c r="AWM1" s="305"/>
      <c r="AWN1" s="305"/>
      <c r="AWO1" s="305"/>
      <c r="AWP1" s="305"/>
      <c r="AWQ1" s="305"/>
      <c r="AWR1" s="305"/>
      <c r="AWS1" s="305"/>
      <c r="AWT1" s="305"/>
      <c r="AWU1" s="305"/>
      <c r="AWV1" s="305"/>
      <c r="AWW1" s="305"/>
      <c r="AWX1" s="305"/>
      <c r="AWY1" s="305"/>
      <c r="AWZ1" s="305"/>
      <c r="AXA1" s="305"/>
      <c r="AXB1" s="305"/>
      <c r="AXC1" s="305"/>
      <c r="AXD1" s="305"/>
      <c r="AXE1" s="305"/>
      <c r="AXF1" s="305"/>
      <c r="AXG1" s="305"/>
      <c r="AXH1" s="305"/>
      <c r="AXI1" s="305"/>
      <c r="AXJ1" s="305"/>
      <c r="AXK1" s="305"/>
      <c r="AXL1" s="305"/>
      <c r="AXM1" s="305"/>
      <c r="AXN1" s="305"/>
      <c r="AXO1" s="305"/>
      <c r="AXP1" s="305"/>
      <c r="AXQ1" s="305"/>
      <c r="AXR1" s="305"/>
      <c r="AXS1" s="305"/>
      <c r="AXT1" s="305"/>
      <c r="AXU1" s="305"/>
      <c r="AXV1" s="305"/>
      <c r="AXW1" s="305"/>
      <c r="AXX1" s="305"/>
      <c r="AXY1" s="305"/>
      <c r="AXZ1" s="305"/>
      <c r="AYA1" s="305"/>
      <c r="AYB1" s="305"/>
      <c r="AYC1" s="305"/>
      <c r="AYD1" s="305"/>
      <c r="AYE1" s="305"/>
      <c r="AYF1" s="305"/>
      <c r="AYG1" s="305"/>
      <c r="AYH1" s="305"/>
      <c r="AYI1" s="305"/>
      <c r="AYJ1" s="305"/>
      <c r="AYK1" s="305"/>
      <c r="AYL1" s="305"/>
      <c r="AYM1" s="305"/>
      <c r="AYN1" s="305"/>
      <c r="AYO1" s="305"/>
      <c r="AYP1" s="305"/>
      <c r="AYQ1" s="305"/>
      <c r="AYR1" s="305"/>
      <c r="AYS1" s="305"/>
      <c r="AYT1" s="305"/>
      <c r="AYU1" s="305"/>
      <c r="AYV1" s="305"/>
      <c r="AYW1" s="305"/>
      <c r="AYX1" s="305"/>
      <c r="AYY1" s="305"/>
      <c r="AYZ1" s="305"/>
      <c r="AZA1" s="305"/>
      <c r="AZB1" s="305"/>
      <c r="AZC1" s="305"/>
      <c r="AZD1" s="305"/>
      <c r="AZE1" s="305"/>
      <c r="AZF1" s="305"/>
      <c r="AZG1" s="305"/>
      <c r="AZH1" s="305"/>
      <c r="AZI1" s="305"/>
      <c r="AZJ1" s="305"/>
      <c r="AZK1" s="305"/>
      <c r="AZL1" s="305"/>
      <c r="AZM1" s="305"/>
      <c r="AZN1" s="305"/>
      <c r="AZO1" s="305"/>
      <c r="AZP1" s="305"/>
      <c r="AZQ1" s="305"/>
      <c r="AZR1" s="305"/>
      <c r="AZS1" s="305"/>
      <c r="AZT1" s="305"/>
      <c r="AZU1" s="305"/>
      <c r="AZV1" s="305"/>
      <c r="AZW1" s="305"/>
      <c r="AZX1" s="305"/>
      <c r="AZY1" s="305"/>
      <c r="AZZ1" s="305"/>
      <c r="BAA1" s="305"/>
      <c r="BAB1" s="305"/>
      <c r="BAC1" s="305"/>
      <c r="BAD1" s="305"/>
      <c r="BAE1" s="305"/>
      <c r="BAF1" s="305"/>
      <c r="BAG1" s="305"/>
      <c r="BAH1" s="305"/>
      <c r="BAI1" s="305"/>
      <c r="BAJ1" s="305"/>
      <c r="BAK1" s="305"/>
      <c r="BAL1" s="305"/>
      <c r="BAM1" s="305"/>
      <c r="BAN1" s="305"/>
      <c r="BAO1" s="305"/>
      <c r="BAP1" s="305"/>
      <c r="BAQ1" s="305"/>
      <c r="BAR1" s="305"/>
      <c r="BAS1" s="305"/>
      <c r="BAT1" s="305"/>
      <c r="BAU1" s="305"/>
      <c r="BAV1" s="305"/>
      <c r="BAW1" s="305"/>
      <c r="BAX1" s="305"/>
      <c r="BAY1" s="305"/>
      <c r="BAZ1" s="305"/>
      <c r="BBA1" s="305"/>
      <c r="BBB1" s="305"/>
      <c r="BBC1" s="305"/>
      <c r="BBD1" s="305"/>
      <c r="BBE1" s="305"/>
      <c r="BBF1" s="305"/>
      <c r="BBG1" s="305"/>
      <c r="BBH1" s="305"/>
      <c r="BBI1" s="305"/>
      <c r="BBJ1" s="305"/>
      <c r="BBK1" s="305"/>
      <c r="BBL1" s="305"/>
      <c r="BBM1" s="305"/>
      <c r="BBN1" s="305"/>
      <c r="BBO1" s="305"/>
      <c r="BBP1" s="305"/>
      <c r="BBQ1" s="305"/>
      <c r="BBR1" s="305"/>
      <c r="BBS1" s="305"/>
      <c r="BBT1" s="305"/>
      <c r="BBU1" s="305"/>
      <c r="BBV1" s="305"/>
      <c r="BBW1" s="305"/>
      <c r="BBX1" s="305"/>
      <c r="BBY1" s="305"/>
      <c r="BBZ1" s="305"/>
      <c r="BCA1" s="305"/>
      <c r="BCB1" s="305"/>
      <c r="BCC1" s="305"/>
      <c r="BCD1" s="305"/>
      <c r="BCE1" s="305"/>
      <c r="BCF1" s="305"/>
      <c r="BCG1" s="305"/>
      <c r="BCH1" s="305"/>
      <c r="BCI1" s="305"/>
      <c r="BCJ1" s="305"/>
      <c r="BCK1" s="305"/>
      <c r="BCL1" s="305"/>
      <c r="BCM1" s="305"/>
      <c r="BCN1" s="305"/>
      <c r="BCO1" s="305"/>
      <c r="BCP1" s="305"/>
      <c r="BCQ1" s="305"/>
      <c r="BCR1" s="305"/>
      <c r="BCS1" s="305"/>
      <c r="BCT1" s="305"/>
      <c r="BCU1" s="305"/>
      <c r="BCV1" s="305"/>
      <c r="BCW1" s="305"/>
      <c r="BCX1" s="305"/>
      <c r="BCY1" s="305"/>
      <c r="BCZ1" s="305"/>
      <c r="BDA1" s="305"/>
      <c r="BDB1" s="305"/>
      <c r="BDC1" s="305"/>
      <c r="BDD1" s="305"/>
      <c r="BDE1" s="305"/>
      <c r="BDF1" s="305"/>
      <c r="BDG1" s="305"/>
      <c r="BDH1" s="305"/>
      <c r="BDI1" s="305"/>
      <c r="BDJ1" s="305"/>
      <c r="BDK1" s="305"/>
      <c r="BDL1" s="305"/>
      <c r="BDM1" s="305"/>
      <c r="BDN1" s="305"/>
      <c r="BDO1" s="305"/>
      <c r="BDP1" s="305"/>
      <c r="BDQ1" s="305"/>
      <c r="BDR1" s="305"/>
      <c r="BDS1" s="305"/>
      <c r="BDT1" s="305"/>
      <c r="BDU1" s="305"/>
      <c r="BDV1" s="305"/>
      <c r="BDW1" s="305"/>
      <c r="BDX1" s="305"/>
      <c r="BDY1" s="305"/>
      <c r="BDZ1" s="305"/>
      <c r="BEA1" s="305"/>
      <c r="BEB1" s="305"/>
      <c r="BEC1" s="305"/>
      <c r="BED1" s="305"/>
      <c r="BEE1" s="305"/>
      <c r="BEF1" s="305"/>
      <c r="BEG1" s="305"/>
      <c r="BEH1" s="305"/>
      <c r="BEI1" s="305"/>
      <c r="BEJ1" s="305"/>
      <c r="BEK1" s="305"/>
      <c r="BEL1" s="305"/>
      <c r="BEM1" s="305"/>
      <c r="BEN1" s="305"/>
      <c r="BEO1" s="305"/>
      <c r="BEP1" s="305"/>
      <c r="BEQ1" s="305"/>
      <c r="BER1" s="305"/>
      <c r="BES1" s="305"/>
      <c r="BET1" s="305"/>
      <c r="BEU1" s="305"/>
      <c r="BEV1" s="305"/>
      <c r="BEW1" s="305"/>
      <c r="BEX1" s="305"/>
      <c r="BEY1" s="305"/>
      <c r="BEZ1" s="305"/>
      <c r="BFA1" s="305"/>
      <c r="BFB1" s="305"/>
      <c r="BFC1" s="305"/>
      <c r="BFD1" s="305"/>
      <c r="BFE1" s="305"/>
      <c r="BFF1" s="305"/>
      <c r="BFG1" s="305"/>
      <c r="BFH1" s="305"/>
      <c r="BFI1" s="305"/>
      <c r="BFJ1" s="305"/>
      <c r="BFK1" s="305"/>
      <c r="BFL1" s="305"/>
      <c r="BFM1" s="305"/>
      <c r="BFN1" s="305"/>
      <c r="BFO1" s="305"/>
      <c r="BFP1" s="305"/>
      <c r="BFQ1" s="305"/>
      <c r="BFR1" s="305"/>
      <c r="BFS1" s="305"/>
      <c r="BFT1" s="305"/>
      <c r="BFU1" s="305"/>
      <c r="BFV1" s="305"/>
      <c r="BFW1" s="305"/>
      <c r="BFX1" s="305"/>
      <c r="BFY1" s="305"/>
      <c r="BFZ1" s="305"/>
      <c r="BGA1" s="305"/>
      <c r="BGB1" s="305"/>
      <c r="BGC1" s="305"/>
      <c r="BGD1" s="305"/>
      <c r="BGE1" s="305"/>
      <c r="BGF1" s="305"/>
      <c r="BGG1" s="305"/>
      <c r="BGH1" s="305"/>
      <c r="BGI1" s="305"/>
      <c r="BGJ1" s="305"/>
      <c r="BGK1" s="305"/>
      <c r="BGL1" s="305"/>
      <c r="BGM1" s="305"/>
      <c r="BGN1" s="305"/>
      <c r="BGO1" s="305"/>
      <c r="BGP1" s="305"/>
      <c r="BGQ1" s="305"/>
      <c r="BGR1" s="305"/>
      <c r="BGS1" s="305"/>
      <c r="BGT1" s="305"/>
      <c r="BGU1" s="305"/>
      <c r="BGV1" s="305"/>
      <c r="BGW1" s="305"/>
      <c r="BGX1" s="305"/>
      <c r="BGY1" s="305"/>
      <c r="BGZ1" s="305"/>
      <c r="BHA1" s="305"/>
      <c r="BHB1" s="305"/>
      <c r="BHC1" s="305"/>
      <c r="BHD1" s="305"/>
      <c r="BHE1" s="305"/>
      <c r="BHF1" s="305"/>
      <c r="BHG1" s="305"/>
      <c r="BHH1" s="305"/>
      <c r="BHI1" s="305"/>
      <c r="BHJ1" s="305"/>
      <c r="BHK1" s="305"/>
      <c r="BHL1" s="305"/>
      <c r="BHM1" s="305"/>
      <c r="BHN1" s="305"/>
      <c r="BHO1" s="305"/>
      <c r="BHP1" s="305"/>
      <c r="BHQ1" s="305"/>
      <c r="BHR1" s="305"/>
      <c r="BHS1" s="305"/>
      <c r="BHT1" s="305"/>
      <c r="BHU1" s="305"/>
      <c r="BHV1" s="305"/>
      <c r="BHW1" s="305"/>
      <c r="BHX1" s="305"/>
      <c r="BHY1" s="305"/>
      <c r="BHZ1" s="305"/>
      <c r="BIA1" s="305"/>
      <c r="BIB1" s="305"/>
      <c r="BIC1" s="305"/>
      <c r="BID1" s="305"/>
      <c r="BIE1" s="305"/>
      <c r="BIF1" s="305"/>
      <c r="BIG1" s="305"/>
      <c r="BIH1" s="305"/>
      <c r="BII1" s="305"/>
      <c r="BIJ1" s="305"/>
      <c r="BIK1" s="305"/>
      <c r="BIL1" s="305"/>
      <c r="BIM1" s="305"/>
      <c r="BIN1" s="305"/>
      <c r="BIO1" s="305"/>
      <c r="BIP1" s="305"/>
      <c r="BIQ1" s="305"/>
      <c r="BIR1" s="305"/>
      <c r="BIS1" s="305"/>
      <c r="BIT1" s="305"/>
      <c r="BIU1" s="305"/>
      <c r="BIV1" s="305"/>
      <c r="BIW1" s="305"/>
      <c r="BIX1" s="305"/>
      <c r="BIY1" s="305"/>
      <c r="BIZ1" s="305"/>
      <c r="BJA1" s="305"/>
      <c r="BJB1" s="305"/>
      <c r="BJC1" s="305"/>
      <c r="BJD1" s="305"/>
      <c r="BJE1" s="305"/>
      <c r="BJF1" s="305"/>
      <c r="BJG1" s="305"/>
      <c r="BJH1" s="305"/>
      <c r="BJI1" s="305"/>
      <c r="BJJ1" s="305"/>
      <c r="BJK1" s="305"/>
      <c r="BJL1" s="305"/>
      <c r="BJM1" s="305"/>
      <c r="BJN1" s="305"/>
      <c r="BJO1" s="305"/>
      <c r="BJP1" s="305"/>
      <c r="BJQ1" s="305"/>
      <c r="BJR1" s="305"/>
      <c r="BJS1" s="305"/>
      <c r="BJT1" s="305"/>
      <c r="BJU1" s="305"/>
      <c r="BJV1" s="305"/>
      <c r="BJW1" s="305"/>
      <c r="BJX1" s="305"/>
      <c r="BJY1" s="305"/>
      <c r="BJZ1" s="305"/>
      <c r="BKA1" s="305"/>
      <c r="BKB1" s="305"/>
      <c r="BKC1" s="305"/>
      <c r="BKD1" s="305"/>
      <c r="BKE1" s="305"/>
      <c r="BKF1" s="305"/>
      <c r="BKG1" s="305"/>
      <c r="BKH1" s="305"/>
      <c r="BKI1" s="305"/>
      <c r="BKJ1" s="305"/>
      <c r="BKK1" s="305"/>
      <c r="BKL1" s="305"/>
      <c r="BKM1" s="305"/>
      <c r="BKN1" s="305"/>
      <c r="BKO1" s="305"/>
      <c r="BKP1" s="305"/>
      <c r="BKQ1" s="305"/>
      <c r="BKR1" s="305"/>
      <c r="BKS1" s="305"/>
      <c r="BKT1" s="305"/>
      <c r="BKU1" s="305"/>
      <c r="BKV1" s="305"/>
      <c r="BKW1" s="305"/>
      <c r="BKX1" s="305"/>
      <c r="BKY1" s="305"/>
      <c r="BKZ1" s="305"/>
      <c r="BLA1" s="305"/>
      <c r="BLB1" s="305"/>
      <c r="BLC1" s="305"/>
      <c r="BLD1" s="305"/>
      <c r="BLE1" s="305"/>
      <c r="BLF1" s="305"/>
      <c r="BLG1" s="305"/>
      <c r="BLH1" s="305"/>
      <c r="BLI1" s="305"/>
      <c r="BLJ1" s="305"/>
      <c r="BLK1" s="305"/>
      <c r="BLL1" s="305"/>
      <c r="BLM1" s="305"/>
      <c r="BLN1" s="305"/>
      <c r="BLO1" s="305"/>
      <c r="BLP1" s="305"/>
      <c r="BLQ1" s="305"/>
      <c r="BLR1" s="305"/>
      <c r="BLS1" s="305"/>
      <c r="BLT1" s="305"/>
      <c r="BLU1" s="305"/>
      <c r="BLV1" s="305"/>
      <c r="BLW1" s="305"/>
      <c r="BLX1" s="305"/>
      <c r="BLY1" s="305"/>
      <c r="BLZ1" s="305"/>
      <c r="BMA1" s="305"/>
      <c r="BMB1" s="305"/>
      <c r="BMC1" s="305"/>
      <c r="BMD1" s="305"/>
      <c r="BME1" s="305"/>
      <c r="BMF1" s="305"/>
      <c r="BMG1" s="305"/>
      <c r="BMH1" s="305"/>
      <c r="BMI1" s="305"/>
      <c r="BMJ1" s="305"/>
      <c r="BMK1" s="305"/>
      <c r="BML1" s="305"/>
      <c r="BMM1" s="305"/>
      <c r="BMN1" s="305"/>
      <c r="BMO1" s="305"/>
      <c r="BMP1" s="305"/>
      <c r="BMQ1" s="305"/>
      <c r="BMR1" s="305"/>
      <c r="BMS1" s="305"/>
      <c r="BMT1" s="305"/>
      <c r="BMU1" s="305"/>
      <c r="BMV1" s="305"/>
      <c r="BMW1" s="305"/>
      <c r="BMX1" s="305"/>
      <c r="BMY1" s="305"/>
      <c r="BMZ1" s="305"/>
      <c r="BNA1" s="305"/>
      <c r="BNB1" s="305"/>
      <c r="BNC1" s="305"/>
      <c r="BND1" s="305"/>
      <c r="BNE1" s="305"/>
      <c r="BNF1" s="305"/>
      <c r="BNG1" s="305"/>
      <c r="BNH1" s="305"/>
      <c r="BNI1" s="305"/>
      <c r="BNJ1" s="305"/>
      <c r="BNK1" s="305"/>
      <c r="BNL1" s="305"/>
      <c r="BNM1" s="305"/>
      <c r="BNN1" s="305"/>
      <c r="BNO1" s="305"/>
      <c r="BNP1" s="305"/>
      <c r="BNQ1" s="305"/>
      <c r="BNR1" s="305"/>
      <c r="BNS1" s="305"/>
      <c r="BNT1" s="305"/>
      <c r="BNU1" s="305"/>
      <c r="BNV1" s="305"/>
      <c r="BNW1" s="305"/>
      <c r="BNX1" s="305"/>
      <c r="BNY1" s="305"/>
      <c r="BNZ1" s="305"/>
      <c r="BOA1" s="305"/>
      <c r="BOB1" s="305"/>
      <c r="BOC1" s="305"/>
      <c r="BOD1" s="305"/>
      <c r="BOE1" s="305"/>
      <c r="BOF1" s="305"/>
      <c r="BOG1" s="305"/>
      <c r="BOH1" s="305"/>
      <c r="BOI1" s="305"/>
      <c r="BOJ1" s="305"/>
      <c r="BOK1" s="305"/>
      <c r="BOL1" s="305"/>
      <c r="BOM1" s="305"/>
      <c r="BON1" s="305"/>
      <c r="BOO1" s="305"/>
      <c r="BOP1" s="305"/>
      <c r="BOQ1" s="305"/>
      <c r="BOR1" s="305"/>
      <c r="BOS1" s="305"/>
      <c r="BOT1" s="305"/>
      <c r="BOU1" s="305"/>
      <c r="BOV1" s="305"/>
      <c r="BOW1" s="305"/>
      <c r="BOX1" s="305"/>
      <c r="BOY1" s="305"/>
      <c r="BOZ1" s="305"/>
      <c r="BPA1" s="305"/>
      <c r="BPB1" s="305"/>
      <c r="BPC1" s="305"/>
      <c r="BPD1" s="305"/>
      <c r="BPE1" s="305"/>
      <c r="BPF1" s="305"/>
      <c r="BPG1" s="305"/>
      <c r="BPH1" s="305"/>
      <c r="BPI1" s="305"/>
      <c r="BPJ1" s="305"/>
      <c r="BPK1" s="305"/>
      <c r="BPL1" s="305"/>
      <c r="BPM1" s="305"/>
      <c r="BPN1" s="305"/>
      <c r="BPO1" s="305"/>
      <c r="BPP1" s="305"/>
      <c r="BPQ1" s="305"/>
      <c r="BPR1" s="305"/>
      <c r="BPS1" s="305"/>
      <c r="BPT1" s="305"/>
      <c r="BPU1" s="305"/>
      <c r="BPV1" s="305"/>
      <c r="BPW1" s="305"/>
      <c r="BPX1" s="305"/>
      <c r="BPY1" s="305"/>
      <c r="BPZ1" s="305"/>
      <c r="BQA1" s="305"/>
      <c r="BQB1" s="305"/>
      <c r="BQC1" s="305"/>
      <c r="BQD1" s="305"/>
      <c r="BQE1" s="305"/>
      <c r="BQF1" s="305"/>
      <c r="BQG1" s="305"/>
      <c r="BQH1" s="305"/>
      <c r="BQI1" s="305"/>
      <c r="BQJ1" s="305"/>
      <c r="BQK1" s="305"/>
      <c r="BQL1" s="305"/>
      <c r="BQM1" s="305"/>
      <c r="BQN1" s="305"/>
      <c r="BQO1" s="305"/>
      <c r="BQP1" s="305"/>
      <c r="BQQ1" s="305"/>
      <c r="BQR1" s="305"/>
      <c r="BQS1" s="305"/>
      <c r="BQT1" s="305"/>
      <c r="BQU1" s="305"/>
      <c r="BQV1" s="305"/>
      <c r="BQW1" s="305"/>
      <c r="BQX1" s="305"/>
      <c r="BQY1" s="305"/>
      <c r="BQZ1" s="305"/>
      <c r="BRA1" s="305"/>
      <c r="BRB1" s="305"/>
      <c r="BRC1" s="305"/>
      <c r="BRD1" s="305"/>
      <c r="BRE1" s="305"/>
      <c r="BRF1" s="305"/>
      <c r="BRG1" s="305"/>
      <c r="BRH1" s="305"/>
      <c r="BRI1" s="305"/>
      <c r="BRJ1" s="305"/>
      <c r="BRK1" s="305"/>
      <c r="BRL1" s="305"/>
      <c r="BRM1" s="305"/>
      <c r="BRN1" s="305"/>
      <c r="BRO1" s="305"/>
      <c r="BRP1" s="305"/>
      <c r="BRQ1" s="305"/>
      <c r="BRR1" s="305"/>
      <c r="BRS1" s="305"/>
      <c r="BRT1" s="305"/>
      <c r="BRU1" s="305"/>
      <c r="BRV1" s="305"/>
      <c r="BRW1" s="305"/>
      <c r="BRX1" s="305"/>
      <c r="BRY1" s="305"/>
      <c r="BRZ1" s="305"/>
      <c r="BSA1" s="305"/>
      <c r="BSB1" s="305"/>
      <c r="BSC1" s="305"/>
      <c r="BSD1" s="305"/>
      <c r="BSE1" s="305"/>
      <c r="BSF1" s="305"/>
      <c r="BSG1" s="305"/>
      <c r="BSH1" s="305"/>
      <c r="BSI1" s="305"/>
      <c r="BSJ1" s="305"/>
      <c r="BSK1" s="305"/>
      <c r="BSL1" s="305"/>
      <c r="BSM1" s="305"/>
      <c r="BSN1" s="305"/>
      <c r="BSO1" s="305"/>
      <c r="BSP1" s="305"/>
      <c r="BSQ1" s="305"/>
      <c r="BSR1" s="305"/>
      <c r="BSS1" s="305"/>
      <c r="BST1" s="305"/>
      <c r="BSU1" s="305"/>
      <c r="BSV1" s="305"/>
      <c r="BSW1" s="305"/>
      <c r="BSX1" s="305"/>
      <c r="BSY1" s="305"/>
      <c r="BSZ1" s="305"/>
      <c r="BTA1" s="305"/>
      <c r="BTB1" s="305"/>
      <c r="BTC1" s="305"/>
      <c r="BTD1" s="305"/>
      <c r="BTE1" s="305"/>
      <c r="BTF1" s="305"/>
      <c r="BTG1" s="305"/>
      <c r="BTH1" s="305"/>
      <c r="BTI1" s="305"/>
      <c r="BTJ1" s="305"/>
      <c r="BTK1" s="305"/>
      <c r="BTL1" s="305"/>
      <c r="BTM1" s="305"/>
      <c r="BTN1" s="305"/>
      <c r="BTO1" s="305"/>
      <c r="BTP1" s="305"/>
      <c r="BTQ1" s="305"/>
      <c r="BTR1" s="305"/>
      <c r="BTS1" s="305"/>
      <c r="BTT1" s="305"/>
      <c r="BTU1" s="305"/>
      <c r="BTV1" s="305"/>
      <c r="BTW1" s="305"/>
      <c r="BTX1" s="305"/>
      <c r="BTY1" s="305"/>
      <c r="BTZ1" s="305"/>
      <c r="BUA1" s="305"/>
      <c r="BUB1" s="305"/>
      <c r="BUC1" s="305"/>
      <c r="BUD1" s="305"/>
      <c r="BUE1" s="305"/>
      <c r="BUF1" s="305"/>
      <c r="BUG1" s="305"/>
      <c r="BUH1" s="305"/>
      <c r="BUI1" s="305"/>
      <c r="BUJ1" s="305"/>
      <c r="BUK1" s="305"/>
      <c r="BUL1" s="305"/>
      <c r="BUM1" s="305"/>
      <c r="BUN1" s="305"/>
      <c r="BUO1" s="305"/>
      <c r="BUP1" s="305"/>
      <c r="BUQ1" s="305"/>
      <c r="BUR1" s="305"/>
      <c r="BUS1" s="305"/>
      <c r="BUT1" s="305"/>
      <c r="BUU1" s="305"/>
      <c r="BUV1" s="305"/>
      <c r="BUW1" s="305"/>
      <c r="BUX1" s="305"/>
      <c r="BUY1" s="305"/>
      <c r="BUZ1" s="305"/>
      <c r="BVA1" s="305"/>
      <c r="BVB1" s="305"/>
      <c r="BVC1" s="305"/>
      <c r="BVD1" s="305"/>
      <c r="BVE1" s="305"/>
      <c r="BVF1" s="305"/>
      <c r="BVG1" s="305"/>
      <c r="BVH1" s="305"/>
      <c r="BVI1" s="305"/>
      <c r="BVJ1" s="305"/>
      <c r="BVK1" s="305"/>
      <c r="BVL1" s="305"/>
      <c r="BVM1" s="305"/>
      <c r="BVN1" s="305"/>
      <c r="BVO1" s="305"/>
      <c r="BVP1" s="305"/>
      <c r="BVQ1" s="305"/>
      <c r="BVR1" s="305"/>
      <c r="BVS1" s="305"/>
      <c r="BVT1" s="305"/>
      <c r="BVU1" s="305"/>
      <c r="BVV1" s="305"/>
      <c r="BVW1" s="305"/>
      <c r="BVX1" s="305"/>
      <c r="BVY1" s="305"/>
      <c r="BVZ1" s="305"/>
      <c r="BWA1" s="305"/>
      <c r="BWB1" s="305"/>
      <c r="BWC1" s="305"/>
      <c r="BWD1" s="305"/>
      <c r="BWE1" s="305"/>
      <c r="BWF1" s="305"/>
      <c r="BWG1" s="305"/>
      <c r="BWH1" s="305"/>
      <c r="BWI1" s="305"/>
      <c r="BWJ1" s="305"/>
      <c r="BWK1" s="305"/>
      <c r="BWL1" s="305"/>
      <c r="BWM1" s="305"/>
      <c r="BWN1" s="305"/>
      <c r="BWO1" s="305"/>
      <c r="BWP1" s="305"/>
      <c r="BWQ1" s="305"/>
      <c r="BWR1" s="305"/>
      <c r="BWS1" s="305"/>
      <c r="BWT1" s="305"/>
      <c r="BWU1" s="305"/>
      <c r="BWV1" s="305"/>
      <c r="BWW1" s="305"/>
      <c r="BWX1" s="305"/>
      <c r="BWY1" s="305"/>
      <c r="BWZ1" s="305"/>
      <c r="BXA1" s="305"/>
      <c r="BXB1" s="305"/>
      <c r="BXC1" s="305"/>
      <c r="BXD1" s="305"/>
      <c r="BXE1" s="305"/>
      <c r="BXF1" s="305"/>
      <c r="BXG1" s="305"/>
      <c r="BXH1" s="305"/>
      <c r="BXI1" s="305"/>
      <c r="BXJ1" s="305"/>
      <c r="BXK1" s="305"/>
      <c r="BXL1" s="305"/>
      <c r="BXM1" s="305"/>
      <c r="BXN1" s="305"/>
      <c r="BXO1" s="305"/>
      <c r="BXP1" s="305"/>
      <c r="BXQ1" s="305"/>
      <c r="BXR1" s="305"/>
      <c r="BXS1" s="305"/>
      <c r="BXT1" s="305"/>
      <c r="BXU1" s="305"/>
      <c r="BXV1" s="305"/>
      <c r="BXW1" s="305"/>
      <c r="BXX1" s="305"/>
      <c r="BXY1" s="305"/>
      <c r="BXZ1" s="305"/>
      <c r="BYA1" s="305"/>
      <c r="BYB1" s="305"/>
      <c r="BYC1" s="305"/>
      <c r="BYD1" s="305"/>
      <c r="BYE1" s="305"/>
      <c r="BYF1" s="305"/>
      <c r="BYG1" s="305"/>
      <c r="BYH1" s="305"/>
      <c r="BYI1" s="305"/>
      <c r="BYJ1" s="305"/>
      <c r="BYK1" s="305"/>
      <c r="BYL1" s="305"/>
      <c r="BYM1" s="305"/>
      <c r="BYN1" s="305"/>
      <c r="BYO1" s="305"/>
      <c r="BYP1" s="305"/>
      <c r="BYQ1" s="305"/>
      <c r="BYR1" s="305"/>
      <c r="BYS1" s="305"/>
      <c r="BYT1" s="305"/>
      <c r="BYU1" s="305"/>
      <c r="BYV1" s="305"/>
      <c r="BYW1" s="305"/>
      <c r="BYX1" s="305"/>
      <c r="BYY1" s="305"/>
      <c r="BYZ1" s="305"/>
      <c r="BZA1" s="305"/>
      <c r="BZB1" s="305"/>
      <c r="BZC1" s="305"/>
      <c r="BZD1" s="305"/>
      <c r="BZE1" s="305"/>
      <c r="BZF1" s="305"/>
      <c r="BZG1" s="305"/>
      <c r="BZH1" s="305"/>
      <c r="BZI1" s="305"/>
      <c r="BZJ1" s="305"/>
      <c r="BZK1" s="305"/>
      <c r="BZL1" s="305"/>
      <c r="BZM1" s="305"/>
      <c r="BZN1" s="305"/>
      <c r="BZO1" s="305"/>
      <c r="BZP1" s="305"/>
      <c r="BZQ1" s="305"/>
      <c r="BZR1" s="305"/>
      <c r="BZS1" s="305"/>
      <c r="BZT1" s="305"/>
      <c r="BZU1" s="305"/>
      <c r="BZV1" s="305"/>
      <c r="BZW1" s="305"/>
      <c r="BZX1" s="305"/>
      <c r="BZY1" s="305"/>
      <c r="BZZ1" s="305"/>
      <c r="CAA1" s="305"/>
      <c r="CAB1" s="305"/>
      <c r="CAC1" s="305"/>
      <c r="CAD1" s="305"/>
      <c r="CAE1" s="305"/>
      <c r="CAF1" s="305"/>
      <c r="CAG1" s="305"/>
      <c r="CAH1" s="305"/>
      <c r="CAI1" s="305"/>
      <c r="CAJ1" s="305"/>
      <c r="CAK1" s="305"/>
      <c r="CAL1" s="305"/>
      <c r="CAM1" s="305"/>
      <c r="CAN1" s="305"/>
      <c r="CAO1" s="305"/>
      <c r="CAP1" s="305"/>
      <c r="CAQ1" s="305"/>
      <c r="CAR1" s="305"/>
      <c r="CAS1" s="305"/>
      <c r="CAT1" s="305"/>
      <c r="CAU1" s="305"/>
      <c r="CAV1" s="305"/>
      <c r="CAW1" s="305"/>
      <c r="CAX1" s="305"/>
      <c r="CAY1" s="305"/>
      <c r="CAZ1" s="305"/>
      <c r="CBA1" s="305"/>
      <c r="CBB1" s="305"/>
      <c r="CBC1" s="305"/>
      <c r="CBD1" s="305"/>
      <c r="CBE1" s="305"/>
      <c r="CBF1" s="305"/>
      <c r="CBG1" s="305"/>
      <c r="CBH1" s="305"/>
      <c r="CBI1" s="305"/>
      <c r="CBJ1" s="305"/>
      <c r="CBK1" s="305"/>
      <c r="CBL1" s="305"/>
      <c r="CBM1" s="305"/>
      <c r="CBN1" s="305"/>
      <c r="CBO1" s="305"/>
      <c r="CBP1" s="305"/>
      <c r="CBQ1" s="305"/>
      <c r="CBR1" s="305"/>
      <c r="CBS1" s="305"/>
      <c r="CBT1" s="305"/>
      <c r="CBU1" s="305"/>
      <c r="CBV1" s="305"/>
      <c r="CBW1" s="305"/>
      <c r="CBX1" s="305"/>
      <c r="CBY1" s="305"/>
      <c r="CBZ1" s="305"/>
      <c r="CCA1" s="305"/>
      <c r="CCB1" s="305"/>
      <c r="CCC1" s="305"/>
      <c r="CCD1" s="305"/>
      <c r="CCE1" s="305"/>
      <c r="CCF1" s="305"/>
      <c r="CCG1" s="305"/>
      <c r="CCH1" s="305"/>
      <c r="CCI1" s="305"/>
      <c r="CCJ1" s="305"/>
      <c r="CCK1" s="305"/>
      <c r="CCL1" s="305"/>
      <c r="CCM1" s="305"/>
      <c r="CCN1" s="305"/>
      <c r="CCO1" s="305"/>
      <c r="CCP1" s="305"/>
      <c r="CCQ1" s="305"/>
      <c r="CCR1" s="305"/>
      <c r="CCS1" s="305"/>
      <c r="CCT1" s="305"/>
      <c r="CCU1" s="305"/>
      <c r="CCV1" s="305"/>
      <c r="CCW1" s="305"/>
      <c r="CCX1" s="305"/>
      <c r="CCY1" s="305"/>
      <c r="CCZ1" s="305"/>
      <c r="CDA1" s="305"/>
      <c r="CDB1" s="305"/>
      <c r="CDC1" s="305"/>
      <c r="CDD1" s="305"/>
      <c r="CDE1" s="305"/>
      <c r="CDF1" s="305"/>
      <c r="CDG1" s="305"/>
      <c r="CDH1" s="305"/>
      <c r="CDI1" s="305"/>
      <c r="CDJ1" s="305"/>
      <c r="CDK1" s="305"/>
      <c r="CDL1" s="305"/>
      <c r="CDM1" s="305"/>
      <c r="CDN1" s="305"/>
      <c r="CDO1" s="305"/>
      <c r="CDP1" s="305"/>
      <c r="CDQ1" s="305"/>
      <c r="CDR1" s="305"/>
      <c r="CDS1" s="305"/>
      <c r="CDT1" s="305"/>
      <c r="CDU1" s="305"/>
      <c r="CDV1" s="305"/>
      <c r="CDW1" s="305"/>
      <c r="CDX1" s="305"/>
      <c r="CDY1" s="305"/>
      <c r="CDZ1" s="305"/>
      <c r="CEA1" s="305"/>
      <c r="CEB1" s="305"/>
      <c r="CEC1" s="305"/>
      <c r="CED1" s="305"/>
      <c r="CEE1" s="305"/>
      <c r="CEF1" s="305"/>
      <c r="CEG1" s="305"/>
      <c r="CEH1" s="305"/>
      <c r="CEI1" s="305"/>
      <c r="CEJ1" s="305"/>
      <c r="CEK1" s="305"/>
      <c r="CEL1" s="305"/>
      <c r="CEM1" s="305"/>
      <c r="CEN1" s="305"/>
      <c r="CEO1" s="305"/>
      <c r="CEP1" s="305"/>
      <c r="CEQ1" s="305"/>
      <c r="CER1" s="305"/>
      <c r="CES1" s="305"/>
      <c r="CET1" s="305"/>
      <c r="CEU1" s="305"/>
      <c r="CEV1" s="305"/>
      <c r="CEW1" s="305"/>
      <c r="CEX1" s="305"/>
      <c r="CEY1" s="305"/>
      <c r="CEZ1" s="305"/>
      <c r="CFA1" s="305"/>
      <c r="CFB1" s="305"/>
      <c r="CFC1" s="305"/>
      <c r="CFD1" s="305"/>
      <c r="CFE1" s="305"/>
      <c r="CFF1" s="305"/>
      <c r="CFG1" s="305"/>
      <c r="CFH1" s="305"/>
      <c r="CFI1" s="305"/>
      <c r="CFJ1" s="305"/>
      <c r="CFK1" s="305"/>
      <c r="CFL1" s="305"/>
      <c r="CFM1" s="305"/>
      <c r="CFN1" s="305"/>
      <c r="CFO1" s="305"/>
      <c r="CFP1" s="305"/>
      <c r="CFQ1" s="305"/>
      <c r="CFR1" s="305"/>
      <c r="CFS1" s="305"/>
      <c r="CFT1" s="305"/>
      <c r="CFU1" s="305"/>
      <c r="CFV1" s="305"/>
      <c r="CFW1" s="305"/>
      <c r="CFX1" s="305"/>
      <c r="CFY1" s="305"/>
      <c r="CFZ1" s="305"/>
      <c r="CGA1" s="305"/>
      <c r="CGB1" s="305"/>
      <c r="CGC1" s="305"/>
      <c r="CGD1" s="305"/>
      <c r="CGE1" s="305"/>
      <c r="CGF1" s="305"/>
      <c r="CGG1" s="305"/>
      <c r="CGH1" s="305"/>
      <c r="CGI1" s="305"/>
      <c r="CGJ1" s="305"/>
      <c r="CGK1" s="305"/>
      <c r="CGL1" s="305"/>
      <c r="CGM1" s="305"/>
      <c r="CGN1" s="305"/>
      <c r="CGO1" s="305"/>
      <c r="CGP1" s="305"/>
      <c r="CGQ1" s="305"/>
      <c r="CGR1" s="305"/>
      <c r="CGS1" s="305"/>
      <c r="CGT1" s="305"/>
      <c r="CGU1" s="305"/>
      <c r="CGV1" s="305"/>
      <c r="CGW1" s="305"/>
      <c r="CGX1" s="305"/>
      <c r="CGY1" s="305"/>
      <c r="CGZ1" s="305"/>
      <c r="CHA1" s="305"/>
      <c r="CHB1" s="305"/>
      <c r="CHC1" s="305"/>
      <c r="CHD1" s="305"/>
      <c r="CHE1" s="305"/>
      <c r="CHF1" s="305"/>
      <c r="CHG1" s="305"/>
      <c r="CHH1" s="305"/>
      <c r="CHI1" s="305"/>
      <c r="CHJ1" s="305"/>
      <c r="CHK1" s="305"/>
      <c r="CHL1" s="305"/>
      <c r="CHM1" s="305"/>
      <c r="CHN1" s="305"/>
      <c r="CHO1" s="305"/>
      <c r="CHP1" s="305"/>
      <c r="CHQ1" s="305"/>
      <c r="CHR1" s="305"/>
      <c r="CHS1" s="305"/>
      <c r="CHT1" s="305"/>
      <c r="CHU1" s="305"/>
      <c r="CHV1" s="305"/>
      <c r="CHW1" s="305"/>
      <c r="CHX1" s="305"/>
      <c r="CHY1" s="305"/>
      <c r="CHZ1" s="305"/>
      <c r="CIA1" s="305"/>
      <c r="CIB1" s="305"/>
      <c r="CIC1" s="305"/>
      <c r="CID1" s="305"/>
      <c r="CIE1" s="305"/>
      <c r="CIF1" s="305"/>
      <c r="CIG1" s="305"/>
      <c r="CIH1" s="305"/>
      <c r="CII1" s="305"/>
      <c r="CIJ1" s="305"/>
      <c r="CIK1" s="305"/>
      <c r="CIL1" s="305"/>
      <c r="CIM1" s="305"/>
      <c r="CIN1" s="305"/>
      <c r="CIO1" s="305"/>
      <c r="CIP1" s="305"/>
      <c r="CIQ1" s="305"/>
      <c r="CIR1" s="305"/>
      <c r="CIS1" s="305"/>
      <c r="CIT1" s="305"/>
      <c r="CIU1" s="305"/>
      <c r="CIV1" s="305"/>
      <c r="CIW1" s="305"/>
      <c r="CIX1" s="305"/>
      <c r="CIY1" s="305"/>
      <c r="CIZ1" s="305"/>
      <c r="CJA1" s="305"/>
      <c r="CJB1" s="305"/>
      <c r="CJC1" s="305"/>
      <c r="CJD1" s="305"/>
      <c r="CJE1" s="305"/>
      <c r="CJF1" s="305"/>
      <c r="CJG1" s="305"/>
      <c r="CJH1" s="305"/>
      <c r="CJI1" s="305"/>
      <c r="CJJ1" s="305"/>
      <c r="CJK1" s="305"/>
      <c r="CJL1" s="305"/>
      <c r="CJM1" s="305"/>
      <c r="CJN1" s="305"/>
      <c r="CJO1" s="305"/>
      <c r="CJP1" s="305"/>
      <c r="CJQ1" s="305"/>
      <c r="CJR1" s="305"/>
      <c r="CJS1" s="305"/>
      <c r="CJT1" s="305"/>
      <c r="CJU1" s="305"/>
      <c r="CJV1" s="305"/>
      <c r="CJW1" s="305"/>
      <c r="CJX1" s="305"/>
      <c r="CJY1" s="305"/>
      <c r="CJZ1" s="305"/>
      <c r="CKA1" s="305"/>
      <c r="CKB1" s="305"/>
      <c r="CKC1" s="305"/>
      <c r="CKD1" s="305"/>
      <c r="CKE1" s="305"/>
      <c r="CKF1" s="305"/>
      <c r="CKG1" s="305"/>
      <c r="CKH1" s="305"/>
      <c r="CKI1" s="305"/>
      <c r="CKJ1" s="305"/>
      <c r="CKK1" s="305"/>
      <c r="CKL1" s="305"/>
      <c r="CKM1" s="305"/>
      <c r="CKN1" s="305"/>
      <c r="CKO1" s="305"/>
      <c r="CKP1" s="305"/>
      <c r="CKQ1" s="305"/>
      <c r="CKR1" s="305"/>
      <c r="CKS1" s="305"/>
      <c r="CKT1" s="305"/>
      <c r="CKU1" s="305"/>
      <c r="CKV1" s="305"/>
      <c r="CKW1" s="305"/>
      <c r="CKX1" s="305"/>
      <c r="CKY1" s="305"/>
      <c r="CKZ1" s="305"/>
      <c r="CLA1" s="305"/>
      <c r="CLB1" s="305"/>
      <c r="CLC1" s="305"/>
      <c r="CLD1" s="305"/>
      <c r="CLE1" s="305"/>
      <c r="CLF1" s="305"/>
      <c r="CLG1" s="305"/>
      <c r="CLH1" s="305"/>
      <c r="CLI1" s="305"/>
      <c r="CLJ1" s="305"/>
      <c r="CLK1" s="305"/>
      <c r="CLL1" s="305"/>
      <c r="CLM1" s="305"/>
      <c r="CLN1" s="305"/>
      <c r="CLO1" s="305"/>
      <c r="CLP1" s="305"/>
      <c r="CLQ1" s="305"/>
      <c r="CLR1" s="305"/>
      <c r="CLS1" s="305"/>
      <c r="CLT1" s="305"/>
      <c r="CLU1" s="305"/>
      <c r="CLV1" s="305"/>
      <c r="CLW1" s="305"/>
      <c r="CLX1" s="305"/>
      <c r="CLY1" s="305"/>
      <c r="CLZ1" s="305"/>
      <c r="CMA1" s="305"/>
      <c r="CMB1" s="305"/>
      <c r="CMC1" s="305"/>
      <c r="CMD1" s="305"/>
      <c r="CME1" s="305"/>
      <c r="CMF1" s="305"/>
      <c r="CMG1" s="305"/>
      <c r="CMH1" s="305"/>
      <c r="CMI1" s="305"/>
      <c r="CMJ1" s="305"/>
      <c r="CMK1" s="305"/>
      <c r="CML1" s="305"/>
      <c r="CMM1" s="305"/>
      <c r="CMN1" s="305"/>
      <c r="CMO1" s="305"/>
      <c r="CMP1" s="305"/>
      <c r="CMQ1" s="305"/>
      <c r="CMR1" s="305"/>
      <c r="CMS1" s="305"/>
      <c r="CMT1" s="305"/>
      <c r="CMU1" s="305"/>
      <c r="CMV1" s="305"/>
      <c r="CMW1" s="305"/>
      <c r="CMX1" s="305"/>
      <c r="CMY1" s="305"/>
      <c r="CMZ1" s="305"/>
      <c r="CNA1" s="305"/>
      <c r="CNB1" s="305"/>
      <c r="CNC1" s="305"/>
      <c r="CND1" s="305"/>
      <c r="CNE1" s="305"/>
      <c r="CNF1" s="305"/>
      <c r="CNG1" s="305"/>
      <c r="CNH1" s="305"/>
      <c r="CNI1" s="305"/>
      <c r="CNJ1" s="305"/>
      <c r="CNK1" s="305"/>
      <c r="CNL1" s="305"/>
      <c r="CNM1" s="305"/>
      <c r="CNN1" s="305"/>
      <c r="CNO1" s="305"/>
      <c r="CNP1" s="305"/>
      <c r="CNQ1" s="305"/>
      <c r="CNR1" s="305"/>
      <c r="CNS1" s="305"/>
      <c r="CNT1" s="305"/>
      <c r="CNU1" s="305"/>
      <c r="CNV1" s="305"/>
      <c r="CNW1" s="305"/>
      <c r="CNX1" s="305"/>
      <c r="CNY1" s="305"/>
      <c r="CNZ1" s="305"/>
      <c r="COA1" s="305"/>
      <c r="COB1" s="305"/>
      <c r="COC1" s="305"/>
      <c r="COD1" s="305"/>
      <c r="COE1" s="305"/>
      <c r="COF1" s="305"/>
      <c r="COG1" s="305"/>
      <c r="COH1" s="305"/>
      <c r="COI1" s="305"/>
      <c r="COJ1" s="305"/>
      <c r="COK1" s="305"/>
      <c r="COL1" s="305"/>
      <c r="COM1" s="305"/>
      <c r="CON1" s="305"/>
      <c r="COO1" s="305"/>
      <c r="COP1" s="305"/>
      <c r="COQ1" s="305"/>
      <c r="COR1" s="305"/>
      <c r="COS1" s="305"/>
      <c r="COT1" s="305"/>
      <c r="COU1" s="305"/>
      <c r="COV1" s="305"/>
      <c r="COW1" s="305"/>
      <c r="COX1" s="305"/>
      <c r="COY1" s="305"/>
      <c r="COZ1" s="305"/>
      <c r="CPA1" s="305"/>
      <c r="CPB1" s="305"/>
      <c r="CPC1" s="305"/>
      <c r="CPD1" s="305"/>
      <c r="CPE1" s="305"/>
      <c r="CPF1" s="305"/>
      <c r="CPG1" s="305"/>
      <c r="CPH1" s="305"/>
      <c r="CPI1" s="305"/>
      <c r="CPJ1" s="305"/>
      <c r="CPK1" s="305"/>
      <c r="CPL1" s="305"/>
      <c r="CPM1" s="305"/>
      <c r="CPN1" s="305"/>
      <c r="CPO1" s="305"/>
      <c r="CPP1" s="305"/>
      <c r="CPQ1" s="305"/>
      <c r="CPR1" s="305"/>
      <c r="CPS1" s="305"/>
      <c r="CPT1" s="305"/>
      <c r="CPU1" s="305"/>
      <c r="CPV1" s="305"/>
      <c r="CPW1" s="305"/>
      <c r="CPX1" s="305"/>
      <c r="CPY1" s="305"/>
      <c r="CPZ1" s="305"/>
      <c r="CQA1" s="305"/>
      <c r="CQB1" s="305"/>
      <c r="CQC1" s="305"/>
      <c r="CQD1" s="305"/>
      <c r="CQE1" s="305"/>
      <c r="CQF1" s="305"/>
      <c r="CQG1" s="305"/>
      <c r="CQH1" s="305"/>
      <c r="CQI1" s="305"/>
      <c r="CQJ1" s="305"/>
      <c r="CQK1" s="305"/>
      <c r="CQL1" s="305"/>
      <c r="CQM1" s="305"/>
      <c r="CQN1" s="305"/>
      <c r="CQO1" s="305"/>
      <c r="CQP1" s="305"/>
      <c r="CQQ1" s="305"/>
      <c r="CQR1" s="305"/>
      <c r="CQS1" s="305"/>
      <c r="CQT1" s="305"/>
      <c r="CQU1" s="305"/>
      <c r="CQV1" s="305"/>
      <c r="CQW1" s="305"/>
      <c r="CQX1" s="305"/>
      <c r="CQY1" s="305"/>
      <c r="CQZ1" s="305"/>
      <c r="CRA1" s="305"/>
      <c r="CRB1" s="305"/>
      <c r="CRC1" s="305"/>
      <c r="CRD1" s="305"/>
      <c r="CRE1" s="305"/>
      <c r="CRF1" s="305"/>
      <c r="CRG1" s="305"/>
      <c r="CRH1" s="305"/>
      <c r="CRI1" s="305"/>
      <c r="CRJ1" s="305"/>
      <c r="CRK1" s="305"/>
      <c r="CRL1" s="305"/>
      <c r="CRM1" s="305"/>
      <c r="CRN1" s="305"/>
      <c r="CRO1" s="305"/>
      <c r="CRP1" s="305"/>
      <c r="CRQ1" s="305"/>
      <c r="CRR1" s="305"/>
      <c r="CRS1" s="305"/>
      <c r="CRT1" s="305"/>
      <c r="CRU1" s="305"/>
      <c r="CRV1" s="305"/>
      <c r="CRW1" s="305"/>
      <c r="CRX1" s="305"/>
      <c r="CRY1" s="305"/>
      <c r="CRZ1" s="305"/>
      <c r="CSA1" s="305"/>
      <c r="CSB1" s="305"/>
      <c r="CSC1" s="305"/>
      <c r="CSD1" s="305"/>
      <c r="CSE1" s="305"/>
      <c r="CSF1" s="305"/>
      <c r="CSG1" s="305"/>
      <c r="CSH1" s="305"/>
      <c r="CSI1" s="305"/>
      <c r="CSJ1" s="305"/>
      <c r="CSK1" s="305"/>
      <c r="CSL1" s="305"/>
      <c r="CSM1" s="305"/>
      <c r="CSN1" s="305"/>
      <c r="CSO1" s="305"/>
      <c r="CSP1" s="305"/>
      <c r="CSQ1" s="305"/>
      <c r="CSR1" s="305"/>
      <c r="CSS1" s="305"/>
      <c r="CST1" s="305"/>
      <c r="CSU1" s="305"/>
      <c r="CSV1" s="305"/>
      <c r="CSW1" s="305"/>
      <c r="CSX1" s="305"/>
      <c r="CSY1" s="305"/>
      <c r="CSZ1" s="305"/>
      <c r="CTA1" s="305"/>
      <c r="CTB1" s="305"/>
      <c r="CTC1" s="305"/>
      <c r="CTD1" s="305"/>
      <c r="CTE1" s="305"/>
      <c r="CTF1" s="305"/>
      <c r="CTG1" s="305"/>
      <c r="CTH1" s="305"/>
      <c r="CTI1" s="305"/>
      <c r="CTJ1" s="305"/>
      <c r="CTK1" s="305"/>
      <c r="CTL1" s="305"/>
      <c r="CTM1" s="305"/>
      <c r="CTN1" s="305"/>
      <c r="CTO1" s="305"/>
      <c r="CTP1" s="305"/>
      <c r="CTQ1" s="305"/>
      <c r="CTR1" s="305"/>
      <c r="CTS1" s="305"/>
      <c r="CTT1" s="305"/>
      <c r="CTU1" s="305"/>
      <c r="CTV1" s="305"/>
      <c r="CTW1" s="305"/>
      <c r="CTX1" s="305"/>
      <c r="CTY1" s="305"/>
      <c r="CTZ1" s="305"/>
      <c r="CUA1" s="305"/>
      <c r="CUB1" s="305"/>
      <c r="CUC1" s="305"/>
      <c r="CUD1" s="305"/>
      <c r="CUE1" s="305"/>
      <c r="CUF1" s="305"/>
      <c r="CUG1" s="305"/>
      <c r="CUH1" s="305"/>
      <c r="CUI1" s="305"/>
      <c r="CUJ1" s="305"/>
      <c r="CUK1" s="305"/>
      <c r="CUL1" s="305"/>
      <c r="CUM1" s="305"/>
      <c r="CUN1" s="305"/>
      <c r="CUO1" s="305"/>
      <c r="CUP1" s="305"/>
      <c r="CUQ1" s="305"/>
      <c r="CUR1" s="305"/>
      <c r="CUS1" s="305"/>
      <c r="CUT1" s="305"/>
      <c r="CUU1" s="305"/>
      <c r="CUV1" s="305"/>
      <c r="CUW1" s="305"/>
      <c r="CUX1" s="305"/>
      <c r="CUY1" s="305"/>
      <c r="CUZ1" s="305"/>
      <c r="CVA1" s="305"/>
      <c r="CVB1" s="305"/>
      <c r="CVC1" s="305"/>
      <c r="CVD1" s="305"/>
      <c r="CVE1" s="305"/>
      <c r="CVF1" s="305"/>
      <c r="CVG1" s="305"/>
      <c r="CVH1" s="305"/>
      <c r="CVI1" s="305"/>
      <c r="CVJ1" s="305"/>
      <c r="CVK1" s="305"/>
      <c r="CVL1" s="305"/>
      <c r="CVM1" s="305"/>
      <c r="CVN1" s="305"/>
      <c r="CVO1" s="305"/>
      <c r="CVP1" s="305"/>
      <c r="CVQ1" s="305"/>
      <c r="CVR1" s="305"/>
      <c r="CVS1" s="305"/>
      <c r="CVT1" s="305"/>
      <c r="CVU1" s="305"/>
      <c r="CVV1" s="305"/>
      <c r="CVW1" s="305"/>
      <c r="CVX1" s="305"/>
      <c r="CVY1" s="305"/>
      <c r="CVZ1" s="305"/>
      <c r="CWA1" s="305"/>
      <c r="CWB1" s="305"/>
      <c r="CWC1" s="305"/>
      <c r="CWD1" s="305"/>
      <c r="CWE1" s="305"/>
      <c r="CWF1" s="305"/>
      <c r="CWG1" s="305"/>
      <c r="CWH1" s="305"/>
      <c r="CWI1" s="305"/>
      <c r="CWJ1" s="305"/>
      <c r="CWK1" s="305"/>
      <c r="CWL1" s="305"/>
      <c r="CWM1" s="305"/>
      <c r="CWN1" s="305"/>
      <c r="CWO1" s="305"/>
      <c r="CWP1" s="305"/>
      <c r="CWQ1" s="305"/>
      <c r="CWR1" s="305"/>
      <c r="CWS1" s="305"/>
      <c r="CWT1" s="305"/>
      <c r="CWU1" s="305"/>
      <c r="CWV1" s="305"/>
      <c r="CWW1" s="305"/>
      <c r="CWX1" s="305"/>
      <c r="CWY1" s="305"/>
      <c r="CWZ1" s="305"/>
      <c r="CXA1" s="305"/>
      <c r="CXB1" s="305"/>
      <c r="CXC1" s="305"/>
      <c r="CXD1" s="305"/>
      <c r="CXE1" s="305"/>
      <c r="CXF1" s="305"/>
      <c r="CXG1" s="305"/>
      <c r="CXH1" s="305"/>
      <c r="CXI1" s="305"/>
      <c r="CXJ1" s="305"/>
      <c r="CXK1" s="305"/>
      <c r="CXL1" s="305"/>
      <c r="CXM1" s="305"/>
      <c r="CXN1" s="305"/>
      <c r="CXO1" s="305"/>
      <c r="CXP1" s="305"/>
      <c r="CXQ1" s="305"/>
      <c r="CXR1" s="305"/>
      <c r="CXS1" s="305"/>
      <c r="CXT1" s="305"/>
      <c r="CXU1" s="305"/>
      <c r="CXV1" s="305"/>
      <c r="CXW1" s="305"/>
      <c r="CXX1" s="305"/>
      <c r="CXY1" s="305"/>
      <c r="CXZ1" s="305"/>
      <c r="CYA1" s="305"/>
      <c r="CYB1" s="305"/>
      <c r="CYC1" s="305"/>
      <c r="CYD1" s="305"/>
      <c r="CYE1" s="305"/>
      <c r="CYF1" s="305"/>
      <c r="CYG1" s="305"/>
      <c r="CYH1" s="305"/>
      <c r="CYI1" s="305"/>
      <c r="CYJ1" s="305"/>
      <c r="CYK1" s="305"/>
      <c r="CYL1" s="305"/>
      <c r="CYM1" s="305"/>
      <c r="CYN1" s="305"/>
      <c r="CYO1" s="305"/>
      <c r="CYP1" s="305"/>
      <c r="CYQ1" s="305"/>
      <c r="CYR1" s="305"/>
      <c r="CYS1" s="305"/>
      <c r="CYT1" s="305"/>
      <c r="CYU1" s="305"/>
      <c r="CYV1" s="305"/>
      <c r="CYW1" s="305"/>
      <c r="CYX1" s="305"/>
      <c r="CYY1" s="305"/>
      <c r="CYZ1" s="305"/>
      <c r="CZA1" s="305"/>
      <c r="CZB1" s="305"/>
      <c r="CZC1" s="305"/>
      <c r="CZD1" s="305"/>
      <c r="CZE1" s="305"/>
      <c r="CZF1" s="305"/>
      <c r="CZG1" s="305"/>
      <c r="CZH1" s="305"/>
      <c r="CZI1" s="305"/>
      <c r="CZJ1" s="305"/>
      <c r="CZK1" s="305"/>
      <c r="CZL1" s="305"/>
      <c r="CZM1" s="305"/>
      <c r="CZN1" s="305"/>
      <c r="CZO1" s="305"/>
      <c r="CZP1" s="305"/>
      <c r="CZQ1" s="305"/>
      <c r="CZR1" s="305"/>
      <c r="CZS1" s="305"/>
      <c r="CZT1" s="305"/>
      <c r="CZU1" s="305"/>
      <c r="CZV1" s="305"/>
      <c r="CZW1" s="305"/>
      <c r="CZX1" s="305"/>
      <c r="CZY1" s="305"/>
      <c r="CZZ1" s="305"/>
      <c r="DAA1" s="305"/>
      <c r="DAB1" s="305"/>
      <c r="DAC1" s="305"/>
      <c r="DAD1" s="305"/>
      <c r="DAE1" s="305"/>
      <c r="DAF1" s="305"/>
      <c r="DAG1" s="305"/>
      <c r="DAH1" s="305"/>
      <c r="DAI1" s="305"/>
      <c r="DAJ1" s="305"/>
      <c r="DAK1" s="305"/>
      <c r="DAL1" s="305"/>
      <c r="DAM1" s="305"/>
      <c r="DAN1" s="305"/>
      <c r="DAO1" s="305"/>
      <c r="DAP1" s="305"/>
      <c r="DAQ1" s="305"/>
      <c r="DAR1" s="305"/>
      <c r="DAS1" s="305"/>
      <c r="DAT1" s="305"/>
      <c r="DAU1" s="305"/>
      <c r="DAV1" s="305"/>
      <c r="DAW1" s="305"/>
      <c r="DAX1" s="305"/>
      <c r="DAY1" s="305"/>
      <c r="DAZ1" s="305"/>
      <c r="DBA1" s="305"/>
      <c r="DBB1" s="305"/>
      <c r="DBC1" s="305"/>
      <c r="DBD1" s="305"/>
      <c r="DBE1" s="305"/>
      <c r="DBF1" s="305"/>
      <c r="DBG1" s="305"/>
      <c r="DBH1" s="305"/>
      <c r="DBI1" s="305"/>
      <c r="DBJ1" s="305"/>
      <c r="DBK1" s="305"/>
      <c r="DBL1" s="305"/>
      <c r="DBM1" s="305"/>
      <c r="DBN1" s="305"/>
      <c r="DBO1" s="305"/>
      <c r="DBP1" s="305"/>
      <c r="DBQ1" s="305"/>
      <c r="DBR1" s="305"/>
      <c r="DBS1" s="305"/>
      <c r="DBT1" s="305"/>
      <c r="DBU1" s="305"/>
      <c r="DBV1" s="305"/>
      <c r="DBW1" s="305"/>
      <c r="DBX1" s="305"/>
      <c r="DBY1" s="305"/>
      <c r="DBZ1" s="305"/>
      <c r="DCA1" s="305"/>
      <c r="DCB1" s="305"/>
      <c r="DCC1" s="305"/>
      <c r="DCD1" s="305"/>
      <c r="DCE1" s="305"/>
      <c r="DCF1" s="305"/>
      <c r="DCG1" s="305"/>
      <c r="DCH1" s="305"/>
      <c r="DCI1" s="305"/>
      <c r="DCJ1" s="305"/>
      <c r="DCK1" s="305"/>
      <c r="DCL1" s="305"/>
      <c r="DCM1" s="305"/>
      <c r="DCN1" s="305"/>
      <c r="DCO1" s="305"/>
      <c r="DCP1" s="305"/>
      <c r="DCQ1" s="305"/>
      <c r="DCR1" s="305"/>
      <c r="DCS1" s="305"/>
      <c r="DCT1" s="305"/>
      <c r="DCU1" s="305"/>
      <c r="DCV1" s="305"/>
      <c r="DCW1" s="305"/>
      <c r="DCX1" s="305"/>
      <c r="DCY1" s="305"/>
      <c r="DCZ1" s="305"/>
      <c r="DDA1" s="305"/>
      <c r="DDB1" s="305"/>
      <c r="DDC1" s="305"/>
      <c r="DDD1" s="305"/>
      <c r="DDE1" s="305"/>
      <c r="DDF1" s="305"/>
      <c r="DDG1" s="305"/>
      <c r="DDH1" s="305"/>
      <c r="DDI1" s="305"/>
      <c r="DDJ1" s="305"/>
      <c r="DDK1" s="305"/>
      <c r="DDL1" s="305"/>
      <c r="DDM1" s="305"/>
      <c r="DDN1" s="305"/>
      <c r="DDO1" s="305"/>
      <c r="DDP1" s="305"/>
      <c r="DDQ1" s="305"/>
      <c r="DDR1" s="305"/>
      <c r="DDS1" s="305"/>
      <c r="DDT1" s="305"/>
      <c r="DDU1" s="305"/>
      <c r="DDV1" s="305"/>
      <c r="DDW1" s="305"/>
      <c r="DDX1" s="305"/>
      <c r="DDY1" s="305"/>
      <c r="DDZ1" s="305"/>
      <c r="DEA1" s="305"/>
      <c r="DEB1" s="305"/>
      <c r="DEC1" s="305"/>
      <c r="DED1" s="305"/>
      <c r="DEE1" s="305"/>
      <c r="DEF1" s="305"/>
      <c r="DEG1" s="305"/>
      <c r="DEH1" s="305"/>
      <c r="DEI1" s="305"/>
      <c r="DEJ1" s="305"/>
      <c r="DEK1" s="305"/>
      <c r="DEL1" s="305"/>
      <c r="DEM1" s="305"/>
      <c r="DEN1" s="305"/>
      <c r="DEO1" s="305"/>
      <c r="DEP1" s="305"/>
      <c r="DEQ1" s="305"/>
      <c r="DER1" s="305"/>
      <c r="DES1" s="305"/>
      <c r="DET1" s="305"/>
      <c r="DEU1" s="305"/>
      <c r="DEV1" s="305"/>
      <c r="DEW1" s="305"/>
      <c r="DEX1" s="305"/>
      <c r="DEY1" s="305"/>
      <c r="DEZ1" s="305"/>
      <c r="DFA1" s="305"/>
      <c r="DFB1" s="305"/>
      <c r="DFC1" s="305"/>
      <c r="DFD1" s="305"/>
      <c r="DFE1" s="305"/>
      <c r="DFF1" s="305"/>
      <c r="DFG1" s="305"/>
      <c r="DFH1" s="305"/>
      <c r="DFI1" s="305"/>
      <c r="DFJ1" s="305"/>
      <c r="DFK1" s="305"/>
      <c r="DFL1" s="305"/>
      <c r="DFM1" s="305"/>
      <c r="DFN1" s="305"/>
      <c r="DFO1" s="305"/>
      <c r="DFP1" s="305"/>
      <c r="DFQ1" s="305"/>
      <c r="DFR1" s="305"/>
      <c r="DFS1" s="305"/>
      <c r="DFT1" s="305"/>
      <c r="DFU1" s="305"/>
      <c r="DFV1" s="305"/>
      <c r="DFW1" s="305"/>
      <c r="DFX1" s="305"/>
      <c r="DFY1" s="305"/>
      <c r="DFZ1" s="305"/>
      <c r="DGA1" s="305"/>
      <c r="DGB1" s="305"/>
      <c r="DGC1" s="305"/>
      <c r="DGD1" s="305"/>
      <c r="DGE1" s="305"/>
      <c r="DGF1" s="305"/>
      <c r="DGG1" s="305"/>
      <c r="DGH1" s="305"/>
      <c r="DGI1" s="305"/>
      <c r="DGJ1" s="305"/>
      <c r="DGK1" s="305"/>
      <c r="DGL1" s="305"/>
      <c r="DGM1" s="305"/>
      <c r="DGN1" s="305"/>
      <c r="DGO1" s="305"/>
      <c r="DGP1" s="305"/>
      <c r="DGQ1" s="305"/>
      <c r="DGR1" s="305"/>
      <c r="DGS1" s="305"/>
      <c r="DGT1" s="305"/>
      <c r="DGU1" s="305"/>
      <c r="DGV1" s="305"/>
      <c r="DGW1" s="305"/>
      <c r="DGX1" s="305"/>
      <c r="DGY1" s="305"/>
      <c r="DGZ1" s="305"/>
      <c r="DHA1" s="305"/>
      <c r="DHB1" s="305"/>
      <c r="DHC1" s="305"/>
      <c r="DHD1" s="305"/>
      <c r="DHE1" s="305"/>
      <c r="DHF1" s="305"/>
      <c r="DHG1" s="305"/>
      <c r="DHH1" s="305"/>
      <c r="DHI1" s="305"/>
      <c r="DHJ1" s="305"/>
      <c r="DHK1" s="305"/>
      <c r="DHL1" s="305"/>
      <c r="DHM1" s="305"/>
      <c r="DHN1" s="305"/>
      <c r="DHO1" s="305"/>
      <c r="DHP1" s="305"/>
      <c r="DHQ1" s="305"/>
      <c r="DHR1" s="305"/>
      <c r="DHS1" s="305"/>
      <c r="DHT1" s="305"/>
      <c r="DHU1" s="305"/>
      <c r="DHV1" s="305"/>
      <c r="DHW1" s="305"/>
      <c r="DHX1" s="305"/>
      <c r="DHY1" s="305"/>
      <c r="DHZ1" s="305"/>
      <c r="DIA1" s="305"/>
      <c r="DIB1" s="305"/>
      <c r="DIC1" s="305"/>
      <c r="DID1" s="305"/>
      <c r="DIE1" s="305"/>
      <c r="DIF1" s="305"/>
      <c r="DIG1" s="305"/>
      <c r="DIH1" s="305"/>
      <c r="DII1" s="305"/>
      <c r="DIJ1" s="305"/>
      <c r="DIK1" s="305"/>
      <c r="DIL1" s="305"/>
      <c r="DIM1" s="305"/>
      <c r="DIN1" s="305"/>
      <c r="DIO1" s="305"/>
      <c r="DIP1" s="305"/>
      <c r="DIQ1" s="305"/>
      <c r="DIR1" s="305"/>
      <c r="DIS1" s="305"/>
      <c r="DIT1" s="305"/>
      <c r="DIU1" s="305"/>
      <c r="DIV1" s="305"/>
      <c r="DIW1" s="305"/>
      <c r="DIX1" s="305"/>
      <c r="DIY1" s="305"/>
      <c r="DIZ1" s="305"/>
      <c r="DJA1" s="305"/>
      <c r="DJB1" s="305"/>
      <c r="DJC1" s="305"/>
      <c r="DJD1" s="305"/>
      <c r="DJE1" s="305"/>
      <c r="DJF1" s="305"/>
      <c r="DJG1" s="305"/>
      <c r="DJH1" s="305"/>
      <c r="DJI1" s="305"/>
      <c r="DJJ1" s="305"/>
      <c r="DJK1" s="305"/>
      <c r="DJL1" s="305"/>
      <c r="DJM1" s="305"/>
      <c r="DJN1" s="305"/>
      <c r="DJO1" s="305"/>
      <c r="DJP1" s="305"/>
      <c r="DJQ1" s="305"/>
      <c r="DJR1" s="305"/>
      <c r="DJS1" s="305"/>
      <c r="DJT1" s="305"/>
      <c r="DJU1" s="305"/>
      <c r="DJV1" s="305"/>
      <c r="DJW1" s="305"/>
      <c r="DJX1" s="305"/>
      <c r="DJY1" s="305"/>
      <c r="DJZ1" s="305"/>
      <c r="DKA1" s="305"/>
      <c r="DKB1" s="305"/>
      <c r="DKC1" s="305"/>
      <c r="DKD1" s="305"/>
      <c r="DKE1" s="305"/>
      <c r="DKF1" s="305"/>
      <c r="DKG1" s="305"/>
      <c r="DKH1" s="305"/>
      <c r="DKI1" s="305"/>
      <c r="DKJ1" s="305"/>
      <c r="DKK1" s="305"/>
      <c r="DKL1" s="305"/>
      <c r="DKM1" s="305"/>
      <c r="DKN1" s="305"/>
      <c r="DKO1" s="305"/>
      <c r="DKP1" s="305"/>
      <c r="DKQ1" s="305"/>
      <c r="DKR1" s="305"/>
      <c r="DKS1" s="305"/>
      <c r="DKT1" s="305"/>
      <c r="DKU1" s="305"/>
      <c r="DKV1" s="305"/>
      <c r="DKW1" s="305"/>
      <c r="DKX1" s="305"/>
      <c r="DKY1" s="305"/>
      <c r="DKZ1" s="305"/>
      <c r="DLA1" s="305"/>
      <c r="DLB1" s="305"/>
      <c r="DLC1" s="305"/>
      <c r="DLD1" s="305"/>
      <c r="DLE1" s="305"/>
      <c r="DLF1" s="305"/>
      <c r="DLG1" s="305"/>
      <c r="DLH1" s="305"/>
      <c r="DLI1" s="305"/>
      <c r="DLJ1" s="305"/>
      <c r="DLK1" s="305"/>
      <c r="DLL1" s="305"/>
      <c r="DLM1" s="305"/>
      <c r="DLN1" s="305"/>
      <c r="DLO1" s="305"/>
      <c r="DLP1" s="305"/>
      <c r="DLQ1" s="305"/>
      <c r="DLR1" s="305"/>
      <c r="DLS1" s="305"/>
      <c r="DLT1" s="305"/>
      <c r="DLU1" s="305"/>
      <c r="DLV1" s="305"/>
      <c r="DLW1" s="305"/>
      <c r="DLX1" s="305"/>
      <c r="DLY1" s="305"/>
      <c r="DLZ1" s="305"/>
      <c r="DMA1" s="305"/>
      <c r="DMB1" s="305"/>
      <c r="DMC1" s="305"/>
      <c r="DMD1" s="305"/>
      <c r="DME1" s="305"/>
      <c r="DMF1" s="305"/>
      <c r="DMG1" s="305"/>
      <c r="DMH1" s="305"/>
      <c r="DMI1" s="305"/>
      <c r="DMJ1" s="305"/>
      <c r="DMK1" s="305"/>
      <c r="DML1" s="305"/>
      <c r="DMM1" s="305"/>
      <c r="DMN1" s="305"/>
      <c r="DMO1" s="305"/>
      <c r="DMP1" s="305"/>
      <c r="DMQ1" s="305"/>
      <c r="DMR1" s="305"/>
      <c r="DMS1" s="305"/>
      <c r="DMT1" s="305"/>
      <c r="DMU1" s="305"/>
      <c r="DMV1" s="305"/>
      <c r="DMW1" s="305"/>
      <c r="DMX1" s="305"/>
      <c r="DMY1" s="305"/>
      <c r="DMZ1" s="305"/>
      <c r="DNA1" s="305"/>
      <c r="DNB1" s="305"/>
      <c r="DNC1" s="305"/>
      <c r="DND1" s="305"/>
      <c r="DNE1" s="305"/>
      <c r="DNF1" s="305"/>
      <c r="DNG1" s="305"/>
      <c r="DNH1" s="305"/>
      <c r="DNI1" s="305"/>
      <c r="DNJ1" s="305"/>
      <c r="DNK1" s="305"/>
      <c r="DNL1" s="305"/>
      <c r="DNM1" s="305"/>
      <c r="DNN1" s="305"/>
      <c r="DNO1" s="305"/>
      <c r="DNP1" s="305"/>
      <c r="DNQ1" s="305"/>
      <c r="DNR1" s="305"/>
      <c r="DNS1" s="305"/>
      <c r="DNT1" s="305"/>
      <c r="DNU1" s="305"/>
      <c r="DNV1" s="305"/>
      <c r="DNW1" s="305"/>
      <c r="DNX1" s="305"/>
      <c r="DNY1" s="305"/>
      <c r="DNZ1" s="305"/>
      <c r="DOA1" s="305"/>
      <c r="DOB1" s="305"/>
      <c r="DOC1" s="305"/>
      <c r="DOD1" s="305"/>
      <c r="DOE1" s="305"/>
      <c r="DOF1" s="305"/>
      <c r="DOG1" s="305"/>
      <c r="DOH1" s="305"/>
      <c r="DOI1" s="305"/>
      <c r="DOJ1" s="305"/>
      <c r="DOK1" s="305"/>
      <c r="DOL1" s="305"/>
      <c r="DOM1" s="305"/>
      <c r="DON1" s="305"/>
      <c r="DOO1" s="305"/>
      <c r="DOP1" s="305"/>
      <c r="DOQ1" s="305"/>
      <c r="DOR1" s="305"/>
      <c r="DOS1" s="305"/>
      <c r="DOT1" s="305"/>
      <c r="DOU1" s="305"/>
      <c r="DOV1" s="305"/>
      <c r="DOW1" s="305"/>
      <c r="DOX1" s="305"/>
      <c r="DOY1" s="305"/>
      <c r="DOZ1" s="305"/>
      <c r="DPA1" s="305"/>
      <c r="DPB1" s="305"/>
      <c r="DPC1" s="305"/>
      <c r="DPD1" s="305"/>
      <c r="DPE1" s="305"/>
      <c r="DPF1" s="305"/>
      <c r="DPG1" s="305"/>
      <c r="DPH1" s="305"/>
      <c r="DPI1" s="305"/>
      <c r="DPJ1" s="305"/>
      <c r="DPK1" s="305"/>
      <c r="DPL1" s="305"/>
      <c r="DPM1" s="305"/>
      <c r="DPN1" s="305"/>
      <c r="DPO1" s="305"/>
      <c r="DPP1" s="305"/>
      <c r="DPQ1" s="305"/>
      <c r="DPR1" s="305"/>
      <c r="DPS1" s="305"/>
      <c r="DPT1" s="305"/>
      <c r="DPU1" s="305"/>
      <c r="DPV1" s="305"/>
      <c r="DPW1" s="305"/>
      <c r="DPX1" s="305"/>
      <c r="DPY1" s="305"/>
      <c r="DPZ1" s="305"/>
      <c r="DQA1" s="305"/>
      <c r="DQB1" s="305"/>
      <c r="DQC1" s="305"/>
      <c r="DQD1" s="305"/>
      <c r="DQE1" s="305"/>
      <c r="DQF1" s="305"/>
      <c r="DQG1" s="305"/>
      <c r="DQH1" s="305"/>
      <c r="DQI1" s="305"/>
      <c r="DQJ1" s="305"/>
      <c r="DQK1" s="305"/>
      <c r="DQL1" s="305"/>
      <c r="DQM1" s="305"/>
      <c r="DQN1" s="305"/>
      <c r="DQO1" s="305"/>
      <c r="DQP1" s="305"/>
      <c r="DQQ1" s="305"/>
      <c r="DQR1" s="305"/>
      <c r="DQS1" s="305"/>
      <c r="DQT1" s="305"/>
      <c r="DQU1" s="305"/>
      <c r="DQV1" s="305"/>
      <c r="DQW1" s="305"/>
      <c r="DQX1" s="305"/>
      <c r="DQY1" s="305"/>
      <c r="DQZ1" s="305"/>
      <c r="DRA1" s="305"/>
      <c r="DRB1" s="305"/>
      <c r="DRC1" s="305"/>
      <c r="DRD1" s="305"/>
      <c r="DRE1" s="305"/>
      <c r="DRF1" s="305"/>
      <c r="DRG1" s="305"/>
      <c r="DRH1" s="305"/>
      <c r="DRI1" s="305"/>
      <c r="DRJ1" s="305"/>
      <c r="DRK1" s="305"/>
      <c r="DRL1" s="305"/>
      <c r="DRM1" s="305"/>
      <c r="DRN1" s="305"/>
      <c r="DRO1" s="305"/>
      <c r="DRP1" s="305"/>
      <c r="DRQ1" s="305"/>
      <c r="DRR1" s="305"/>
      <c r="DRS1" s="305"/>
      <c r="DRT1" s="305"/>
      <c r="DRU1" s="305"/>
      <c r="DRV1" s="305"/>
      <c r="DRW1" s="305"/>
      <c r="DRX1" s="305"/>
      <c r="DRY1" s="305"/>
      <c r="DRZ1" s="305"/>
      <c r="DSA1" s="305"/>
      <c r="DSB1" s="305"/>
      <c r="DSC1" s="305"/>
      <c r="DSD1" s="305"/>
      <c r="DSE1" s="305"/>
      <c r="DSF1" s="305"/>
      <c r="DSG1" s="305"/>
      <c r="DSH1" s="305"/>
      <c r="DSI1" s="305"/>
      <c r="DSJ1" s="305"/>
      <c r="DSK1" s="305"/>
      <c r="DSL1" s="305"/>
      <c r="DSM1" s="305"/>
      <c r="DSN1" s="305"/>
      <c r="DSO1" s="305"/>
      <c r="DSP1" s="305"/>
      <c r="DSQ1" s="305"/>
      <c r="DSR1" s="305"/>
      <c r="DSS1" s="305"/>
      <c r="DST1" s="305"/>
      <c r="DSU1" s="305"/>
      <c r="DSV1" s="305"/>
      <c r="DSW1" s="305"/>
      <c r="DSX1" s="305"/>
      <c r="DSY1" s="305"/>
      <c r="DSZ1" s="305"/>
      <c r="DTA1" s="305"/>
      <c r="DTB1" s="305"/>
      <c r="DTC1" s="305"/>
      <c r="DTD1" s="305"/>
      <c r="DTE1" s="305"/>
      <c r="DTF1" s="305"/>
      <c r="DTG1" s="305"/>
      <c r="DTH1" s="305"/>
      <c r="DTI1" s="305"/>
      <c r="DTJ1" s="305"/>
      <c r="DTK1" s="305"/>
      <c r="DTL1" s="305"/>
      <c r="DTM1" s="305"/>
      <c r="DTN1" s="305"/>
      <c r="DTO1" s="305"/>
      <c r="DTP1" s="305"/>
      <c r="DTQ1" s="305"/>
      <c r="DTR1" s="305"/>
      <c r="DTS1" s="305"/>
      <c r="DTT1" s="305"/>
      <c r="DTU1" s="305"/>
      <c r="DTV1" s="305"/>
      <c r="DTW1" s="305"/>
      <c r="DTX1" s="305"/>
      <c r="DTY1" s="305"/>
      <c r="DTZ1" s="305"/>
      <c r="DUA1" s="305"/>
      <c r="DUB1" s="305"/>
      <c r="DUC1" s="305"/>
      <c r="DUD1" s="305"/>
      <c r="DUE1" s="305"/>
      <c r="DUF1" s="305"/>
      <c r="DUG1" s="305"/>
      <c r="DUH1" s="305"/>
      <c r="DUI1" s="305"/>
      <c r="DUJ1" s="305"/>
      <c r="DUK1" s="305"/>
      <c r="DUL1" s="305"/>
      <c r="DUM1" s="305"/>
      <c r="DUN1" s="305"/>
      <c r="DUO1" s="305"/>
      <c r="DUP1" s="305"/>
      <c r="DUQ1" s="305"/>
      <c r="DUR1" s="305"/>
      <c r="DUS1" s="305"/>
      <c r="DUT1" s="305"/>
      <c r="DUU1" s="305"/>
      <c r="DUV1" s="305"/>
      <c r="DUW1" s="305"/>
      <c r="DUX1" s="305"/>
      <c r="DUY1" s="305"/>
      <c r="DUZ1" s="305"/>
      <c r="DVA1" s="305"/>
      <c r="DVB1" s="305"/>
      <c r="DVC1" s="305"/>
      <c r="DVD1" s="305"/>
      <c r="DVE1" s="305"/>
      <c r="DVF1" s="305"/>
      <c r="DVG1" s="305"/>
      <c r="DVH1" s="305"/>
      <c r="DVI1" s="305"/>
      <c r="DVJ1" s="305"/>
      <c r="DVK1" s="305"/>
      <c r="DVL1" s="305"/>
      <c r="DVM1" s="305"/>
      <c r="DVN1" s="305"/>
      <c r="DVO1" s="305"/>
      <c r="DVP1" s="305"/>
      <c r="DVQ1" s="305"/>
      <c r="DVR1" s="305"/>
      <c r="DVS1" s="305"/>
      <c r="DVT1" s="305"/>
      <c r="DVU1" s="305"/>
      <c r="DVV1" s="305"/>
      <c r="DVW1" s="305"/>
      <c r="DVX1" s="305"/>
      <c r="DVY1" s="305"/>
      <c r="DVZ1" s="305"/>
      <c r="DWA1" s="305"/>
      <c r="DWB1" s="305"/>
      <c r="DWC1" s="305"/>
      <c r="DWD1" s="305"/>
      <c r="DWE1" s="305"/>
      <c r="DWF1" s="305"/>
      <c r="DWG1" s="305"/>
      <c r="DWH1" s="305"/>
      <c r="DWI1" s="305"/>
      <c r="DWJ1" s="305"/>
      <c r="DWK1" s="305"/>
      <c r="DWL1" s="305"/>
      <c r="DWM1" s="305"/>
      <c r="DWN1" s="305"/>
      <c r="DWO1" s="305"/>
      <c r="DWP1" s="305"/>
      <c r="DWQ1" s="305"/>
      <c r="DWR1" s="305"/>
      <c r="DWS1" s="305"/>
      <c r="DWT1" s="305"/>
      <c r="DWU1" s="305"/>
      <c r="DWV1" s="305"/>
      <c r="DWW1" s="305"/>
      <c r="DWX1" s="305"/>
      <c r="DWY1" s="305"/>
      <c r="DWZ1" s="305"/>
      <c r="DXA1" s="305"/>
      <c r="DXB1" s="305"/>
      <c r="DXC1" s="305"/>
      <c r="DXD1" s="305"/>
      <c r="DXE1" s="305"/>
      <c r="DXF1" s="305"/>
      <c r="DXG1" s="305"/>
      <c r="DXH1" s="305"/>
      <c r="DXI1" s="305"/>
      <c r="DXJ1" s="305"/>
      <c r="DXK1" s="305"/>
      <c r="DXL1" s="305"/>
      <c r="DXM1" s="305"/>
      <c r="DXN1" s="305"/>
      <c r="DXO1" s="305"/>
      <c r="DXP1" s="305"/>
      <c r="DXQ1" s="305"/>
      <c r="DXR1" s="305"/>
      <c r="DXS1" s="305"/>
      <c r="DXT1" s="305"/>
      <c r="DXU1" s="305"/>
      <c r="DXV1" s="305"/>
      <c r="DXW1" s="305"/>
      <c r="DXX1" s="305"/>
      <c r="DXY1" s="305"/>
      <c r="DXZ1" s="305"/>
      <c r="DYA1" s="305"/>
      <c r="DYB1" s="305"/>
      <c r="DYC1" s="305"/>
      <c r="DYD1" s="305"/>
      <c r="DYE1" s="305"/>
      <c r="DYF1" s="305"/>
      <c r="DYG1" s="305"/>
      <c r="DYH1" s="305"/>
      <c r="DYI1" s="305"/>
      <c r="DYJ1" s="305"/>
      <c r="DYK1" s="305"/>
      <c r="DYL1" s="305"/>
      <c r="DYM1" s="305"/>
      <c r="DYN1" s="305"/>
      <c r="DYO1" s="305"/>
      <c r="DYP1" s="305"/>
      <c r="DYQ1" s="305"/>
      <c r="DYR1" s="305"/>
      <c r="DYS1" s="305"/>
      <c r="DYT1" s="305"/>
      <c r="DYU1" s="305"/>
      <c r="DYV1" s="305"/>
      <c r="DYW1" s="305"/>
      <c r="DYX1" s="305"/>
      <c r="DYY1" s="305"/>
      <c r="DYZ1" s="305"/>
      <c r="DZA1" s="305"/>
      <c r="DZB1" s="305"/>
      <c r="DZC1" s="305"/>
      <c r="DZD1" s="305"/>
      <c r="DZE1" s="305"/>
      <c r="DZF1" s="305"/>
      <c r="DZG1" s="305"/>
      <c r="DZH1" s="305"/>
      <c r="DZI1" s="305"/>
      <c r="DZJ1" s="305"/>
      <c r="DZK1" s="305"/>
      <c r="DZL1" s="305"/>
      <c r="DZM1" s="305"/>
      <c r="DZN1" s="305"/>
      <c r="DZO1" s="305"/>
      <c r="DZP1" s="305"/>
      <c r="DZQ1" s="305"/>
      <c r="DZR1" s="305"/>
      <c r="DZS1" s="305"/>
      <c r="DZT1" s="305"/>
      <c r="DZU1" s="305"/>
      <c r="DZV1" s="305"/>
      <c r="DZW1" s="305"/>
      <c r="DZX1" s="305"/>
      <c r="DZY1" s="305"/>
      <c r="DZZ1" s="305"/>
      <c r="EAA1" s="305"/>
      <c r="EAB1" s="305"/>
      <c r="EAC1" s="305"/>
      <c r="EAD1" s="305"/>
      <c r="EAE1" s="305"/>
      <c r="EAF1" s="305"/>
      <c r="EAG1" s="305"/>
      <c r="EAH1" s="305"/>
      <c r="EAI1" s="305"/>
      <c r="EAJ1" s="305"/>
      <c r="EAK1" s="305"/>
      <c r="EAL1" s="305"/>
      <c r="EAM1" s="305"/>
      <c r="EAN1" s="305"/>
      <c r="EAO1" s="305"/>
      <c r="EAP1" s="305"/>
      <c r="EAQ1" s="305"/>
      <c r="EAR1" s="305"/>
      <c r="EAS1" s="305"/>
      <c r="EAT1" s="305"/>
      <c r="EAU1" s="305"/>
      <c r="EAV1" s="305"/>
      <c r="EAW1" s="305"/>
      <c r="EAX1" s="305"/>
      <c r="EAY1" s="305"/>
      <c r="EAZ1" s="305"/>
      <c r="EBA1" s="305"/>
      <c r="EBB1" s="305"/>
      <c r="EBC1" s="305"/>
      <c r="EBD1" s="305"/>
      <c r="EBE1" s="305"/>
      <c r="EBF1" s="305"/>
      <c r="EBG1" s="305"/>
      <c r="EBH1" s="305"/>
      <c r="EBI1" s="305"/>
      <c r="EBJ1" s="305"/>
      <c r="EBK1" s="305"/>
      <c r="EBL1" s="305"/>
      <c r="EBM1" s="305"/>
      <c r="EBN1" s="305"/>
      <c r="EBO1" s="305"/>
      <c r="EBP1" s="305"/>
      <c r="EBQ1" s="305"/>
      <c r="EBR1" s="305"/>
      <c r="EBS1" s="305"/>
      <c r="EBT1" s="305"/>
      <c r="EBU1" s="305"/>
      <c r="EBV1" s="305"/>
      <c r="EBW1" s="305"/>
      <c r="EBX1" s="305"/>
      <c r="EBY1" s="305"/>
      <c r="EBZ1" s="305"/>
      <c r="ECA1" s="305"/>
      <c r="ECB1" s="305"/>
      <c r="ECC1" s="305"/>
      <c r="ECD1" s="305"/>
      <c r="ECE1" s="305"/>
      <c r="ECF1" s="305"/>
      <c r="ECG1" s="305"/>
      <c r="ECH1" s="305"/>
      <c r="ECI1" s="305"/>
      <c r="ECJ1" s="305"/>
      <c r="ECK1" s="305"/>
      <c r="ECL1" s="305"/>
      <c r="ECM1" s="305"/>
      <c r="ECN1" s="305"/>
      <c r="ECO1" s="305"/>
      <c r="ECP1" s="305"/>
      <c r="ECQ1" s="305"/>
      <c r="ECR1" s="305"/>
      <c r="ECS1" s="305"/>
      <c r="ECT1" s="305"/>
      <c r="ECU1" s="305"/>
      <c r="ECV1" s="305"/>
      <c r="ECW1" s="305"/>
      <c r="ECX1" s="305"/>
      <c r="ECY1" s="305"/>
      <c r="ECZ1" s="305"/>
      <c r="EDA1" s="305"/>
      <c r="EDB1" s="305"/>
      <c r="EDC1" s="305"/>
      <c r="EDD1" s="305"/>
      <c r="EDE1" s="305"/>
      <c r="EDF1" s="305"/>
      <c r="EDG1" s="305"/>
      <c r="EDH1" s="305"/>
      <c r="EDI1" s="305"/>
      <c r="EDJ1" s="305"/>
      <c r="EDK1" s="305"/>
      <c r="EDL1" s="305"/>
      <c r="EDM1" s="305"/>
      <c r="EDN1" s="305"/>
      <c r="EDO1" s="305"/>
      <c r="EDP1" s="305"/>
      <c r="EDQ1" s="305"/>
      <c r="EDR1" s="305"/>
      <c r="EDS1" s="305"/>
      <c r="EDT1" s="305"/>
      <c r="EDU1" s="305"/>
      <c r="EDV1" s="305"/>
      <c r="EDW1" s="305"/>
      <c r="EDX1" s="305"/>
      <c r="EDY1" s="305"/>
      <c r="EDZ1" s="305"/>
      <c r="EEA1" s="305"/>
      <c r="EEB1" s="305"/>
      <c r="EEC1" s="305"/>
      <c r="EED1" s="305"/>
      <c r="EEE1" s="305"/>
      <c r="EEF1" s="305"/>
      <c r="EEG1" s="305"/>
      <c r="EEH1" s="305"/>
      <c r="EEI1" s="305"/>
      <c r="EEJ1" s="305"/>
      <c r="EEK1" s="305"/>
      <c r="EEL1" s="305"/>
      <c r="EEM1" s="305"/>
      <c r="EEN1" s="305"/>
      <c r="EEO1" s="305"/>
      <c r="EEP1" s="305"/>
      <c r="EEQ1" s="305"/>
      <c r="EER1" s="305"/>
      <c r="EES1" s="305"/>
      <c r="EET1" s="305"/>
      <c r="EEU1" s="305"/>
      <c r="EEV1" s="305"/>
      <c r="EEW1" s="305"/>
      <c r="EEX1" s="305"/>
      <c r="EEY1" s="305"/>
      <c r="EEZ1" s="305"/>
      <c r="EFA1" s="305"/>
      <c r="EFB1" s="305"/>
      <c r="EFC1" s="305"/>
      <c r="EFD1" s="305"/>
      <c r="EFE1" s="305"/>
      <c r="EFF1" s="305"/>
      <c r="EFG1" s="305"/>
      <c r="EFH1" s="305"/>
      <c r="EFI1" s="305"/>
      <c r="EFJ1" s="305"/>
      <c r="EFK1" s="305"/>
      <c r="EFL1" s="305"/>
      <c r="EFM1" s="305"/>
      <c r="EFN1" s="305"/>
      <c r="EFO1" s="305"/>
      <c r="EFP1" s="305"/>
      <c r="EFQ1" s="305"/>
      <c r="EFR1" s="305"/>
      <c r="EFS1" s="305"/>
      <c r="EFT1" s="305"/>
      <c r="EFU1" s="305"/>
      <c r="EFV1" s="305"/>
      <c r="EFW1" s="305"/>
      <c r="EFX1" s="305"/>
      <c r="EFY1" s="305"/>
      <c r="EFZ1" s="305"/>
      <c r="EGA1" s="305"/>
      <c r="EGB1" s="305"/>
      <c r="EGC1" s="305"/>
      <c r="EGD1" s="305"/>
      <c r="EGE1" s="305"/>
      <c r="EGF1" s="305"/>
      <c r="EGG1" s="305"/>
      <c r="EGH1" s="305"/>
      <c r="EGI1" s="305"/>
      <c r="EGJ1" s="305"/>
      <c r="EGK1" s="305"/>
      <c r="EGL1" s="305"/>
      <c r="EGM1" s="305"/>
      <c r="EGN1" s="305"/>
      <c r="EGO1" s="305"/>
      <c r="EGP1" s="305"/>
      <c r="EGQ1" s="305"/>
      <c r="EGR1" s="305"/>
      <c r="EGS1" s="305"/>
      <c r="EGT1" s="305"/>
      <c r="EGU1" s="305"/>
      <c r="EGV1" s="305"/>
      <c r="EGW1" s="305"/>
      <c r="EGX1" s="305"/>
      <c r="EGY1" s="305"/>
      <c r="EGZ1" s="305"/>
      <c r="EHA1" s="305"/>
      <c r="EHB1" s="305"/>
      <c r="EHC1" s="305"/>
      <c r="EHD1" s="305"/>
      <c r="EHE1" s="305"/>
      <c r="EHF1" s="305"/>
      <c r="EHG1" s="305"/>
      <c r="EHH1" s="305"/>
      <c r="EHI1" s="305"/>
      <c r="EHJ1" s="305"/>
      <c r="EHK1" s="305"/>
      <c r="EHL1" s="305"/>
      <c r="EHM1" s="305"/>
      <c r="EHN1" s="305"/>
      <c r="EHO1" s="305"/>
      <c r="EHP1" s="305"/>
      <c r="EHQ1" s="305"/>
      <c r="EHR1" s="305"/>
      <c r="EHS1" s="305"/>
      <c r="EHT1" s="305"/>
      <c r="EHU1" s="305"/>
      <c r="EHV1" s="305"/>
      <c r="EHW1" s="305"/>
      <c r="EHX1" s="305"/>
      <c r="EHY1" s="305"/>
      <c r="EHZ1" s="305"/>
      <c r="EIA1" s="305"/>
      <c r="EIB1" s="305"/>
      <c r="EIC1" s="305"/>
      <c r="EID1" s="305"/>
      <c r="EIE1" s="305"/>
      <c r="EIF1" s="305"/>
      <c r="EIG1" s="305"/>
      <c r="EIH1" s="305"/>
      <c r="EII1" s="305"/>
      <c r="EIJ1" s="305"/>
      <c r="EIK1" s="305"/>
      <c r="EIL1" s="305"/>
      <c r="EIM1" s="305"/>
      <c r="EIN1" s="305"/>
      <c r="EIO1" s="305"/>
      <c r="EIP1" s="305"/>
      <c r="EIQ1" s="305"/>
      <c r="EIR1" s="305"/>
      <c r="EIS1" s="305"/>
      <c r="EIT1" s="305"/>
      <c r="EIU1" s="305"/>
      <c r="EIV1" s="305"/>
      <c r="EIW1" s="305"/>
      <c r="EIX1" s="305"/>
      <c r="EIY1" s="305"/>
      <c r="EIZ1" s="305"/>
      <c r="EJA1" s="305"/>
      <c r="EJB1" s="305"/>
      <c r="EJC1" s="305"/>
      <c r="EJD1" s="305"/>
      <c r="EJE1" s="305"/>
      <c r="EJF1" s="305"/>
      <c r="EJG1" s="305"/>
      <c r="EJH1" s="305"/>
      <c r="EJI1" s="305"/>
      <c r="EJJ1" s="305"/>
      <c r="EJK1" s="305"/>
      <c r="EJL1" s="305"/>
      <c r="EJM1" s="305"/>
      <c r="EJN1" s="305"/>
      <c r="EJO1" s="305"/>
      <c r="EJP1" s="305"/>
      <c r="EJQ1" s="305"/>
      <c r="EJR1" s="305"/>
      <c r="EJS1" s="305"/>
      <c r="EJT1" s="305"/>
      <c r="EJU1" s="305"/>
      <c r="EJV1" s="305"/>
      <c r="EJW1" s="305"/>
      <c r="EJX1" s="305"/>
      <c r="EJY1" s="305"/>
      <c r="EJZ1" s="305"/>
      <c r="EKA1" s="305"/>
      <c r="EKB1" s="305"/>
      <c r="EKC1" s="305"/>
      <c r="EKD1" s="305"/>
      <c r="EKE1" s="305"/>
      <c r="EKF1" s="305"/>
      <c r="EKG1" s="305"/>
      <c r="EKH1" s="305"/>
      <c r="EKI1" s="305"/>
      <c r="EKJ1" s="305"/>
      <c r="EKK1" s="305"/>
      <c r="EKL1" s="305"/>
      <c r="EKM1" s="305"/>
      <c r="EKN1" s="305"/>
      <c r="EKO1" s="305"/>
      <c r="EKP1" s="305"/>
      <c r="EKQ1" s="305"/>
      <c r="EKR1" s="305"/>
      <c r="EKS1" s="305"/>
      <c r="EKT1" s="305"/>
      <c r="EKU1" s="305"/>
      <c r="EKV1" s="305"/>
      <c r="EKW1" s="305"/>
      <c r="EKX1" s="305"/>
      <c r="EKY1" s="305"/>
      <c r="EKZ1" s="305"/>
      <c r="ELA1" s="305"/>
      <c r="ELB1" s="305"/>
      <c r="ELC1" s="305"/>
      <c r="ELD1" s="305"/>
      <c r="ELE1" s="305"/>
      <c r="ELF1" s="305"/>
      <c r="ELG1" s="305"/>
      <c r="ELH1" s="305"/>
      <c r="ELI1" s="305"/>
      <c r="ELJ1" s="305"/>
      <c r="ELK1" s="305"/>
      <c r="ELL1" s="305"/>
      <c r="ELM1" s="305"/>
      <c r="ELN1" s="305"/>
      <c r="ELO1" s="305"/>
      <c r="ELP1" s="305"/>
      <c r="ELQ1" s="305"/>
      <c r="ELR1" s="305"/>
      <c r="ELS1" s="305"/>
      <c r="ELT1" s="305"/>
      <c r="ELU1" s="305"/>
      <c r="ELV1" s="305"/>
      <c r="ELW1" s="305"/>
      <c r="ELX1" s="305"/>
      <c r="ELY1" s="305"/>
      <c r="ELZ1" s="305"/>
      <c r="EMA1" s="305"/>
      <c r="EMB1" s="305"/>
      <c r="EMC1" s="305"/>
      <c r="EMD1" s="305"/>
      <c r="EME1" s="305"/>
      <c r="EMF1" s="305"/>
      <c r="EMG1" s="305"/>
      <c r="EMH1" s="305"/>
      <c r="EMI1" s="305"/>
      <c r="EMJ1" s="305"/>
      <c r="EMK1" s="305"/>
      <c r="EML1" s="305"/>
      <c r="EMM1" s="305"/>
      <c r="EMN1" s="305"/>
      <c r="EMO1" s="305"/>
      <c r="EMP1" s="305"/>
      <c r="EMQ1" s="305"/>
      <c r="EMR1" s="305"/>
      <c r="EMS1" s="305"/>
      <c r="EMT1" s="305"/>
      <c r="EMU1" s="305"/>
      <c r="EMV1" s="305"/>
      <c r="EMW1" s="305"/>
      <c r="EMX1" s="305"/>
      <c r="EMY1" s="305"/>
      <c r="EMZ1" s="305"/>
      <c r="ENA1" s="305"/>
      <c r="ENB1" s="305"/>
      <c r="ENC1" s="305"/>
      <c r="END1" s="305"/>
      <c r="ENE1" s="305"/>
      <c r="ENF1" s="305"/>
      <c r="ENG1" s="305"/>
      <c r="ENH1" s="305"/>
      <c r="ENI1" s="305"/>
      <c r="ENJ1" s="305"/>
      <c r="ENK1" s="305"/>
      <c r="ENL1" s="305"/>
      <c r="ENM1" s="305"/>
      <c r="ENN1" s="305"/>
      <c r="ENO1" s="305"/>
      <c r="ENP1" s="305"/>
      <c r="ENQ1" s="305"/>
      <c r="ENR1" s="305"/>
      <c r="ENS1" s="305"/>
      <c r="ENT1" s="305"/>
      <c r="ENU1" s="305"/>
      <c r="ENV1" s="305"/>
      <c r="ENW1" s="305"/>
      <c r="ENX1" s="305"/>
      <c r="ENY1" s="305"/>
      <c r="ENZ1" s="305"/>
      <c r="EOA1" s="305"/>
      <c r="EOB1" s="305"/>
      <c r="EOC1" s="305"/>
      <c r="EOD1" s="305"/>
      <c r="EOE1" s="305"/>
      <c r="EOF1" s="305"/>
      <c r="EOG1" s="305"/>
      <c r="EOH1" s="305"/>
      <c r="EOI1" s="305"/>
      <c r="EOJ1" s="305"/>
      <c r="EOK1" s="305"/>
      <c r="EOL1" s="305"/>
      <c r="EOM1" s="305"/>
      <c r="EON1" s="305"/>
      <c r="EOO1" s="305"/>
      <c r="EOP1" s="305"/>
      <c r="EOQ1" s="305"/>
      <c r="EOR1" s="305"/>
      <c r="EOS1" s="305"/>
      <c r="EOT1" s="305"/>
      <c r="EOU1" s="305"/>
      <c r="EOV1" s="305"/>
      <c r="EOW1" s="305"/>
      <c r="EOX1" s="305"/>
      <c r="EOY1" s="305"/>
      <c r="EOZ1" s="305"/>
      <c r="EPA1" s="305"/>
      <c r="EPB1" s="305"/>
      <c r="EPC1" s="305"/>
      <c r="EPD1" s="305"/>
      <c r="EPE1" s="305"/>
      <c r="EPF1" s="305"/>
      <c r="EPG1" s="305"/>
      <c r="EPH1" s="305"/>
      <c r="EPI1" s="305"/>
      <c r="EPJ1" s="305"/>
      <c r="EPK1" s="305"/>
      <c r="EPL1" s="305"/>
      <c r="EPM1" s="305"/>
      <c r="EPN1" s="305"/>
      <c r="EPO1" s="305"/>
      <c r="EPP1" s="305"/>
      <c r="EPQ1" s="305"/>
      <c r="EPR1" s="305"/>
      <c r="EPS1" s="305"/>
      <c r="EPT1" s="305"/>
      <c r="EPU1" s="305"/>
      <c r="EPV1" s="305"/>
      <c r="EPW1" s="305"/>
      <c r="EPX1" s="305"/>
      <c r="EPY1" s="305"/>
      <c r="EPZ1" s="305"/>
      <c r="EQA1" s="305"/>
      <c r="EQB1" s="305"/>
      <c r="EQC1" s="305"/>
      <c r="EQD1" s="305"/>
      <c r="EQE1" s="305"/>
      <c r="EQF1" s="305"/>
      <c r="EQG1" s="305"/>
      <c r="EQH1" s="305"/>
      <c r="EQI1" s="305"/>
      <c r="EQJ1" s="305"/>
      <c r="EQK1" s="305"/>
      <c r="EQL1" s="305"/>
      <c r="EQM1" s="305"/>
      <c r="EQN1" s="305"/>
      <c r="EQO1" s="305"/>
      <c r="EQP1" s="305"/>
      <c r="EQQ1" s="305"/>
      <c r="EQR1" s="305"/>
      <c r="EQS1" s="305"/>
      <c r="EQT1" s="305"/>
      <c r="EQU1" s="305"/>
      <c r="EQV1" s="305"/>
      <c r="EQW1" s="305"/>
      <c r="EQX1" s="305"/>
      <c r="EQY1" s="305"/>
      <c r="EQZ1" s="305"/>
      <c r="ERA1" s="305"/>
      <c r="ERB1" s="305"/>
      <c r="ERC1" s="305"/>
      <c r="ERD1" s="305"/>
      <c r="ERE1" s="305"/>
      <c r="ERF1" s="305"/>
      <c r="ERG1" s="305"/>
      <c r="ERH1" s="305"/>
      <c r="ERI1" s="305"/>
      <c r="ERJ1" s="305"/>
      <c r="ERK1" s="305"/>
      <c r="ERL1" s="305"/>
      <c r="ERM1" s="305"/>
      <c r="ERN1" s="305"/>
      <c r="ERO1" s="305"/>
      <c r="ERP1" s="305"/>
      <c r="ERQ1" s="305"/>
      <c r="ERR1" s="305"/>
      <c r="ERS1" s="305"/>
      <c r="ERT1" s="305"/>
      <c r="ERU1" s="305"/>
      <c r="ERV1" s="305"/>
      <c r="ERW1" s="305"/>
      <c r="ERX1" s="305"/>
      <c r="ERY1" s="305"/>
      <c r="ERZ1" s="305"/>
      <c r="ESA1" s="305"/>
      <c r="ESB1" s="305"/>
      <c r="ESC1" s="305"/>
      <c r="ESD1" s="305"/>
      <c r="ESE1" s="305"/>
      <c r="ESF1" s="305"/>
      <c r="ESG1" s="305"/>
      <c r="ESH1" s="305"/>
      <c r="ESI1" s="305"/>
      <c r="ESJ1" s="305"/>
      <c r="ESK1" s="305"/>
      <c r="ESL1" s="305"/>
      <c r="ESM1" s="305"/>
      <c r="ESN1" s="305"/>
      <c r="ESO1" s="305"/>
      <c r="ESP1" s="305"/>
      <c r="ESQ1" s="305"/>
      <c r="ESR1" s="305"/>
      <c r="ESS1" s="305"/>
      <c r="EST1" s="305"/>
      <c r="ESU1" s="305"/>
      <c r="ESV1" s="305"/>
      <c r="ESW1" s="305"/>
      <c r="ESX1" s="305"/>
      <c r="ESY1" s="305"/>
      <c r="ESZ1" s="305"/>
      <c r="ETA1" s="305"/>
      <c r="ETB1" s="305"/>
      <c r="ETC1" s="305"/>
      <c r="ETD1" s="305"/>
      <c r="ETE1" s="305"/>
      <c r="ETF1" s="305"/>
      <c r="ETG1" s="305"/>
      <c r="ETH1" s="305"/>
      <c r="ETI1" s="305"/>
      <c r="ETJ1" s="305"/>
      <c r="ETK1" s="305"/>
      <c r="ETL1" s="305"/>
      <c r="ETM1" s="305"/>
      <c r="ETN1" s="305"/>
      <c r="ETO1" s="305"/>
      <c r="ETP1" s="305"/>
      <c r="ETQ1" s="305"/>
      <c r="ETR1" s="305"/>
      <c r="ETS1" s="305"/>
      <c r="ETT1" s="305"/>
      <c r="ETU1" s="305"/>
      <c r="ETV1" s="305"/>
      <c r="ETW1" s="305"/>
      <c r="ETX1" s="305"/>
      <c r="ETY1" s="305"/>
      <c r="ETZ1" s="305"/>
      <c r="EUA1" s="305"/>
      <c r="EUB1" s="305"/>
      <c r="EUC1" s="305"/>
      <c r="EUD1" s="305"/>
      <c r="EUE1" s="305"/>
      <c r="EUF1" s="305"/>
      <c r="EUG1" s="305"/>
      <c r="EUH1" s="305"/>
      <c r="EUI1" s="305"/>
      <c r="EUJ1" s="305"/>
      <c r="EUK1" s="305"/>
      <c r="EUL1" s="305"/>
      <c r="EUM1" s="305"/>
      <c r="EUN1" s="305"/>
      <c r="EUO1" s="305"/>
      <c r="EUP1" s="305"/>
      <c r="EUQ1" s="305"/>
      <c r="EUR1" s="305"/>
      <c r="EUS1" s="305"/>
      <c r="EUT1" s="305"/>
      <c r="EUU1" s="305"/>
      <c r="EUV1" s="305"/>
      <c r="EUW1" s="305"/>
      <c r="EUX1" s="305"/>
      <c r="EUY1" s="305"/>
      <c r="EUZ1" s="305"/>
      <c r="EVA1" s="305"/>
      <c r="EVB1" s="305"/>
      <c r="EVC1" s="305"/>
      <c r="EVD1" s="305"/>
      <c r="EVE1" s="305"/>
      <c r="EVF1" s="305"/>
      <c r="EVG1" s="305"/>
      <c r="EVH1" s="305"/>
      <c r="EVI1" s="305"/>
      <c r="EVJ1" s="305"/>
      <c r="EVK1" s="305"/>
      <c r="EVL1" s="305"/>
      <c r="EVM1" s="305"/>
      <c r="EVN1" s="305"/>
      <c r="EVO1" s="305"/>
      <c r="EVP1" s="305"/>
      <c r="EVQ1" s="305"/>
      <c r="EVR1" s="305"/>
      <c r="EVS1" s="305"/>
      <c r="EVT1" s="305"/>
      <c r="EVU1" s="305"/>
      <c r="EVV1" s="305"/>
      <c r="EVW1" s="305"/>
      <c r="EVX1" s="305"/>
      <c r="EVY1" s="305"/>
      <c r="EVZ1" s="305"/>
      <c r="EWA1" s="305"/>
      <c r="EWB1" s="305"/>
      <c r="EWC1" s="305"/>
      <c r="EWD1" s="305"/>
      <c r="EWE1" s="305"/>
      <c r="EWF1" s="305"/>
      <c r="EWG1" s="305"/>
      <c r="EWH1" s="305"/>
      <c r="EWI1" s="305"/>
      <c r="EWJ1" s="305"/>
      <c r="EWK1" s="305"/>
      <c r="EWL1" s="305"/>
      <c r="EWM1" s="305"/>
      <c r="EWN1" s="305"/>
      <c r="EWO1" s="305"/>
      <c r="EWP1" s="305"/>
      <c r="EWQ1" s="305"/>
      <c r="EWR1" s="305"/>
      <c r="EWS1" s="305"/>
      <c r="EWT1" s="305"/>
      <c r="EWU1" s="305"/>
      <c r="EWV1" s="305"/>
      <c r="EWW1" s="305"/>
      <c r="EWX1" s="305"/>
      <c r="EWY1" s="305"/>
      <c r="EWZ1" s="305"/>
      <c r="EXA1" s="305"/>
      <c r="EXB1" s="305"/>
      <c r="EXC1" s="305"/>
      <c r="EXD1" s="305"/>
      <c r="EXE1" s="305"/>
      <c r="EXF1" s="305"/>
      <c r="EXG1" s="305"/>
      <c r="EXH1" s="305"/>
      <c r="EXI1" s="305"/>
      <c r="EXJ1" s="305"/>
      <c r="EXK1" s="305"/>
      <c r="EXL1" s="305"/>
      <c r="EXM1" s="305"/>
      <c r="EXN1" s="305"/>
      <c r="EXO1" s="305"/>
      <c r="EXP1" s="305"/>
      <c r="EXQ1" s="305"/>
      <c r="EXR1" s="305"/>
      <c r="EXS1" s="305"/>
      <c r="EXT1" s="305"/>
      <c r="EXU1" s="305"/>
      <c r="EXV1" s="305"/>
      <c r="EXW1" s="305"/>
      <c r="EXX1" s="305"/>
      <c r="EXY1" s="305"/>
      <c r="EXZ1" s="305"/>
      <c r="EYA1" s="305"/>
      <c r="EYB1" s="305"/>
      <c r="EYC1" s="305"/>
      <c r="EYD1" s="305"/>
      <c r="EYE1" s="305"/>
      <c r="EYF1" s="305"/>
      <c r="EYG1" s="305"/>
      <c r="EYH1" s="305"/>
      <c r="EYI1" s="305"/>
      <c r="EYJ1" s="305"/>
      <c r="EYK1" s="305"/>
      <c r="EYL1" s="305"/>
      <c r="EYM1" s="305"/>
      <c r="EYN1" s="305"/>
      <c r="EYO1" s="305"/>
      <c r="EYP1" s="305"/>
      <c r="EYQ1" s="305"/>
      <c r="EYR1" s="305"/>
      <c r="EYS1" s="305"/>
      <c r="EYT1" s="305"/>
      <c r="EYU1" s="305"/>
      <c r="EYV1" s="305"/>
      <c r="EYW1" s="305"/>
      <c r="EYX1" s="305"/>
      <c r="EYY1" s="305"/>
      <c r="EYZ1" s="305"/>
      <c r="EZA1" s="305"/>
      <c r="EZB1" s="305"/>
      <c r="EZC1" s="305"/>
      <c r="EZD1" s="305"/>
      <c r="EZE1" s="305"/>
      <c r="EZF1" s="305"/>
      <c r="EZG1" s="305"/>
      <c r="EZH1" s="305"/>
      <c r="EZI1" s="305"/>
      <c r="EZJ1" s="305"/>
      <c r="EZK1" s="305"/>
      <c r="EZL1" s="305"/>
      <c r="EZM1" s="305"/>
      <c r="EZN1" s="305"/>
      <c r="EZO1" s="305"/>
      <c r="EZP1" s="305"/>
      <c r="EZQ1" s="305"/>
      <c r="EZR1" s="305"/>
      <c r="EZS1" s="305"/>
      <c r="EZT1" s="305"/>
      <c r="EZU1" s="305"/>
      <c r="EZV1" s="305"/>
      <c r="EZW1" s="305"/>
      <c r="EZX1" s="305"/>
      <c r="EZY1" s="305"/>
      <c r="EZZ1" s="305"/>
      <c r="FAA1" s="305"/>
      <c r="FAB1" s="305"/>
      <c r="FAC1" s="305"/>
      <c r="FAD1" s="305"/>
      <c r="FAE1" s="305"/>
      <c r="FAF1" s="305"/>
      <c r="FAG1" s="305"/>
      <c r="FAH1" s="305"/>
      <c r="FAI1" s="305"/>
      <c r="FAJ1" s="305"/>
      <c r="FAK1" s="305"/>
      <c r="FAL1" s="305"/>
      <c r="FAM1" s="305"/>
      <c r="FAN1" s="305"/>
      <c r="FAO1" s="305"/>
      <c r="FAP1" s="305"/>
      <c r="FAQ1" s="305"/>
      <c r="FAR1" s="305"/>
      <c r="FAS1" s="305"/>
      <c r="FAT1" s="305"/>
      <c r="FAU1" s="305"/>
      <c r="FAV1" s="305"/>
      <c r="FAW1" s="305"/>
      <c r="FAX1" s="305"/>
      <c r="FAY1" s="305"/>
      <c r="FAZ1" s="305"/>
      <c r="FBA1" s="305"/>
      <c r="FBB1" s="305"/>
      <c r="FBC1" s="305"/>
      <c r="FBD1" s="305"/>
      <c r="FBE1" s="305"/>
      <c r="FBF1" s="305"/>
      <c r="FBG1" s="305"/>
      <c r="FBH1" s="305"/>
      <c r="FBI1" s="305"/>
      <c r="FBJ1" s="305"/>
      <c r="FBK1" s="305"/>
      <c r="FBL1" s="305"/>
      <c r="FBM1" s="305"/>
      <c r="FBN1" s="305"/>
      <c r="FBO1" s="305"/>
      <c r="FBP1" s="305"/>
      <c r="FBQ1" s="305"/>
      <c r="FBR1" s="305"/>
      <c r="FBS1" s="305"/>
      <c r="FBT1" s="305"/>
      <c r="FBU1" s="305"/>
      <c r="FBV1" s="305"/>
      <c r="FBW1" s="305"/>
      <c r="FBX1" s="305"/>
      <c r="FBY1" s="305"/>
      <c r="FBZ1" s="305"/>
      <c r="FCA1" s="305"/>
      <c r="FCB1" s="305"/>
      <c r="FCC1" s="305"/>
      <c r="FCD1" s="305"/>
      <c r="FCE1" s="305"/>
      <c r="FCF1" s="305"/>
      <c r="FCG1" s="305"/>
      <c r="FCH1" s="305"/>
      <c r="FCI1" s="305"/>
      <c r="FCJ1" s="305"/>
      <c r="FCK1" s="305"/>
      <c r="FCL1" s="305"/>
      <c r="FCM1" s="305"/>
      <c r="FCN1" s="305"/>
      <c r="FCO1" s="305"/>
      <c r="FCP1" s="305"/>
      <c r="FCQ1" s="305"/>
      <c r="FCR1" s="305"/>
      <c r="FCS1" s="305"/>
      <c r="FCT1" s="305"/>
      <c r="FCU1" s="305"/>
      <c r="FCV1" s="305"/>
      <c r="FCW1" s="305"/>
      <c r="FCX1" s="305"/>
      <c r="FCY1" s="305"/>
      <c r="FCZ1" s="305"/>
      <c r="FDA1" s="305"/>
      <c r="FDB1" s="305"/>
      <c r="FDC1" s="305"/>
      <c r="FDD1" s="305"/>
      <c r="FDE1" s="305"/>
      <c r="FDF1" s="305"/>
      <c r="FDG1" s="305"/>
      <c r="FDH1" s="305"/>
      <c r="FDI1" s="305"/>
      <c r="FDJ1" s="305"/>
      <c r="FDK1" s="305"/>
      <c r="FDL1" s="305"/>
      <c r="FDM1" s="305"/>
      <c r="FDN1" s="305"/>
      <c r="FDO1" s="305"/>
      <c r="FDP1" s="305"/>
      <c r="FDQ1" s="305"/>
      <c r="FDR1" s="305"/>
      <c r="FDS1" s="305"/>
      <c r="FDT1" s="305"/>
      <c r="FDU1" s="305"/>
      <c r="FDV1" s="305"/>
      <c r="FDW1" s="305"/>
      <c r="FDX1" s="305"/>
      <c r="FDY1" s="305"/>
      <c r="FDZ1" s="305"/>
      <c r="FEA1" s="305"/>
      <c r="FEB1" s="305"/>
      <c r="FEC1" s="305"/>
      <c r="FED1" s="305"/>
      <c r="FEE1" s="305"/>
      <c r="FEF1" s="305"/>
      <c r="FEG1" s="305"/>
      <c r="FEH1" s="305"/>
      <c r="FEI1" s="305"/>
      <c r="FEJ1" s="305"/>
      <c r="FEK1" s="305"/>
      <c r="FEL1" s="305"/>
      <c r="FEM1" s="305"/>
      <c r="FEN1" s="305"/>
      <c r="FEO1" s="305"/>
      <c r="FEP1" s="305"/>
      <c r="FEQ1" s="305"/>
      <c r="FER1" s="305"/>
      <c r="FES1" s="305"/>
      <c r="FET1" s="305"/>
      <c r="FEU1" s="305"/>
      <c r="FEV1" s="305"/>
      <c r="FEW1" s="305"/>
      <c r="FEX1" s="305"/>
      <c r="FEY1" s="305"/>
      <c r="FEZ1" s="305"/>
      <c r="FFA1" s="305"/>
      <c r="FFB1" s="305"/>
      <c r="FFC1" s="305"/>
      <c r="FFD1" s="305"/>
      <c r="FFE1" s="305"/>
      <c r="FFF1" s="305"/>
      <c r="FFG1" s="305"/>
      <c r="FFH1" s="305"/>
      <c r="FFI1" s="305"/>
      <c r="FFJ1" s="305"/>
      <c r="FFK1" s="305"/>
      <c r="FFL1" s="305"/>
      <c r="FFM1" s="305"/>
      <c r="FFN1" s="305"/>
      <c r="FFO1" s="305"/>
      <c r="FFP1" s="305"/>
      <c r="FFQ1" s="305"/>
      <c r="FFR1" s="305"/>
      <c r="FFS1" s="305"/>
      <c r="FFT1" s="305"/>
      <c r="FFU1" s="305"/>
      <c r="FFV1" s="305"/>
      <c r="FFW1" s="305"/>
      <c r="FFX1" s="305"/>
      <c r="FFY1" s="305"/>
      <c r="FFZ1" s="305"/>
      <c r="FGA1" s="305"/>
      <c r="FGB1" s="305"/>
      <c r="FGC1" s="305"/>
      <c r="FGD1" s="305"/>
      <c r="FGE1" s="305"/>
      <c r="FGF1" s="305"/>
      <c r="FGG1" s="305"/>
      <c r="FGH1" s="305"/>
      <c r="FGI1" s="305"/>
      <c r="FGJ1" s="305"/>
      <c r="FGK1" s="305"/>
      <c r="FGL1" s="305"/>
      <c r="FGM1" s="305"/>
      <c r="FGN1" s="305"/>
      <c r="FGO1" s="305"/>
      <c r="FGP1" s="305"/>
      <c r="FGQ1" s="305"/>
      <c r="FGR1" s="305"/>
      <c r="FGS1" s="305"/>
      <c r="FGT1" s="305"/>
      <c r="FGU1" s="305"/>
      <c r="FGV1" s="305"/>
      <c r="FGW1" s="305"/>
      <c r="FGX1" s="305"/>
      <c r="FGY1" s="305"/>
      <c r="FGZ1" s="305"/>
      <c r="FHA1" s="305"/>
      <c r="FHB1" s="305"/>
      <c r="FHC1" s="305"/>
      <c r="FHD1" s="305"/>
      <c r="FHE1" s="305"/>
      <c r="FHF1" s="305"/>
      <c r="FHG1" s="305"/>
      <c r="FHH1" s="305"/>
      <c r="FHI1" s="305"/>
      <c r="FHJ1" s="305"/>
      <c r="FHK1" s="305"/>
      <c r="FHL1" s="305"/>
      <c r="FHM1" s="305"/>
      <c r="FHN1" s="305"/>
      <c r="FHO1" s="305"/>
      <c r="FHP1" s="305"/>
      <c r="FHQ1" s="305"/>
      <c r="FHR1" s="305"/>
      <c r="FHS1" s="305"/>
      <c r="FHT1" s="305"/>
      <c r="FHU1" s="305"/>
      <c r="FHV1" s="305"/>
      <c r="FHW1" s="305"/>
      <c r="FHX1" s="305"/>
      <c r="FHY1" s="305"/>
      <c r="FHZ1" s="305"/>
      <c r="FIA1" s="305"/>
      <c r="FIB1" s="305"/>
      <c r="FIC1" s="305"/>
      <c r="FID1" s="305"/>
      <c r="FIE1" s="305"/>
      <c r="FIF1" s="305"/>
      <c r="FIG1" s="305"/>
      <c r="FIH1" s="305"/>
      <c r="FII1" s="305"/>
      <c r="FIJ1" s="305"/>
      <c r="FIK1" s="305"/>
      <c r="FIL1" s="305"/>
      <c r="FIM1" s="305"/>
      <c r="FIN1" s="305"/>
      <c r="FIO1" s="305"/>
      <c r="FIP1" s="305"/>
      <c r="FIQ1" s="305"/>
      <c r="FIR1" s="305"/>
      <c r="FIS1" s="305"/>
      <c r="FIT1" s="305"/>
      <c r="FIU1" s="305"/>
      <c r="FIV1" s="305"/>
      <c r="FIW1" s="305"/>
      <c r="FIX1" s="305"/>
      <c r="FIY1" s="305"/>
      <c r="FIZ1" s="305"/>
      <c r="FJA1" s="305"/>
      <c r="FJB1" s="305"/>
      <c r="FJC1" s="305"/>
      <c r="FJD1" s="305"/>
      <c r="FJE1" s="305"/>
      <c r="FJF1" s="305"/>
      <c r="FJG1" s="305"/>
      <c r="FJH1" s="305"/>
      <c r="FJI1" s="305"/>
      <c r="FJJ1" s="305"/>
      <c r="FJK1" s="305"/>
      <c r="FJL1" s="305"/>
      <c r="FJM1" s="305"/>
      <c r="FJN1" s="305"/>
      <c r="FJO1" s="305"/>
      <c r="FJP1" s="305"/>
      <c r="FJQ1" s="305"/>
      <c r="FJR1" s="305"/>
      <c r="FJS1" s="305"/>
      <c r="FJT1" s="305"/>
      <c r="FJU1" s="305"/>
      <c r="FJV1" s="305"/>
      <c r="FJW1" s="305"/>
      <c r="FJX1" s="305"/>
      <c r="FJY1" s="305"/>
      <c r="FJZ1" s="305"/>
      <c r="FKA1" s="305"/>
      <c r="FKB1" s="305"/>
      <c r="FKC1" s="305"/>
      <c r="FKD1" s="305"/>
      <c r="FKE1" s="305"/>
      <c r="FKF1" s="305"/>
      <c r="FKG1" s="305"/>
      <c r="FKH1" s="305"/>
      <c r="FKI1" s="305"/>
      <c r="FKJ1" s="305"/>
      <c r="FKK1" s="305"/>
      <c r="FKL1" s="305"/>
      <c r="FKM1" s="305"/>
      <c r="FKN1" s="305"/>
      <c r="FKO1" s="305"/>
      <c r="FKP1" s="305"/>
      <c r="FKQ1" s="305"/>
      <c r="FKR1" s="305"/>
      <c r="FKS1" s="305"/>
      <c r="FKT1" s="305"/>
      <c r="FKU1" s="305"/>
      <c r="FKV1" s="305"/>
      <c r="FKW1" s="305"/>
      <c r="FKX1" s="305"/>
      <c r="FKY1" s="305"/>
      <c r="FKZ1" s="305"/>
      <c r="FLA1" s="305"/>
      <c r="FLB1" s="305"/>
      <c r="FLC1" s="305"/>
      <c r="FLD1" s="305"/>
      <c r="FLE1" s="305"/>
      <c r="FLF1" s="305"/>
      <c r="FLG1" s="305"/>
      <c r="FLH1" s="305"/>
      <c r="FLI1" s="305"/>
      <c r="FLJ1" s="305"/>
      <c r="FLK1" s="305"/>
      <c r="FLL1" s="305"/>
      <c r="FLM1" s="305"/>
      <c r="FLN1" s="305"/>
      <c r="FLO1" s="305"/>
      <c r="FLP1" s="305"/>
      <c r="FLQ1" s="305"/>
      <c r="FLR1" s="305"/>
      <c r="FLS1" s="305"/>
      <c r="FLT1" s="305"/>
      <c r="FLU1" s="305"/>
      <c r="FLV1" s="305"/>
      <c r="FLW1" s="305"/>
      <c r="FLX1" s="305"/>
      <c r="FLY1" s="305"/>
      <c r="FLZ1" s="305"/>
      <c r="FMA1" s="305"/>
      <c r="FMB1" s="305"/>
      <c r="FMC1" s="305"/>
      <c r="FMD1" s="305"/>
      <c r="FME1" s="305"/>
      <c r="FMF1" s="305"/>
      <c r="FMG1" s="305"/>
      <c r="FMH1" s="305"/>
      <c r="FMI1" s="305"/>
      <c r="FMJ1" s="305"/>
      <c r="FMK1" s="305"/>
      <c r="FML1" s="305"/>
      <c r="FMM1" s="305"/>
      <c r="FMN1" s="305"/>
      <c r="FMO1" s="305"/>
      <c r="FMP1" s="305"/>
      <c r="FMQ1" s="305"/>
      <c r="FMR1" s="305"/>
      <c r="FMS1" s="305"/>
      <c r="FMT1" s="305"/>
      <c r="FMU1" s="305"/>
      <c r="FMV1" s="305"/>
      <c r="FMW1" s="305"/>
      <c r="FMX1" s="305"/>
      <c r="FMY1" s="305"/>
      <c r="FMZ1" s="305"/>
      <c r="FNA1" s="305"/>
      <c r="FNB1" s="305"/>
      <c r="FNC1" s="305"/>
      <c r="FND1" s="305"/>
      <c r="FNE1" s="305"/>
      <c r="FNF1" s="305"/>
      <c r="FNG1" s="305"/>
      <c r="FNH1" s="305"/>
      <c r="FNI1" s="305"/>
      <c r="FNJ1" s="305"/>
      <c r="FNK1" s="305"/>
      <c r="FNL1" s="305"/>
      <c r="FNM1" s="305"/>
      <c r="FNN1" s="305"/>
      <c r="FNO1" s="305"/>
      <c r="FNP1" s="305"/>
      <c r="FNQ1" s="305"/>
      <c r="FNR1" s="305"/>
      <c r="FNS1" s="305"/>
      <c r="FNT1" s="305"/>
      <c r="FNU1" s="305"/>
      <c r="FNV1" s="305"/>
      <c r="FNW1" s="305"/>
      <c r="FNX1" s="305"/>
      <c r="FNY1" s="305"/>
      <c r="FNZ1" s="305"/>
      <c r="FOA1" s="305"/>
      <c r="FOB1" s="305"/>
      <c r="FOC1" s="305"/>
      <c r="FOD1" s="305"/>
      <c r="FOE1" s="305"/>
      <c r="FOF1" s="305"/>
      <c r="FOG1" s="305"/>
      <c r="FOH1" s="305"/>
      <c r="FOI1" s="305"/>
      <c r="FOJ1" s="305"/>
      <c r="FOK1" s="305"/>
      <c r="FOL1" s="305"/>
      <c r="FOM1" s="305"/>
      <c r="FON1" s="305"/>
      <c r="FOO1" s="305"/>
      <c r="FOP1" s="305"/>
      <c r="FOQ1" s="305"/>
      <c r="FOR1" s="305"/>
      <c r="FOS1" s="305"/>
      <c r="FOT1" s="305"/>
      <c r="FOU1" s="305"/>
      <c r="FOV1" s="305"/>
      <c r="FOW1" s="305"/>
      <c r="FOX1" s="305"/>
      <c r="FOY1" s="305"/>
      <c r="FOZ1" s="305"/>
      <c r="FPA1" s="305"/>
      <c r="FPB1" s="305"/>
      <c r="FPC1" s="305"/>
      <c r="FPD1" s="305"/>
      <c r="FPE1" s="305"/>
      <c r="FPF1" s="305"/>
      <c r="FPG1" s="305"/>
      <c r="FPH1" s="305"/>
      <c r="FPI1" s="305"/>
      <c r="FPJ1" s="305"/>
      <c r="FPK1" s="305"/>
      <c r="FPL1" s="305"/>
      <c r="FPM1" s="305"/>
      <c r="FPN1" s="305"/>
      <c r="FPO1" s="305"/>
      <c r="FPP1" s="305"/>
      <c r="FPQ1" s="305"/>
      <c r="FPR1" s="305"/>
      <c r="FPS1" s="305"/>
      <c r="FPT1" s="305"/>
      <c r="FPU1" s="305"/>
      <c r="FPV1" s="305"/>
      <c r="FPW1" s="305"/>
      <c r="FPX1" s="305"/>
      <c r="FPY1" s="305"/>
      <c r="FPZ1" s="305"/>
      <c r="FQA1" s="305"/>
      <c r="FQB1" s="305"/>
      <c r="FQC1" s="305"/>
      <c r="FQD1" s="305"/>
      <c r="FQE1" s="305"/>
      <c r="FQF1" s="305"/>
      <c r="FQG1" s="305"/>
      <c r="FQH1" s="305"/>
      <c r="FQI1" s="305"/>
      <c r="FQJ1" s="305"/>
      <c r="FQK1" s="305"/>
      <c r="FQL1" s="305"/>
      <c r="FQM1" s="305"/>
      <c r="FQN1" s="305"/>
      <c r="FQO1" s="305"/>
      <c r="FQP1" s="305"/>
      <c r="FQQ1" s="305"/>
      <c r="FQR1" s="305"/>
      <c r="FQS1" s="305"/>
      <c r="FQT1" s="305"/>
      <c r="FQU1" s="305"/>
      <c r="FQV1" s="305"/>
      <c r="FQW1" s="305"/>
      <c r="FQX1" s="305"/>
      <c r="FQY1" s="305"/>
      <c r="FQZ1" s="305"/>
      <c r="FRA1" s="305"/>
      <c r="FRB1" s="305"/>
      <c r="FRC1" s="305"/>
      <c r="FRD1" s="305"/>
      <c r="FRE1" s="305"/>
      <c r="FRF1" s="305"/>
      <c r="FRG1" s="305"/>
      <c r="FRH1" s="305"/>
      <c r="FRI1" s="305"/>
      <c r="FRJ1" s="305"/>
      <c r="FRK1" s="305"/>
      <c r="FRL1" s="305"/>
      <c r="FRM1" s="305"/>
      <c r="FRN1" s="305"/>
      <c r="FRO1" s="305"/>
      <c r="FRP1" s="305"/>
      <c r="FRQ1" s="305"/>
      <c r="FRR1" s="305"/>
      <c r="FRS1" s="305"/>
      <c r="FRT1" s="305"/>
      <c r="FRU1" s="305"/>
      <c r="FRV1" s="305"/>
      <c r="FRW1" s="305"/>
      <c r="FRX1" s="305"/>
      <c r="FRY1" s="305"/>
      <c r="FRZ1" s="305"/>
      <c r="FSA1" s="305"/>
      <c r="FSB1" s="305"/>
      <c r="FSC1" s="305"/>
      <c r="FSD1" s="305"/>
      <c r="FSE1" s="305"/>
      <c r="FSF1" s="305"/>
      <c r="FSG1" s="305"/>
      <c r="FSH1" s="305"/>
      <c r="FSI1" s="305"/>
      <c r="FSJ1" s="305"/>
      <c r="FSK1" s="305"/>
      <c r="FSL1" s="305"/>
      <c r="FSM1" s="305"/>
      <c r="FSN1" s="305"/>
      <c r="FSO1" s="305"/>
      <c r="FSP1" s="305"/>
      <c r="FSQ1" s="305"/>
      <c r="FSR1" s="305"/>
      <c r="FSS1" s="305"/>
      <c r="FST1" s="305"/>
      <c r="FSU1" s="305"/>
      <c r="FSV1" s="305"/>
      <c r="FSW1" s="305"/>
      <c r="FSX1" s="305"/>
      <c r="FSY1" s="305"/>
      <c r="FSZ1" s="305"/>
      <c r="FTA1" s="305"/>
      <c r="FTB1" s="305"/>
      <c r="FTC1" s="305"/>
      <c r="FTD1" s="305"/>
      <c r="FTE1" s="305"/>
      <c r="FTF1" s="305"/>
      <c r="FTG1" s="305"/>
      <c r="FTH1" s="305"/>
      <c r="FTI1" s="305"/>
      <c r="FTJ1" s="305"/>
      <c r="FTK1" s="305"/>
      <c r="FTL1" s="305"/>
      <c r="FTM1" s="305"/>
      <c r="FTN1" s="305"/>
      <c r="FTO1" s="305"/>
      <c r="FTP1" s="305"/>
      <c r="FTQ1" s="305"/>
      <c r="FTR1" s="305"/>
      <c r="FTS1" s="305"/>
      <c r="FTT1" s="305"/>
      <c r="FTU1" s="305"/>
      <c r="FTV1" s="305"/>
      <c r="FTW1" s="305"/>
      <c r="FTX1" s="305"/>
      <c r="FTY1" s="305"/>
      <c r="FTZ1" s="305"/>
      <c r="FUA1" s="305"/>
      <c r="FUB1" s="305"/>
      <c r="FUC1" s="305"/>
      <c r="FUD1" s="305"/>
      <c r="FUE1" s="305"/>
      <c r="FUF1" s="305"/>
      <c r="FUG1" s="305"/>
      <c r="FUH1" s="305"/>
      <c r="FUI1" s="305"/>
      <c r="FUJ1" s="305"/>
      <c r="FUK1" s="305"/>
      <c r="FUL1" s="305"/>
      <c r="FUM1" s="305"/>
      <c r="FUN1" s="305"/>
      <c r="FUO1" s="305"/>
      <c r="FUP1" s="305"/>
      <c r="FUQ1" s="305"/>
      <c r="FUR1" s="305"/>
      <c r="FUS1" s="305"/>
      <c r="FUT1" s="305"/>
      <c r="FUU1" s="305"/>
      <c r="FUV1" s="305"/>
      <c r="FUW1" s="305"/>
      <c r="FUX1" s="305"/>
      <c r="FUY1" s="305"/>
      <c r="FUZ1" s="305"/>
      <c r="FVA1" s="305"/>
      <c r="FVB1" s="305"/>
      <c r="FVC1" s="305"/>
      <c r="FVD1" s="305"/>
      <c r="FVE1" s="305"/>
      <c r="FVF1" s="305"/>
      <c r="FVG1" s="305"/>
      <c r="FVH1" s="305"/>
      <c r="FVI1" s="305"/>
      <c r="FVJ1" s="305"/>
      <c r="FVK1" s="305"/>
      <c r="FVL1" s="305"/>
      <c r="FVM1" s="305"/>
      <c r="FVN1" s="305"/>
      <c r="FVO1" s="305"/>
      <c r="FVP1" s="305"/>
      <c r="FVQ1" s="305"/>
      <c r="FVR1" s="305"/>
      <c r="FVS1" s="305"/>
      <c r="FVT1" s="305"/>
      <c r="FVU1" s="305"/>
      <c r="FVV1" s="305"/>
      <c r="FVW1" s="305"/>
      <c r="FVX1" s="305"/>
      <c r="FVY1" s="305"/>
      <c r="FVZ1" s="305"/>
      <c r="FWA1" s="305"/>
      <c r="FWB1" s="305"/>
      <c r="FWC1" s="305"/>
      <c r="FWD1" s="305"/>
      <c r="FWE1" s="305"/>
      <c r="FWF1" s="305"/>
      <c r="FWG1" s="305"/>
      <c r="FWH1" s="305"/>
      <c r="FWI1" s="305"/>
      <c r="FWJ1" s="305"/>
      <c r="FWK1" s="305"/>
      <c r="FWL1" s="305"/>
      <c r="FWM1" s="305"/>
      <c r="FWN1" s="305"/>
      <c r="FWO1" s="305"/>
      <c r="FWP1" s="305"/>
      <c r="FWQ1" s="305"/>
      <c r="FWR1" s="305"/>
      <c r="FWS1" s="305"/>
      <c r="FWT1" s="305"/>
      <c r="FWU1" s="305"/>
      <c r="FWV1" s="305"/>
      <c r="FWW1" s="305"/>
      <c r="FWX1" s="305"/>
      <c r="FWY1" s="305"/>
      <c r="FWZ1" s="305"/>
      <c r="FXA1" s="305"/>
      <c r="FXB1" s="305"/>
      <c r="FXC1" s="305"/>
      <c r="FXD1" s="305"/>
      <c r="FXE1" s="305"/>
      <c r="FXF1" s="305"/>
      <c r="FXG1" s="305"/>
      <c r="FXH1" s="305"/>
      <c r="FXI1" s="305"/>
      <c r="FXJ1" s="305"/>
      <c r="FXK1" s="305"/>
      <c r="FXL1" s="305"/>
      <c r="FXM1" s="305"/>
      <c r="FXN1" s="305"/>
      <c r="FXO1" s="305"/>
      <c r="FXP1" s="305"/>
      <c r="FXQ1" s="305"/>
      <c r="FXR1" s="305"/>
      <c r="FXS1" s="305"/>
      <c r="FXT1" s="305"/>
      <c r="FXU1" s="305"/>
      <c r="FXV1" s="305"/>
      <c r="FXW1" s="305"/>
      <c r="FXX1" s="305"/>
      <c r="FXY1" s="305"/>
      <c r="FXZ1" s="305"/>
      <c r="FYA1" s="305"/>
      <c r="FYB1" s="305"/>
      <c r="FYC1" s="305"/>
      <c r="FYD1" s="305"/>
      <c r="FYE1" s="305"/>
      <c r="FYF1" s="305"/>
      <c r="FYG1" s="305"/>
      <c r="FYH1" s="305"/>
      <c r="FYI1" s="305"/>
      <c r="FYJ1" s="305"/>
      <c r="FYK1" s="305"/>
      <c r="FYL1" s="305"/>
      <c r="FYM1" s="305"/>
      <c r="FYN1" s="305"/>
      <c r="FYO1" s="305"/>
      <c r="FYP1" s="305"/>
      <c r="FYQ1" s="305"/>
      <c r="FYR1" s="305"/>
      <c r="FYS1" s="305"/>
      <c r="FYT1" s="305"/>
      <c r="FYU1" s="305"/>
      <c r="FYV1" s="305"/>
      <c r="FYW1" s="305"/>
      <c r="FYX1" s="305"/>
      <c r="FYY1" s="305"/>
      <c r="FYZ1" s="305"/>
      <c r="FZA1" s="305"/>
      <c r="FZB1" s="305"/>
      <c r="FZC1" s="305"/>
      <c r="FZD1" s="305"/>
      <c r="FZE1" s="305"/>
      <c r="FZF1" s="305"/>
      <c r="FZG1" s="305"/>
      <c r="FZH1" s="305"/>
      <c r="FZI1" s="305"/>
      <c r="FZJ1" s="305"/>
      <c r="FZK1" s="305"/>
      <c r="FZL1" s="305"/>
      <c r="FZM1" s="305"/>
      <c r="FZN1" s="305"/>
      <c r="FZO1" s="305"/>
      <c r="FZP1" s="305"/>
      <c r="FZQ1" s="305"/>
      <c r="FZR1" s="305"/>
      <c r="FZS1" s="305"/>
      <c r="FZT1" s="305"/>
      <c r="FZU1" s="305"/>
      <c r="FZV1" s="305"/>
      <c r="FZW1" s="305"/>
      <c r="FZX1" s="305"/>
      <c r="FZY1" s="305"/>
      <c r="FZZ1" s="305"/>
      <c r="GAA1" s="305"/>
      <c r="GAB1" s="305"/>
      <c r="GAC1" s="305"/>
      <c r="GAD1" s="305"/>
      <c r="GAE1" s="305"/>
      <c r="GAF1" s="305"/>
      <c r="GAG1" s="305"/>
      <c r="GAH1" s="305"/>
      <c r="GAI1" s="305"/>
      <c r="GAJ1" s="305"/>
      <c r="GAK1" s="305"/>
      <c r="GAL1" s="305"/>
      <c r="GAM1" s="305"/>
      <c r="GAN1" s="305"/>
      <c r="GAO1" s="305"/>
      <c r="GAP1" s="305"/>
      <c r="GAQ1" s="305"/>
      <c r="GAR1" s="305"/>
      <c r="GAS1" s="305"/>
      <c r="GAT1" s="305"/>
      <c r="GAU1" s="305"/>
      <c r="GAV1" s="305"/>
      <c r="GAW1" s="305"/>
      <c r="GAX1" s="305"/>
      <c r="GAY1" s="305"/>
      <c r="GAZ1" s="305"/>
      <c r="GBA1" s="305"/>
      <c r="GBB1" s="305"/>
      <c r="GBC1" s="305"/>
      <c r="GBD1" s="305"/>
      <c r="GBE1" s="305"/>
      <c r="GBF1" s="305"/>
      <c r="GBG1" s="305"/>
      <c r="GBH1" s="305"/>
      <c r="GBI1" s="305"/>
      <c r="GBJ1" s="305"/>
      <c r="GBK1" s="305"/>
      <c r="GBL1" s="305"/>
      <c r="GBM1" s="305"/>
      <c r="GBN1" s="305"/>
      <c r="GBO1" s="305"/>
      <c r="GBP1" s="305"/>
      <c r="GBQ1" s="305"/>
      <c r="GBR1" s="305"/>
      <c r="GBS1" s="305"/>
      <c r="GBT1" s="305"/>
      <c r="GBU1" s="305"/>
      <c r="GBV1" s="305"/>
      <c r="GBW1" s="305"/>
      <c r="GBX1" s="305"/>
      <c r="GBY1" s="305"/>
      <c r="GBZ1" s="305"/>
      <c r="GCA1" s="305"/>
      <c r="GCB1" s="305"/>
      <c r="GCC1" s="305"/>
      <c r="GCD1" s="305"/>
      <c r="GCE1" s="305"/>
      <c r="GCF1" s="305"/>
      <c r="GCG1" s="305"/>
      <c r="GCH1" s="305"/>
      <c r="GCI1" s="305"/>
      <c r="GCJ1" s="305"/>
      <c r="GCK1" s="305"/>
      <c r="GCL1" s="305"/>
      <c r="GCM1" s="305"/>
      <c r="GCN1" s="305"/>
      <c r="GCO1" s="305"/>
      <c r="GCP1" s="305"/>
      <c r="GCQ1" s="305"/>
      <c r="GCR1" s="305"/>
      <c r="GCS1" s="305"/>
      <c r="GCT1" s="305"/>
      <c r="GCU1" s="305"/>
      <c r="GCV1" s="305"/>
      <c r="GCW1" s="305"/>
      <c r="GCX1" s="305"/>
      <c r="GCY1" s="305"/>
      <c r="GCZ1" s="305"/>
      <c r="GDA1" s="305"/>
      <c r="GDB1" s="305"/>
      <c r="GDC1" s="305"/>
      <c r="GDD1" s="305"/>
      <c r="GDE1" s="305"/>
      <c r="GDF1" s="305"/>
      <c r="GDG1" s="305"/>
      <c r="GDH1" s="305"/>
      <c r="GDI1" s="305"/>
      <c r="GDJ1" s="305"/>
      <c r="GDK1" s="305"/>
      <c r="GDL1" s="305"/>
      <c r="GDM1" s="305"/>
      <c r="GDN1" s="305"/>
      <c r="GDO1" s="305"/>
      <c r="GDP1" s="305"/>
      <c r="GDQ1" s="305"/>
      <c r="GDR1" s="305"/>
      <c r="GDS1" s="305"/>
      <c r="GDT1" s="305"/>
      <c r="GDU1" s="305"/>
      <c r="GDV1" s="305"/>
      <c r="GDW1" s="305"/>
      <c r="GDX1" s="305"/>
      <c r="GDY1" s="305"/>
      <c r="GDZ1" s="305"/>
      <c r="GEA1" s="305"/>
      <c r="GEB1" s="305"/>
      <c r="GEC1" s="305"/>
      <c r="GED1" s="305"/>
      <c r="GEE1" s="305"/>
      <c r="GEF1" s="305"/>
      <c r="GEG1" s="305"/>
      <c r="GEH1" s="305"/>
      <c r="GEI1" s="305"/>
      <c r="GEJ1" s="305"/>
      <c r="GEK1" s="305"/>
      <c r="GEL1" s="305"/>
      <c r="GEM1" s="305"/>
      <c r="GEN1" s="305"/>
      <c r="GEO1" s="305"/>
      <c r="GEP1" s="305"/>
      <c r="GEQ1" s="305"/>
      <c r="GER1" s="305"/>
      <c r="GES1" s="305"/>
      <c r="GET1" s="305"/>
      <c r="GEU1" s="305"/>
      <c r="GEV1" s="305"/>
      <c r="GEW1" s="305"/>
      <c r="GEX1" s="305"/>
      <c r="GEY1" s="305"/>
      <c r="GEZ1" s="305"/>
      <c r="GFA1" s="305"/>
      <c r="GFB1" s="305"/>
      <c r="GFC1" s="305"/>
      <c r="GFD1" s="305"/>
      <c r="GFE1" s="305"/>
      <c r="GFF1" s="305"/>
      <c r="GFG1" s="305"/>
      <c r="GFH1" s="305"/>
      <c r="GFI1" s="305"/>
      <c r="GFJ1" s="305"/>
      <c r="GFK1" s="305"/>
      <c r="GFL1" s="305"/>
      <c r="GFM1" s="305"/>
      <c r="GFN1" s="305"/>
      <c r="GFO1" s="305"/>
      <c r="GFP1" s="305"/>
      <c r="GFQ1" s="305"/>
      <c r="GFR1" s="305"/>
      <c r="GFS1" s="305"/>
      <c r="GFT1" s="305"/>
      <c r="GFU1" s="305"/>
      <c r="GFV1" s="305"/>
      <c r="GFW1" s="305"/>
      <c r="GFX1" s="305"/>
      <c r="GFY1" s="305"/>
      <c r="GFZ1" s="305"/>
      <c r="GGA1" s="305"/>
      <c r="GGB1" s="305"/>
      <c r="GGC1" s="305"/>
      <c r="GGD1" s="305"/>
      <c r="GGE1" s="305"/>
      <c r="GGF1" s="305"/>
      <c r="GGG1" s="305"/>
      <c r="GGH1" s="305"/>
      <c r="GGI1" s="305"/>
      <c r="GGJ1" s="305"/>
      <c r="GGK1" s="305"/>
      <c r="GGL1" s="305"/>
      <c r="GGM1" s="305"/>
      <c r="GGN1" s="305"/>
      <c r="GGO1" s="305"/>
      <c r="GGP1" s="305"/>
      <c r="GGQ1" s="305"/>
      <c r="GGR1" s="305"/>
      <c r="GGS1" s="305"/>
      <c r="GGT1" s="305"/>
      <c r="GGU1" s="305"/>
      <c r="GGV1" s="305"/>
      <c r="GGW1" s="305"/>
      <c r="GGX1" s="305"/>
      <c r="GGY1" s="305"/>
      <c r="GGZ1" s="305"/>
      <c r="GHA1" s="305"/>
      <c r="GHB1" s="305"/>
      <c r="GHC1" s="305"/>
      <c r="GHD1" s="305"/>
      <c r="GHE1" s="305"/>
      <c r="GHF1" s="305"/>
      <c r="GHG1" s="305"/>
      <c r="GHH1" s="305"/>
      <c r="GHI1" s="305"/>
      <c r="GHJ1" s="305"/>
      <c r="GHK1" s="305"/>
      <c r="GHL1" s="305"/>
      <c r="GHM1" s="305"/>
      <c r="GHN1" s="305"/>
      <c r="GHO1" s="305"/>
      <c r="GHP1" s="305"/>
      <c r="GHQ1" s="305"/>
      <c r="GHR1" s="305"/>
      <c r="GHS1" s="305"/>
      <c r="GHT1" s="305"/>
      <c r="GHU1" s="305"/>
      <c r="GHV1" s="305"/>
      <c r="GHW1" s="305"/>
      <c r="GHX1" s="305"/>
      <c r="GHY1" s="305"/>
      <c r="GHZ1" s="305"/>
      <c r="GIA1" s="305"/>
      <c r="GIB1" s="305"/>
      <c r="GIC1" s="305"/>
      <c r="GID1" s="305"/>
      <c r="GIE1" s="305"/>
      <c r="GIF1" s="305"/>
      <c r="GIG1" s="305"/>
      <c r="GIH1" s="305"/>
      <c r="GII1" s="305"/>
      <c r="GIJ1" s="305"/>
      <c r="GIK1" s="305"/>
      <c r="GIL1" s="305"/>
      <c r="GIM1" s="305"/>
      <c r="GIN1" s="305"/>
      <c r="GIO1" s="305"/>
      <c r="GIP1" s="305"/>
      <c r="GIQ1" s="305"/>
      <c r="GIR1" s="305"/>
      <c r="GIS1" s="305"/>
      <c r="GIT1" s="305"/>
      <c r="GIU1" s="305"/>
      <c r="GIV1" s="305"/>
      <c r="GIW1" s="305"/>
      <c r="GIX1" s="305"/>
      <c r="GIY1" s="305"/>
      <c r="GIZ1" s="305"/>
      <c r="GJA1" s="305"/>
      <c r="GJB1" s="305"/>
      <c r="GJC1" s="305"/>
      <c r="GJD1" s="305"/>
      <c r="GJE1" s="305"/>
      <c r="GJF1" s="305"/>
      <c r="GJG1" s="305"/>
      <c r="GJH1" s="305"/>
      <c r="GJI1" s="305"/>
      <c r="GJJ1" s="305"/>
      <c r="GJK1" s="305"/>
      <c r="GJL1" s="305"/>
      <c r="GJM1" s="305"/>
      <c r="GJN1" s="305"/>
      <c r="GJO1" s="305"/>
      <c r="GJP1" s="305"/>
      <c r="GJQ1" s="305"/>
      <c r="GJR1" s="305"/>
      <c r="GJS1" s="305"/>
      <c r="GJT1" s="305"/>
      <c r="GJU1" s="305"/>
      <c r="GJV1" s="305"/>
      <c r="GJW1" s="305"/>
      <c r="GJX1" s="305"/>
      <c r="GJY1" s="305"/>
      <c r="GJZ1" s="305"/>
      <c r="GKA1" s="305"/>
      <c r="GKB1" s="305"/>
      <c r="GKC1" s="305"/>
      <c r="GKD1" s="305"/>
      <c r="GKE1" s="305"/>
      <c r="GKF1" s="305"/>
      <c r="GKG1" s="305"/>
      <c r="GKH1" s="305"/>
      <c r="GKI1" s="305"/>
      <c r="GKJ1" s="305"/>
      <c r="GKK1" s="305"/>
      <c r="GKL1" s="305"/>
      <c r="GKM1" s="305"/>
      <c r="GKN1" s="305"/>
      <c r="GKO1" s="305"/>
      <c r="GKP1" s="305"/>
      <c r="GKQ1" s="305"/>
      <c r="GKR1" s="305"/>
      <c r="GKS1" s="305"/>
      <c r="GKT1" s="305"/>
      <c r="GKU1" s="305"/>
      <c r="GKV1" s="305"/>
      <c r="GKW1" s="305"/>
      <c r="GKX1" s="305"/>
      <c r="GKY1" s="305"/>
      <c r="GKZ1" s="305"/>
      <c r="GLA1" s="305"/>
      <c r="GLB1" s="305"/>
      <c r="GLC1" s="305"/>
      <c r="GLD1" s="305"/>
      <c r="GLE1" s="305"/>
      <c r="GLF1" s="305"/>
      <c r="GLG1" s="305"/>
      <c r="GLH1" s="305"/>
      <c r="GLI1" s="305"/>
      <c r="GLJ1" s="305"/>
      <c r="GLK1" s="305"/>
      <c r="GLL1" s="305"/>
      <c r="GLM1" s="305"/>
      <c r="GLN1" s="305"/>
      <c r="GLO1" s="305"/>
      <c r="GLP1" s="305"/>
      <c r="GLQ1" s="305"/>
      <c r="GLR1" s="305"/>
      <c r="GLS1" s="305"/>
      <c r="GLT1" s="305"/>
      <c r="GLU1" s="305"/>
      <c r="GLV1" s="305"/>
      <c r="GLW1" s="305"/>
      <c r="GLX1" s="305"/>
      <c r="GLY1" s="305"/>
      <c r="GLZ1" s="305"/>
      <c r="GMA1" s="305"/>
      <c r="GMB1" s="305"/>
      <c r="GMC1" s="305"/>
      <c r="GMD1" s="305"/>
      <c r="GME1" s="305"/>
      <c r="GMF1" s="305"/>
      <c r="GMG1" s="305"/>
      <c r="GMH1" s="305"/>
      <c r="GMI1" s="305"/>
      <c r="GMJ1" s="305"/>
      <c r="GMK1" s="305"/>
      <c r="GML1" s="305"/>
      <c r="GMM1" s="305"/>
      <c r="GMN1" s="305"/>
      <c r="GMO1" s="305"/>
      <c r="GMP1" s="305"/>
      <c r="GMQ1" s="305"/>
      <c r="GMR1" s="305"/>
      <c r="GMS1" s="305"/>
      <c r="GMT1" s="305"/>
      <c r="GMU1" s="305"/>
      <c r="GMV1" s="305"/>
      <c r="GMW1" s="305"/>
      <c r="GMX1" s="305"/>
      <c r="GMY1" s="305"/>
      <c r="GMZ1" s="305"/>
      <c r="GNA1" s="305"/>
      <c r="GNB1" s="305"/>
      <c r="GNC1" s="305"/>
      <c r="GND1" s="305"/>
      <c r="GNE1" s="305"/>
      <c r="GNF1" s="305"/>
      <c r="GNG1" s="305"/>
      <c r="GNH1" s="305"/>
      <c r="GNI1" s="305"/>
      <c r="GNJ1" s="305"/>
      <c r="GNK1" s="305"/>
      <c r="GNL1" s="305"/>
      <c r="GNM1" s="305"/>
      <c r="GNN1" s="305"/>
      <c r="GNO1" s="305"/>
      <c r="GNP1" s="305"/>
      <c r="GNQ1" s="305"/>
      <c r="GNR1" s="305"/>
      <c r="GNS1" s="305"/>
      <c r="GNT1" s="305"/>
      <c r="GNU1" s="305"/>
      <c r="GNV1" s="305"/>
      <c r="GNW1" s="305"/>
      <c r="GNX1" s="305"/>
      <c r="GNY1" s="305"/>
      <c r="GNZ1" s="305"/>
      <c r="GOA1" s="305"/>
      <c r="GOB1" s="305"/>
      <c r="GOC1" s="305"/>
      <c r="GOD1" s="305"/>
      <c r="GOE1" s="305"/>
      <c r="GOF1" s="305"/>
      <c r="GOG1" s="305"/>
      <c r="GOH1" s="305"/>
      <c r="GOI1" s="305"/>
      <c r="GOJ1" s="305"/>
      <c r="GOK1" s="305"/>
      <c r="GOL1" s="305"/>
      <c r="GOM1" s="305"/>
      <c r="GON1" s="305"/>
      <c r="GOO1" s="305"/>
      <c r="GOP1" s="305"/>
      <c r="GOQ1" s="305"/>
      <c r="GOR1" s="305"/>
      <c r="GOS1" s="305"/>
      <c r="GOT1" s="305"/>
      <c r="GOU1" s="305"/>
      <c r="GOV1" s="305"/>
      <c r="GOW1" s="305"/>
      <c r="GOX1" s="305"/>
      <c r="GOY1" s="305"/>
      <c r="GOZ1" s="305"/>
      <c r="GPA1" s="305"/>
      <c r="GPB1" s="305"/>
      <c r="GPC1" s="305"/>
      <c r="GPD1" s="305"/>
      <c r="GPE1" s="305"/>
      <c r="GPF1" s="305"/>
      <c r="GPG1" s="305"/>
      <c r="GPH1" s="305"/>
      <c r="GPI1" s="305"/>
      <c r="GPJ1" s="305"/>
      <c r="GPK1" s="305"/>
      <c r="GPL1" s="305"/>
      <c r="GPM1" s="305"/>
      <c r="GPN1" s="305"/>
      <c r="GPO1" s="305"/>
      <c r="GPP1" s="305"/>
      <c r="GPQ1" s="305"/>
      <c r="GPR1" s="305"/>
      <c r="GPS1" s="305"/>
      <c r="GPT1" s="305"/>
      <c r="GPU1" s="305"/>
      <c r="GPV1" s="305"/>
      <c r="GPW1" s="305"/>
      <c r="GPX1" s="305"/>
      <c r="GPY1" s="305"/>
      <c r="GPZ1" s="305"/>
      <c r="GQA1" s="305"/>
      <c r="GQB1" s="305"/>
      <c r="GQC1" s="305"/>
      <c r="GQD1" s="305"/>
      <c r="GQE1" s="305"/>
      <c r="GQF1" s="305"/>
      <c r="GQG1" s="305"/>
      <c r="GQH1" s="305"/>
      <c r="GQI1" s="305"/>
      <c r="GQJ1" s="305"/>
      <c r="GQK1" s="305"/>
      <c r="GQL1" s="305"/>
      <c r="GQM1" s="305"/>
      <c r="GQN1" s="305"/>
      <c r="GQO1" s="305"/>
      <c r="GQP1" s="305"/>
      <c r="GQQ1" s="305"/>
      <c r="GQR1" s="305"/>
      <c r="GQS1" s="305"/>
      <c r="GQT1" s="305"/>
      <c r="GQU1" s="305"/>
      <c r="GQV1" s="305"/>
      <c r="GQW1" s="305"/>
      <c r="GQX1" s="305"/>
      <c r="GQY1" s="305"/>
      <c r="GQZ1" s="305"/>
      <c r="GRA1" s="305"/>
      <c r="GRB1" s="305"/>
      <c r="GRC1" s="305"/>
      <c r="GRD1" s="305"/>
      <c r="GRE1" s="305"/>
      <c r="GRF1" s="305"/>
      <c r="GRG1" s="305"/>
      <c r="GRH1" s="305"/>
      <c r="GRI1" s="305"/>
      <c r="GRJ1" s="305"/>
      <c r="GRK1" s="305"/>
      <c r="GRL1" s="305"/>
      <c r="GRM1" s="305"/>
      <c r="GRN1" s="305"/>
      <c r="GRO1" s="305"/>
      <c r="GRP1" s="305"/>
      <c r="GRQ1" s="305"/>
      <c r="GRR1" s="305"/>
      <c r="GRS1" s="305"/>
      <c r="GRT1" s="305"/>
      <c r="GRU1" s="305"/>
      <c r="GRV1" s="305"/>
      <c r="GRW1" s="305"/>
      <c r="GRX1" s="305"/>
      <c r="GRY1" s="305"/>
      <c r="GRZ1" s="305"/>
      <c r="GSA1" s="305"/>
      <c r="GSB1" s="305"/>
      <c r="GSC1" s="305"/>
      <c r="GSD1" s="305"/>
      <c r="GSE1" s="305"/>
      <c r="GSF1" s="305"/>
      <c r="GSG1" s="305"/>
      <c r="GSH1" s="305"/>
      <c r="GSI1" s="305"/>
      <c r="GSJ1" s="305"/>
      <c r="GSK1" s="305"/>
      <c r="GSL1" s="305"/>
      <c r="GSM1" s="305"/>
      <c r="GSN1" s="305"/>
      <c r="GSO1" s="305"/>
      <c r="GSP1" s="305"/>
      <c r="GSQ1" s="305"/>
      <c r="GSR1" s="305"/>
      <c r="GSS1" s="305"/>
      <c r="GST1" s="305"/>
      <c r="GSU1" s="305"/>
      <c r="GSV1" s="305"/>
      <c r="GSW1" s="305"/>
      <c r="GSX1" s="305"/>
      <c r="GSY1" s="305"/>
      <c r="GSZ1" s="305"/>
      <c r="GTA1" s="305"/>
      <c r="GTB1" s="305"/>
      <c r="GTC1" s="305"/>
      <c r="GTD1" s="305"/>
      <c r="GTE1" s="305"/>
      <c r="GTF1" s="305"/>
      <c r="GTG1" s="305"/>
      <c r="GTH1" s="305"/>
      <c r="GTI1" s="305"/>
      <c r="GTJ1" s="305"/>
      <c r="GTK1" s="305"/>
      <c r="GTL1" s="305"/>
      <c r="GTM1" s="305"/>
      <c r="GTN1" s="305"/>
      <c r="GTO1" s="305"/>
      <c r="GTP1" s="305"/>
      <c r="GTQ1" s="305"/>
      <c r="GTR1" s="305"/>
      <c r="GTS1" s="305"/>
      <c r="GTT1" s="305"/>
      <c r="GTU1" s="305"/>
      <c r="GTV1" s="305"/>
      <c r="GTW1" s="305"/>
      <c r="GTX1" s="305"/>
      <c r="GTY1" s="305"/>
      <c r="GTZ1" s="305"/>
      <c r="GUA1" s="305"/>
      <c r="GUB1" s="305"/>
      <c r="GUC1" s="305"/>
      <c r="GUD1" s="305"/>
      <c r="GUE1" s="305"/>
      <c r="GUF1" s="305"/>
      <c r="GUG1" s="305"/>
      <c r="GUH1" s="305"/>
      <c r="GUI1" s="305"/>
      <c r="GUJ1" s="305"/>
      <c r="GUK1" s="305"/>
      <c r="GUL1" s="305"/>
      <c r="GUM1" s="305"/>
      <c r="GUN1" s="305"/>
      <c r="GUO1" s="305"/>
      <c r="GUP1" s="305"/>
      <c r="GUQ1" s="305"/>
      <c r="GUR1" s="305"/>
      <c r="GUS1" s="305"/>
      <c r="GUT1" s="305"/>
      <c r="GUU1" s="305"/>
      <c r="GUV1" s="305"/>
      <c r="GUW1" s="305"/>
      <c r="GUX1" s="305"/>
      <c r="GUY1" s="305"/>
      <c r="GUZ1" s="305"/>
      <c r="GVA1" s="305"/>
      <c r="GVB1" s="305"/>
      <c r="GVC1" s="305"/>
      <c r="GVD1" s="305"/>
      <c r="GVE1" s="305"/>
      <c r="GVF1" s="305"/>
      <c r="GVG1" s="305"/>
      <c r="GVH1" s="305"/>
      <c r="GVI1" s="305"/>
      <c r="GVJ1" s="305"/>
      <c r="GVK1" s="305"/>
      <c r="GVL1" s="305"/>
      <c r="GVM1" s="305"/>
      <c r="GVN1" s="305"/>
      <c r="GVO1" s="305"/>
      <c r="GVP1" s="305"/>
      <c r="GVQ1" s="305"/>
      <c r="GVR1" s="305"/>
      <c r="GVS1" s="305"/>
      <c r="GVT1" s="305"/>
      <c r="GVU1" s="305"/>
      <c r="GVV1" s="305"/>
      <c r="GVW1" s="305"/>
      <c r="GVX1" s="305"/>
      <c r="GVY1" s="305"/>
      <c r="GVZ1" s="305"/>
      <c r="GWA1" s="305"/>
      <c r="GWB1" s="305"/>
      <c r="GWC1" s="305"/>
      <c r="GWD1" s="305"/>
      <c r="GWE1" s="305"/>
      <c r="GWF1" s="305"/>
      <c r="GWG1" s="305"/>
      <c r="GWH1" s="305"/>
      <c r="GWI1" s="305"/>
      <c r="GWJ1" s="305"/>
      <c r="GWK1" s="305"/>
      <c r="GWL1" s="305"/>
      <c r="GWM1" s="305"/>
      <c r="GWN1" s="305"/>
      <c r="GWO1" s="305"/>
      <c r="GWP1" s="305"/>
      <c r="GWQ1" s="305"/>
      <c r="GWR1" s="305"/>
      <c r="GWS1" s="305"/>
      <c r="GWT1" s="305"/>
      <c r="GWU1" s="305"/>
      <c r="GWV1" s="305"/>
      <c r="GWW1" s="305"/>
      <c r="GWX1" s="305"/>
      <c r="GWY1" s="305"/>
      <c r="GWZ1" s="305"/>
      <c r="GXA1" s="305"/>
      <c r="GXB1" s="305"/>
      <c r="GXC1" s="305"/>
      <c r="GXD1" s="305"/>
      <c r="GXE1" s="305"/>
      <c r="GXF1" s="305"/>
      <c r="GXG1" s="305"/>
      <c r="GXH1" s="305"/>
      <c r="GXI1" s="305"/>
      <c r="GXJ1" s="305"/>
      <c r="GXK1" s="305"/>
      <c r="GXL1" s="305"/>
      <c r="GXM1" s="305"/>
      <c r="GXN1" s="305"/>
      <c r="GXO1" s="305"/>
      <c r="GXP1" s="305"/>
      <c r="GXQ1" s="305"/>
      <c r="GXR1" s="305"/>
      <c r="GXS1" s="305"/>
      <c r="GXT1" s="305"/>
      <c r="GXU1" s="305"/>
      <c r="GXV1" s="305"/>
      <c r="GXW1" s="305"/>
      <c r="GXX1" s="305"/>
      <c r="GXY1" s="305"/>
      <c r="GXZ1" s="305"/>
      <c r="GYA1" s="305"/>
      <c r="GYB1" s="305"/>
      <c r="GYC1" s="305"/>
      <c r="GYD1" s="305"/>
      <c r="GYE1" s="305"/>
      <c r="GYF1" s="305"/>
      <c r="GYG1" s="305"/>
      <c r="GYH1" s="305"/>
      <c r="GYI1" s="305"/>
      <c r="GYJ1" s="305"/>
      <c r="GYK1" s="305"/>
      <c r="GYL1" s="305"/>
      <c r="GYM1" s="305"/>
      <c r="GYN1" s="305"/>
      <c r="GYO1" s="305"/>
      <c r="GYP1" s="305"/>
      <c r="GYQ1" s="305"/>
      <c r="GYR1" s="305"/>
      <c r="GYS1" s="305"/>
      <c r="GYT1" s="305"/>
      <c r="GYU1" s="305"/>
      <c r="GYV1" s="305"/>
      <c r="GYW1" s="305"/>
      <c r="GYX1" s="305"/>
      <c r="GYY1" s="305"/>
      <c r="GYZ1" s="305"/>
      <c r="GZA1" s="305"/>
      <c r="GZB1" s="305"/>
      <c r="GZC1" s="305"/>
      <c r="GZD1" s="305"/>
      <c r="GZE1" s="305"/>
      <c r="GZF1" s="305"/>
      <c r="GZG1" s="305"/>
      <c r="GZH1" s="305"/>
      <c r="GZI1" s="305"/>
      <c r="GZJ1" s="305"/>
      <c r="GZK1" s="305"/>
      <c r="GZL1" s="305"/>
      <c r="GZM1" s="305"/>
      <c r="GZN1" s="305"/>
      <c r="GZO1" s="305"/>
      <c r="GZP1" s="305"/>
      <c r="GZQ1" s="305"/>
      <c r="GZR1" s="305"/>
      <c r="GZS1" s="305"/>
      <c r="GZT1" s="305"/>
      <c r="GZU1" s="305"/>
      <c r="GZV1" s="305"/>
      <c r="GZW1" s="305"/>
      <c r="GZX1" s="305"/>
      <c r="GZY1" s="305"/>
      <c r="GZZ1" s="305"/>
      <c r="HAA1" s="305"/>
      <c r="HAB1" s="305"/>
      <c r="HAC1" s="305"/>
      <c r="HAD1" s="305"/>
      <c r="HAE1" s="305"/>
      <c r="HAF1" s="305"/>
      <c r="HAG1" s="305"/>
      <c r="HAH1" s="305"/>
      <c r="HAI1" s="305"/>
      <c r="HAJ1" s="305"/>
      <c r="HAK1" s="305"/>
      <c r="HAL1" s="305"/>
      <c r="HAM1" s="305"/>
      <c r="HAN1" s="305"/>
      <c r="HAO1" s="305"/>
      <c r="HAP1" s="305"/>
      <c r="HAQ1" s="305"/>
      <c r="HAR1" s="305"/>
      <c r="HAS1" s="305"/>
      <c r="HAT1" s="305"/>
      <c r="HAU1" s="305"/>
      <c r="HAV1" s="305"/>
      <c r="HAW1" s="305"/>
      <c r="HAX1" s="305"/>
      <c r="HAY1" s="305"/>
      <c r="HAZ1" s="305"/>
      <c r="HBA1" s="305"/>
      <c r="HBB1" s="305"/>
      <c r="HBC1" s="305"/>
      <c r="HBD1" s="305"/>
      <c r="HBE1" s="305"/>
      <c r="HBF1" s="305"/>
      <c r="HBG1" s="305"/>
      <c r="HBH1" s="305"/>
      <c r="HBI1" s="305"/>
      <c r="HBJ1" s="305"/>
      <c r="HBK1" s="305"/>
      <c r="HBL1" s="305"/>
      <c r="HBM1" s="305"/>
      <c r="HBN1" s="305"/>
      <c r="HBO1" s="305"/>
      <c r="HBP1" s="305"/>
      <c r="HBQ1" s="305"/>
      <c r="HBR1" s="305"/>
      <c r="HBS1" s="305"/>
      <c r="HBT1" s="305"/>
      <c r="HBU1" s="305"/>
      <c r="HBV1" s="305"/>
      <c r="HBW1" s="305"/>
      <c r="HBX1" s="305"/>
      <c r="HBY1" s="305"/>
      <c r="HBZ1" s="305"/>
      <c r="HCA1" s="305"/>
      <c r="HCB1" s="305"/>
      <c r="HCC1" s="305"/>
      <c r="HCD1" s="305"/>
      <c r="HCE1" s="305"/>
      <c r="HCF1" s="305"/>
      <c r="HCG1" s="305"/>
      <c r="HCH1" s="305"/>
      <c r="HCI1" s="305"/>
      <c r="HCJ1" s="305"/>
      <c r="HCK1" s="305"/>
      <c r="HCL1" s="305"/>
      <c r="HCM1" s="305"/>
      <c r="HCN1" s="305"/>
      <c r="HCO1" s="305"/>
      <c r="HCP1" s="305"/>
      <c r="HCQ1" s="305"/>
      <c r="HCR1" s="305"/>
      <c r="HCS1" s="305"/>
      <c r="HCT1" s="305"/>
      <c r="HCU1" s="305"/>
      <c r="HCV1" s="305"/>
      <c r="HCW1" s="305"/>
      <c r="HCX1" s="305"/>
      <c r="HCY1" s="305"/>
      <c r="HCZ1" s="305"/>
      <c r="HDA1" s="305"/>
      <c r="HDB1" s="305"/>
      <c r="HDC1" s="305"/>
      <c r="HDD1" s="305"/>
      <c r="HDE1" s="305"/>
      <c r="HDF1" s="305"/>
      <c r="HDG1" s="305"/>
      <c r="HDH1" s="305"/>
      <c r="HDI1" s="305"/>
      <c r="HDJ1" s="305"/>
      <c r="HDK1" s="305"/>
      <c r="HDL1" s="305"/>
      <c r="HDM1" s="305"/>
      <c r="HDN1" s="305"/>
      <c r="HDO1" s="305"/>
      <c r="HDP1" s="305"/>
      <c r="HDQ1" s="305"/>
      <c r="HDR1" s="305"/>
      <c r="HDS1" s="305"/>
      <c r="HDT1" s="305"/>
      <c r="HDU1" s="305"/>
      <c r="HDV1" s="305"/>
      <c r="HDW1" s="305"/>
      <c r="HDX1" s="305"/>
      <c r="HDY1" s="305"/>
      <c r="HDZ1" s="305"/>
      <c r="HEA1" s="305"/>
      <c r="HEB1" s="305"/>
      <c r="HEC1" s="305"/>
      <c r="HED1" s="305"/>
      <c r="HEE1" s="305"/>
      <c r="HEF1" s="305"/>
      <c r="HEG1" s="305"/>
      <c r="HEH1" s="305"/>
      <c r="HEI1" s="305"/>
      <c r="HEJ1" s="305"/>
      <c r="HEK1" s="305"/>
      <c r="HEL1" s="305"/>
      <c r="HEM1" s="305"/>
      <c r="HEN1" s="305"/>
      <c r="HEO1" s="305"/>
      <c r="HEP1" s="305"/>
      <c r="HEQ1" s="305"/>
      <c r="HER1" s="305"/>
      <c r="HES1" s="305"/>
      <c r="HET1" s="305"/>
      <c r="HEU1" s="305"/>
      <c r="HEV1" s="305"/>
      <c r="HEW1" s="305"/>
      <c r="HEX1" s="305"/>
      <c r="HEY1" s="305"/>
      <c r="HEZ1" s="305"/>
      <c r="HFA1" s="305"/>
      <c r="HFB1" s="305"/>
      <c r="HFC1" s="305"/>
      <c r="HFD1" s="305"/>
      <c r="HFE1" s="305"/>
      <c r="HFF1" s="305"/>
      <c r="HFG1" s="305"/>
      <c r="HFH1" s="305"/>
      <c r="HFI1" s="305"/>
      <c r="HFJ1" s="305"/>
      <c r="HFK1" s="305"/>
      <c r="HFL1" s="305"/>
      <c r="HFM1" s="305"/>
      <c r="HFN1" s="305"/>
      <c r="HFO1" s="305"/>
      <c r="HFP1" s="305"/>
      <c r="HFQ1" s="305"/>
      <c r="HFR1" s="305"/>
      <c r="HFS1" s="305"/>
      <c r="HFT1" s="305"/>
      <c r="HFU1" s="305"/>
      <c r="HFV1" s="305"/>
      <c r="HFW1" s="305"/>
      <c r="HFX1" s="305"/>
      <c r="HFY1" s="305"/>
      <c r="HFZ1" s="305"/>
      <c r="HGA1" s="305"/>
      <c r="HGB1" s="305"/>
      <c r="HGC1" s="305"/>
      <c r="HGD1" s="305"/>
      <c r="HGE1" s="305"/>
      <c r="HGF1" s="305"/>
      <c r="HGG1" s="305"/>
      <c r="HGH1" s="305"/>
      <c r="HGI1" s="305"/>
      <c r="HGJ1" s="305"/>
      <c r="HGK1" s="305"/>
      <c r="HGL1" s="305"/>
      <c r="HGM1" s="305"/>
      <c r="HGN1" s="305"/>
      <c r="HGO1" s="305"/>
      <c r="HGP1" s="305"/>
      <c r="HGQ1" s="305"/>
      <c r="HGR1" s="305"/>
      <c r="HGS1" s="305"/>
      <c r="HGT1" s="305"/>
      <c r="HGU1" s="305"/>
      <c r="HGV1" s="305"/>
      <c r="HGW1" s="305"/>
      <c r="HGX1" s="305"/>
      <c r="HGY1" s="305"/>
      <c r="HGZ1" s="305"/>
      <c r="HHA1" s="305"/>
      <c r="HHB1" s="305"/>
      <c r="HHC1" s="305"/>
      <c r="HHD1" s="305"/>
      <c r="HHE1" s="305"/>
      <c r="HHF1" s="305"/>
      <c r="HHG1" s="305"/>
      <c r="HHH1" s="305"/>
      <c r="HHI1" s="305"/>
      <c r="HHJ1" s="305"/>
      <c r="HHK1" s="305"/>
      <c r="HHL1" s="305"/>
      <c r="HHM1" s="305"/>
      <c r="HHN1" s="305"/>
      <c r="HHO1" s="305"/>
      <c r="HHP1" s="305"/>
      <c r="HHQ1" s="305"/>
      <c r="HHR1" s="305"/>
      <c r="HHS1" s="305"/>
      <c r="HHT1" s="305"/>
      <c r="HHU1" s="305"/>
      <c r="HHV1" s="305"/>
      <c r="HHW1" s="305"/>
      <c r="HHX1" s="305"/>
      <c r="HHY1" s="305"/>
      <c r="HHZ1" s="305"/>
      <c r="HIA1" s="305"/>
      <c r="HIB1" s="305"/>
      <c r="HIC1" s="305"/>
      <c r="HID1" s="305"/>
      <c r="HIE1" s="305"/>
      <c r="HIF1" s="305"/>
      <c r="HIG1" s="305"/>
      <c r="HIH1" s="305"/>
      <c r="HII1" s="305"/>
      <c r="HIJ1" s="305"/>
      <c r="HIK1" s="305"/>
      <c r="HIL1" s="305"/>
      <c r="HIM1" s="305"/>
      <c r="HIN1" s="305"/>
      <c r="HIO1" s="305"/>
      <c r="HIP1" s="305"/>
      <c r="HIQ1" s="305"/>
      <c r="HIR1" s="305"/>
      <c r="HIS1" s="305"/>
      <c r="HIT1" s="305"/>
      <c r="HIU1" s="305"/>
      <c r="HIV1" s="305"/>
      <c r="HIW1" s="305"/>
      <c r="HIX1" s="305"/>
      <c r="HIY1" s="305"/>
      <c r="HIZ1" s="305"/>
      <c r="HJA1" s="305"/>
      <c r="HJB1" s="305"/>
      <c r="HJC1" s="305"/>
      <c r="HJD1" s="305"/>
      <c r="HJE1" s="305"/>
      <c r="HJF1" s="305"/>
      <c r="HJG1" s="305"/>
      <c r="HJH1" s="305"/>
      <c r="HJI1" s="305"/>
      <c r="HJJ1" s="305"/>
      <c r="HJK1" s="305"/>
      <c r="HJL1" s="305"/>
      <c r="HJM1" s="305"/>
      <c r="HJN1" s="305"/>
      <c r="HJO1" s="305"/>
      <c r="HJP1" s="305"/>
      <c r="HJQ1" s="305"/>
      <c r="HJR1" s="305"/>
      <c r="HJS1" s="305"/>
      <c r="HJT1" s="305"/>
      <c r="HJU1" s="305"/>
      <c r="HJV1" s="305"/>
      <c r="HJW1" s="305"/>
      <c r="HJX1" s="305"/>
      <c r="HJY1" s="305"/>
      <c r="HJZ1" s="305"/>
      <c r="HKA1" s="305"/>
      <c r="HKB1" s="305"/>
      <c r="HKC1" s="305"/>
      <c r="HKD1" s="305"/>
      <c r="HKE1" s="305"/>
      <c r="HKF1" s="305"/>
      <c r="HKG1" s="305"/>
      <c r="HKH1" s="305"/>
      <c r="HKI1" s="305"/>
      <c r="HKJ1" s="305"/>
      <c r="HKK1" s="305"/>
      <c r="HKL1" s="305"/>
      <c r="HKM1" s="305"/>
      <c r="HKN1" s="305"/>
      <c r="HKO1" s="305"/>
      <c r="HKP1" s="305"/>
      <c r="HKQ1" s="305"/>
      <c r="HKR1" s="305"/>
      <c r="HKS1" s="305"/>
      <c r="HKT1" s="305"/>
      <c r="HKU1" s="305"/>
      <c r="HKV1" s="305"/>
      <c r="HKW1" s="305"/>
      <c r="HKX1" s="305"/>
      <c r="HKY1" s="305"/>
      <c r="HKZ1" s="305"/>
      <c r="HLA1" s="305"/>
      <c r="HLB1" s="305"/>
      <c r="HLC1" s="305"/>
      <c r="HLD1" s="305"/>
      <c r="HLE1" s="305"/>
      <c r="HLF1" s="305"/>
      <c r="HLG1" s="305"/>
      <c r="HLH1" s="305"/>
      <c r="HLI1" s="305"/>
      <c r="HLJ1" s="305"/>
      <c r="HLK1" s="305"/>
      <c r="HLL1" s="305"/>
      <c r="HLM1" s="305"/>
      <c r="HLN1" s="305"/>
      <c r="HLO1" s="305"/>
      <c r="HLP1" s="305"/>
      <c r="HLQ1" s="305"/>
      <c r="HLR1" s="305"/>
      <c r="HLS1" s="305"/>
      <c r="HLT1" s="305"/>
      <c r="HLU1" s="305"/>
      <c r="HLV1" s="305"/>
      <c r="HLW1" s="305"/>
      <c r="HLX1" s="305"/>
      <c r="HLY1" s="305"/>
      <c r="HLZ1" s="305"/>
      <c r="HMA1" s="305"/>
      <c r="HMB1" s="305"/>
      <c r="HMC1" s="305"/>
      <c r="HMD1" s="305"/>
      <c r="HME1" s="305"/>
      <c r="HMF1" s="305"/>
      <c r="HMG1" s="305"/>
      <c r="HMH1" s="305"/>
      <c r="HMI1" s="305"/>
      <c r="HMJ1" s="305"/>
      <c r="HMK1" s="305"/>
      <c r="HML1" s="305"/>
      <c r="HMM1" s="305"/>
      <c r="HMN1" s="305"/>
      <c r="HMO1" s="305"/>
      <c r="HMP1" s="305"/>
      <c r="HMQ1" s="305"/>
      <c r="HMR1" s="305"/>
      <c r="HMS1" s="305"/>
      <c r="HMT1" s="305"/>
      <c r="HMU1" s="305"/>
      <c r="HMV1" s="305"/>
      <c r="HMW1" s="305"/>
      <c r="HMX1" s="305"/>
      <c r="HMY1" s="305"/>
      <c r="HMZ1" s="305"/>
      <c r="HNA1" s="305"/>
      <c r="HNB1" s="305"/>
      <c r="HNC1" s="305"/>
      <c r="HND1" s="305"/>
      <c r="HNE1" s="305"/>
      <c r="HNF1" s="305"/>
      <c r="HNG1" s="305"/>
      <c r="HNH1" s="305"/>
      <c r="HNI1" s="305"/>
      <c r="HNJ1" s="305"/>
      <c r="HNK1" s="305"/>
      <c r="HNL1" s="305"/>
      <c r="HNM1" s="305"/>
      <c r="HNN1" s="305"/>
      <c r="HNO1" s="305"/>
      <c r="HNP1" s="305"/>
      <c r="HNQ1" s="305"/>
      <c r="HNR1" s="305"/>
      <c r="HNS1" s="305"/>
      <c r="HNT1" s="305"/>
      <c r="HNU1" s="305"/>
      <c r="HNV1" s="305"/>
      <c r="HNW1" s="305"/>
      <c r="HNX1" s="305"/>
      <c r="HNY1" s="305"/>
      <c r="HNZ1" s="305"/>
      <c r="HOA1" s="305"/>
      <c r="HOB1" s="305"/>
      <c r="HOC1" s="305"/>
      <c r="HOD1" s="305"/>
      <c r="HOE1" s="305"/>
      <c r="HOF1" s="305"/>
      <c r="HOG1" s="305"/>
      <c r="HOH1" s="305"/>
      <c r="HOI1" s="305"/>
      <c r="HOJ1" s="305"/>
      <c r="HOK1" s="305"/>
      <c r="HOL1" s="305"/>
      <c r="HOM1" s="305"/>
      <c r="HON1" s="305"/>
      <c r="HOO1" s="305"/>
      <c r="HOP1" s="305"/>
      <c r="HOQ1" s="305"/>
      <c r="HOR1" s="305"/>
      <c r="HOS1" s="305"/>
      <c r="HOT1" s="305"/>
      <c r="HOU1" s="305"/>
      <c r="HOV1" s="305"/>
      <c r="HOW1" s="305"/>
      <c r="HOX1" s="305"/>
      <c r="HOY1" s="305"/>
      <c r="HOZ1" s="305"/>
      <c r="HPA1" s="305"/>
      <c r="HPB1" s="305"/>
      <c r="HPC1" s="305"/>
      <c r="HPD1" s="305"/>
      <c r="HPE1" s="305"/>
      <c r="HPF1" s="305"/>
      <c r="HPG1" s="305"/>
      <c r="HPH1" s="305"/>
      <c r="HPI1" s="305"/>
      <c r="HPJ1" s="305"/>
      <c r="HPK1" s="305"/>
      <c r="HPL1" s="305"/>
      <c r="HPM1" s="305"/>
      <c r="HPN1" s="305"/>
      <c r="HPO1" s="305"/>
      <c r="HPP1" s="305"/>
      <c r="HPQ1" s="305"/>
      <c r="HPR1" s="305"/>
      <c r="HPS1" s="305"/>
      <c r="HPT1" s="305"/>
      <c r="HPU1" s="305"/>
      <c r="HPV1" s="305"/>
      <c r="HPW1" s="305"/>
      <c r="HPX1" s="305"/>
      <c r="HPY1" s="305"/>
      <c r="HPZ1" s="305"/>
      <c r="HQA1" s="305"/>
      <c r="HQB1" s="305"/>
      <c r="HQC1" s="305"/>
      <c r="HQD1" s="305"/>
      <c r="HQE1" s="305"/>
      <c r="HQF1" s="305"/>
      <c r="HQG1" s="305"/>
      <c r="HQH1" s="305"/>
      <c r="HQI1" s="305"/>
      <c r="HQJ1" s="305"/>
      <c r="HQK1" s="305"/>
      <c r="HQL1" s="305"/>
      <c r="HQM1" s="305"/>
      <c r="HQN1" s="305"/>
      <c r="HQO1" s="305"/>
      <c r="HQP1" s="305"/>
      <c r="HQQ1" s="305"/>
      <c r="HQR1" s="305"/>
      <c r="HQS1" s="305"/>
      <c r="HQT1" s="305"/>
      <c r="HQU1" s="305"/>
      <c r="HQV1" s="305"/>
      <c r="HQW1" s="305"/>
      <c r="HQX1" s="305"/>
      <c r="HQY1" s="305"/>
      <c r="HQZ1" s="305"/>
      <c r="HRA1" s="305"/>
      <c r="HRB1" s="305"/>
      <c r="HRC1" s="305"/>
      <c r="HRD1" s="305"/>
      <c r="HRE1" s="305"/>
      <c r="HRF1" s="305"/>
      <c r="HRG1" s="305"/>
      <c r="HRH1" s="305"/>
      <c r="HRI1" s="305"/>
      <c r="HRJ1" s="305"/>
      <c r="HRK1" s="305"/>
      <c r="HRL1" s="305"/>
      <c r="HRM1" s="305"/>
      <c r="HRN1" s="305"/>
      <c r="HRO1" s="305"/>
      <c r="HRP1" s="305"/>
      <c r="HRQ1" s="305"/>
      <c r="HRR1" s="305"/>
      <c r="HRS1" s="305"/>
      <c r="HRT1" s="305"/>
      <c r="HRU1" s="305"/>
      <c r="HRV1" s="305"/>
      <c r="HRW1" s="305"/>
      <c r="HRX1" s="305"/>
      <c r="HRY1" s="305"/>
      <c r="HRZ1" s="305"/>
      <c r="HSA1" s="305"/>
      <c r="HSB1" s="305"/>
      <c r="HSC1" s="305"/>
      <c r="HSD1" s="305"/>
      <c r="HSE1" s="305"/>
      <c r="HSF1" s="305"/>
      <c r="HSG1" s="305"/>
      <c r="HSH1" s="305"/>
      <c r="HSI1" s="305"/>
      <c r="HSJ1" s="305"/>
      <c r="HSK1" s="305"/>
      <c r="HSL1" s="305"/>
      <c r="HSM1" s="305"/>
      <c r="HSN1" s="305"/>
      <c r="HSO1" s="305"/>
      <c r="HSP1" s="305"/>
      <c r="HSQ1" s="305"/>
      <c r="HSR1" s="305"/>
      <c r="HSS1" s="305"/>
      <c r="HST1" s="305"/>
      <c r="HSU1" s="305"/>
      <c r="HSV1" s="305"/>
      <c r="HSW1" s="305"/>
      <c r="HSX1" s="305"/>
      <c r="HSY1" s="305"/>
      <c r="HSZ1" s="305"/>
      <c r="HTA1" s="305"/>
      <c r="HTB1" s="305"/>
      <c r="HTC1" s="305"/>
      <c r="HTD1" s="305"/>
      <c r="HTE1" s="305"/>
      <c r="HTF1" s="305"/>
      <c r="HTG1" s="305"/>
      <c r="HTH1" s="305"/>
      <c r="HTI1" s="305"/>
      <c r="HTJ1" s="305"/>
      <c r="HTK1" s="305"/>
      <c r="HTL1" s="305"/>
      <c r="HTM1" s="305"/>
      <c r="HTN1" s="305"/>
      <c r="HTO1" s="305"/>
      <c r="HTP1" s="305"/>
      <c r="HTQ1" s="305"/>
      <c r="HTR1" s="305"/>
      <c r="HTS1" s="305"/>
      <c r="HTT1" s="305"/>
      <c r="HTU1" s="305"/>
      <c r="HTV1" s="305"/>
      <c r="HTW1" s="305"/>
      <c r="HTX1" s="305"/>
      <c r="HTY1" s="305"/>
      <c r="HTZ1" s="305"/>
      <c r="HUA1" s="305"/>
      <c r="HUB1" s="305"/>
      <c r="HUC1" s="305"/>
      <c r="HUD1" s="305"/>
      <c r="HUE1" s="305"/>
      <c r="HUF1" s="305"/>
      <c r="HUG1" s="305"/>
      <c r="HUH1" s="305"/>
      <c r="HUI1" s="305"/>
      <c r="HUJ1" s="305"/>
      <c r="HUK1" s="305"/>
      <c r="HUL1" s="305"/>
      <c r="HUM1" s="305"/>
      <c r="HUN1" s="305"/>
      <c r="HUO1" s="305"/>
      <c r="HUP1" s="305"/>
      <c r="HUQ1" s="305"/>
      <c r="HUR1" s="305"/>
      <c r="HUS1" s="305"/>
      <c r="HUT1" s="305"/>
      <c r="HUU1" s="305"/>
      <c r="HUV1" s="305"/>
      <c r="HUW1" s="305"/>
      <c r="HUX1" s="305"/>
      <c r="HUY1" s="305"/>
      <c r="HUZ1" s="305"/>
      <c r="HVA1" s="305"/>
      <c r="HVB1" s="305"/>
      <c r="HVC1" s="305"/>
      <c r="HVD1" s="305"/>
      <c r="HVE1" s="305"/>
      <c r="HVF1" s="305"/>
      <c r="HVG1" s="305"/>
      <c r="HVH1" s="305"/>
      <c r="HVI1" s="305"/>
      <c r="HVJ1" s="305"/>
      <c r="HVK1" s="305"/>
      <c r="HVL1" s="305"/>
      <c r="HVM1" s="305"/>
      <c r="HVN1" s="305"/>
      <c r="HVO1" s="305"/>
      <c r="HVP1" s="305"/>
      <c r="HVQ1" s="305"/>
      <c r="HVR1" s="305"/>
      <c r="HVS1" s="305"/>
      <c r="HVT1" s="305"/>
      <c r="HVU1" s="305"/>
      <c r="HVV1" s="305"/>
      <c r="HVW1" s="305"/>
      <c r="HVX1" s="305"/>
      <c r="HVY1" s="305"/>
      <c r="HVZ1" s="305"/>
      <c r="HWA1" s="305"/>
      <c r="HWB1" s="305"/>
      <c r="HWC1" s="305"/>
      <c r="HWD1" s="305"/>
      <c r="HWE1" s="305"/>
      <c r="HWF1" s="305"/>
      <c r="HWG1" s="305"/>
      <c r="HWH1" s="305"/>
      <c r="HWI1" s="305"/>
      <c r="HWJ1" s="305"/>
      <c r="HWK1" s="305"/>
      <c r="HWL1" s="305"/>
      <c r="HWM1" s="305"/>
      <c r="HWN1" s="305"/>
      <c r="HWO1" s="305"/>
      <c r="HWP1" s="305"/>
      <c r="HWQ1" s="305"/>
      <c r="HWR1" s="305"/>
      <c r="HWS1" s="305"/>
      <c r="HWT1" s="305"/>
      <c r="HWU1" s="305"/>
      <c r="HWV1" s="305"/>
      <c r="HWW1" s="305"/>
      <c r="HWX1" s="305"/>
      <c r="HWY1" s="305"/>
      <c r="HWZ1" s="305"/>
      <c r="HXA1" s="305"/>
      <c r="HXB1" s="305"/>
      <c r="HXC1" s="305"/>
      <c r="HXD1" s="305"/>
      <c r="HXE1" s="305"/>
      <c r="HXF1" s="305"/>
      <c r="HXG1" s="305"/>
      <c r="HXH1" s="305"/>
      <c r="HXI1" s="305"/>
      <c r="HXJ1" s="305"/>
      <c r="HXK1" s="305"/>
      <c r="HXL1" s="305"/>
      <c r="HXM1" s="305"/>
      <c r="HXN1" s="305"/>
      <c r="HXO1" s="305"/>
      <c r="HXP1" s="305"/>
      <c r="HXQ1" s="305"/>
      <c r="HXR1" s="305"/>
      <c r="HXS1" s="305"/>
      <c r="HXT1" s="305"/>
      <c r="HXU1" s="305"/>
      <c r="HXV1" s="305"/>
      <c r="HXW1" s="305"/>
      <c r="HXX1" s="305"/>
      <c r="HXY1" s="305"/>
      <c r="HXZ1" s="305"/>
      <c r="HYA1" s="305"/>
      <c r="HYB1" s="305"/>
      <c r="HYC1" s="305"/>
      <c r="HYD1" s="305"/>
      <c r="HYE1" s="305"/>
      <c r="HYF1" s="305"/>
      <c r="HYG1" s="305"/>
      <c r="HYH1" s="305"/>
      <c r="HYI1" s="305"/>
      <c r="HYJ1" s="305"/>
      <c r="HYK1" s="305"/>
      <c r="HYL1" s="305"/>
      <c r="HYM1" s="305"/>
      <c r="HYN1" s="305"/>
      <c r="HYO1" s="305"/>
      <c r="HYP1" s="305"/>
      <c r="HYQ1" s="305"/>
      <c r="HYR1" s="305"/>
      <c r="HYS1" s="305"/>
      <c r="HYT1" s="305"/>
      <c r="HYU1" s="305"/>
      <c r="HYV1" s="305"/>
      <c r="HYW1" s="305"/>
      <c r="HYX1" s="305"/>
      <c r="HYY1" s="305"/>
      <c r="HYZ1" s="305"/>
      <c r="HZA1" s="305"/>
      <c r="HZB1" s="305"/>
      <c r="HZC1" s="305"/>
      <c r="HZD1" s="305"/>
      <c r="HZE1" s="305"/>
      <c r="HZF1" s="305"/>
      <c r="HZG1" s="305"/>
      <c r="HZH1" s="305"/>
      <c r="HZI1" s="305"/>
      <c r="HZJ1" s="305"/>
      <c r="HZK1" s="305"/>
      <c r="HZL1" s="305"/>
      <c r="HZM1" s="305"/>
      <c r="HZN1" s="305"/>
      <c r="HZO1" s="305"/>
      <c r="HZP1" s="305"/>
      <c r="HZQ1" s="305"/>
      <c r="HZR1" s="305"/>
      <c r="HZS1" s="305"/>
      <c r="HZT1" s="305"/>
      <c r="HZU1" s="305"/>
      <c r="HZV1" s="305"/>
      <c r="HZW1" s="305"/>
      <c r="HZX1" s="305"/>
      <c r="HZY1" s="305"/>
      <c r="HZZ1" s="305"/>
      <c r="IAA1" s="305"/>
      <c r="IAB1" s="305"/>
      <c r="IAC1" s="305"/>
      <c r="IAD1" s="305"/>
      <c r="IAE1" s="305"/>
      <c r="IAF1" s="305"/>
      <c r="IAG1" s="305"/>
      <c r="IAH1" s="305"/>
      <c r="IAI1" s="305"/>
      <c r="IAJ1" s="305"/>
      <c r="IAK1" s="305"/>
      <c r="IAL1" s="305"/>
      <c r="IAM1" s="305"/>
      <c r="IAN1" s="305"/>
      <c r="IAO1" s="305"/>
      <c r="IAP1" s="305"/>
      <c r="IAQ1" s="305"/>
      <c r="IAR1" s="305"/>
      <c r="IAS1" s="305"/>
      <c r="IAT1" s="305"/>
      <c r="IAU1" s="305"/>
      <c r="IAV1" s="305"/>
      <c r="IAW1" s="305"/>
      <c r="IAX1" s="305"/>
      <c r="IAY1" s="305"/>
      <c r="IAZ1" s="305"/>
      <c r="IBA1" s="305"/>
      <c r="IBB1" s="305"/>
      <c r="IBC1" s="305"/>
      <c r="IBD1" s="305"/>
      <c r="IBE1" s="305"/>
      <c r="IBF1" s="305"/>
      <c r="IBG1" s="305"/>
      <c r="IBH1" s="305"/>
      <c r="IBI1" s="305"/>
      <c r="IBJ1" s="305"/>
      <c r="IBK1" s="305"/>
      <c r="IBL1" s="305"/>
      <c r="IBM1" s="305"/>
      <c r="IBN1" s="305"/>
      <c r="IBO1" s="305"/>
      <c r="IBP1" s="305"/>
      <c r="IBQ1" s="305"/>
      <c r="IBR1" s="305"/>
      <c r="IBS1" s="305"/>
      <c r="IBT1" s="305"/>
      <c r="IBU1" s="305"/>
      <c r="IBV1" s="305"/>
      <c r="IBW1" s="305"/>
      <c r="IBX1" s="305"/>
      <c r="IBY1" s="305"/>
      <c r="IBZ1" s="305"/>
      <c r="ICA1" s="305"/>
      <c r="ICB1" s="305"/>
      <c r="ICC1" s="305"/>
      <c r="ICD1" s="305"/>
      <c r="ICE1" s="305"/>
      <c r="ICF1" s="305"/>
      <c r="ICG1" s="305"/>
      <c r="ICH1" s="305"/>
      <c r="ICI1" s="305"/>
      <c r="ICJ1" s="305"/>
      <c r="ICK1" s="305"/>
      <c r="ICL1" s="305"/>
      <c r="ICM1" s="305"/>
      <c r="ICN1" s="305"/>
      <c r="ICO1" s="305"/>
      <c r="ICP1" s="305"/>
      <c r="ICQ1" s="305"/>
      <c r="ICR1" s="305"/>
      <c r="ICS1" s="305"/>
      <c r="ICT1" s="305"/>
      <c r="ICU1" s="305"/>
      <c r="ICV1" s="305"/>
      <c r="ICW1" s="305"/>
      <c r="ICX1" s="305"/>
      <c r="ICY1" s="305"/>
      <c r="ICZ1" s="305"/>
      <c r="IDA1" s="305"/>
      <c r="IDB1" s="305"/>
      <c r="IDC1" s="305"/>
      <c r="IDD1" s="305"/>
      <c r="IDE1" s="305"/>
      <c r="IDF1" s="305"/>
      <c r="IDG1" s="305"/>
      <c r="IDH1" s="305"/>
      <c r="IDI1" s="305"/>
      <c r="IDJ1" s="305"/>
      <c r="IDK1" s="305"/>
      <c r="IDL1" s="305"/>
      <c r="IDM1" s="305"/>
      <c r="IDN1" s="305"/>
      <c r="IDO1" s="305"/>
      <c r="IDP1" s="305"/>
      <c r="IDQ1" s="305"/>
      <c r="IDR1" s="305"/>
      <c r="IDS1" s="305"/>
      <c r="IDT1" s="305"/>
      <c r="IDU1" s="305"/>
      <c r="IDV1" s="305"/>
      <c r="IDW1" s="305"/>
      <c r="IDX1" s="305"/>
      <c r="IDY1" s="305"/>
      <c r="IDZ1" s="305"/>
      <c r="IEA1" s="305"/>
      <c r="IEB1" s="305"/>
      <c r="IEC1" s="305"/>
      <c r="IED1" s="305"/>
      <c r="IEE1" s="305"/>
      <c r="IEF1" s="305"/>
      <c r="IEG1" s="305"/>
      <c r="IEH1" s="305"/>
      <c r="IEI1" s="305"/>
      <c r="IEJ1" s="305"/>
      <c r="IEK1" s="305"/>
      <c r="IEL1" s="305"/>
      <c r="IEM1" s="305"/>
      <c r="IEN1" s="305"/>
      <c r="IEO1" s="305"/>
      <c r="IEP1" s="305"/>
      <c r="IEQ1" s="305"/>
      <c r="IER1" s="305"/>
      <c r="IES1" s="305"/>
      <c r="IET1" s="305"/>
      <c r="IEU1" s="305"/>
      <c r="IEV1" s="305"/>
      <c r="IEW1" s="305"/>
      <c r="IEX1" s="305"/>
      <c r="IEY1" s="305"/>
      <c r="IEZ1" s="305"/>
      <c r="IFA1" s="305"/>
      <c r="IFB1" s="305"/>
      <c r="IFC1" s="305"/>
      <c r="IFD1" s="305"/>
      <c r="IFE1" s="305"/>
      <c r="IFF1" s="305"/>
      <c r="IFG1" s="305"/>
      <c r="IFH1" s="305"/>
      <c r="IFI1" s="305"/>
      <c r="IFJ1" s="305"/>
      <c r="IFK1" s="305"/>
      <c r="IFL1" s="305"/>
      <c r="IFM1" s="305"/>
      <c r="IFN1" s="305"/>
      <c r="IFO1" s="305"/>
      <c r="IFP1" s="305"/>
      <c r="IFQ1" s="305"/>
      <c r="IFR1" s="305"/>
      <c r="IFS1" s="305"/>
      <c r="IFT1" s="305"/>
      <c r="IFU1" s="305"/>
      <c r="IFV1" s="305"/>
      <c r="IFW1" s="305"/>
      <c r="IFX1" s="305"/>
      <c r="IFY1" s="305"/>
      <c r="IFZ1" s="305"/>
      <c r="IGA1" s="305"/>
      <c r="IGB1" s="305"/>
      <c r="IGC1" s="305"/>
      <c r="IGD1" s="305"/>
      <c r="IGE1" s="305"/>
      <c r="IGF1" s="305"/>
      <c r="IGG1" s="305"/>
      <c r="IGH1" s="305"/>
      <c r="IGI1" s="305"/>
      <c r="IGJ1" s="305"/>
      <c r="IGK1" s="305"/>
      <c r="IGL1" s="305"/>
      <c r="IGM1" s="305"/>
      <c r="IGN1" s="305"/>
      <c r="IGO1" s="305"/>
      <c r="IGP1" s="305"/>
      <c r="IGQ1" s="305"/>
      <c r="IGR1" s="305"/>
      <c r="IGS1" s="305"/>
      <c r="IGT1" s="305"/>
      <c r="IGU1" s="305"/>
      <c r="IGV1" s="305"/>
      <c r="IGW1" s="305"/>
      <c r="IGX1" s="305"/>
      <c r="IGY1" s="305"/>
      <c r="IGZ1" s="305"/>
      <c r="IHA1" s="305"/>
      <c r="IHB1" s="305"/>
      <c r="IHC1" s="305"/>
      <c r="IHD1" s="305"/>
      <c r="IHE1" s="305"/>
      <c r="IHF1" s="305"/>
      <c r="IHG1" s="305"/>
      <c r="IHH1" s="305"/>
      <c r="IHI1" s="305"/>
      <c r="IHJ1" s="305"/>
      <c r="IHK1" s="305"/>
      <c r="IHL1" s="305"/>
      <c r="IHM1" s="305"/>
      <c r="IHN1" s="305"/>
      <c r="IHO1" s="305"/>
      <c r="IHP1" s="305"/>
      <c r="IHQ1" s="305"/>
      <c r="IHR1" s="305"/>
      <c r="IHS1" s="305"/>
      <c r="IHT1" s="305"/>
      <c r="IHU1" s="305"/>
      <c r="IHV1" s="305"/>
      <c r="IHW1" s="305"/>
      <c r="IHX1" s="305"/>
      <c r="IHY1" s="305"/>
      <c r="IHZ1" s="305"/>
      <c r="IIA1" s="305"/>
      <c r="IIB1" s="305"/>
      <c r="IIC1" s="305"/>
      <c r="IID1" s="305"/>
      <c r="IIE1" s="305"/>
      <c r="IIF1" s="305"/>
      <c r="IIG1" s="305"/>
      <c r="IIH1" s="305"/>
      <c r="III1" s="305"/>
      <c r="IIJ1" s="305"/>
      <c r="IIK1" s="305"/>
      <c r="IIL1" s="305"/>
      <c r="IIM1" s="305"/>
      <c r="IIN1" s="305"/>
      <c r="IIO1" s="305"/>
      <c r="IIP1" s="305"/>
      <c r="IIQ1" s="305"/>
      <c r="IIR1" s="305"/>
      <c r="IIS1" s="305"/>
      <c r="IIT1" s="305"/>
      <c r="IIU1" s="305"/>
      <c r="IIV1" s="305"/>
      <c r="IIW1" s="305"/>
      <c r="IIX1" s="305"/>
      <c r="IIY1" s="305"/>
      <c r="IIZ1" s="305"/>
      <c r="IJA1" s="305"/>
      <c r="IJB1" s="305"/>
      <c r="IJC1" s="305"/>
      <c r="IJD1" s="305"/>
      <c r="IJE1" s="305"/>
      <c r="IJF1" s="305"/>
      <c r="IJG1" s="305"/>
      <c r="IJH1" s="305"/>
      <c r="IJI1" s="305"/>
      <c r="IJJ1" s="305"/>
      <c r="IJK1" s="305"/>
      <c r="IJL1" s="305"/>
      <c r="IJM1" s="305"/>
      <c r="IJN1" s="305"/>
      <c r="IJO1" s="305"/>
      <c r="IJP1" s="305"/>
      <c r="IJQ1" s="305"/>
      <c r="IJR1" s="305"/>
      <c r="IJS1" s="305"/>
      <c r="IJT1" s="305"/>
      <c r="IJU1" s="305"/>
      <c r="IJV1" s="305"/>
      <c r="IJW1" s="305"/>
      <c r="IJX1" s="305"/>
      <c r="IJY1" s="305"/>
      <c r="IJZ1" s="305"/>
      <c r="IKA1" s="305"/>
      <c r="IKB1" s="305"/>
      <c r="IKC1" s="305"/>
      <c r="IKD1" s="305"/>
      <c r="IKE1" s="305"/>
      <c r="IKF1" s="305"/>
      <c r="IKG1" s="305"/>
      <c r="IKH1" s="305"/>
      <c r="IKI1" s="305"/>
      <c r="IKJ1" s="305"/>
      <c r="IKK1" s="305"/>
      <c r="IKL1" s="305"/>
      <c r="IKM1" s="305"/>
      <c r="IKN1" s="305"/>
      <c r="IKO1" s="305"/>
      <c r="IKP1" s="305"/>
      <c r="IKQ1" s="305"/>
      <c r="IKR1" s="305"/>
      <c r="IKS1" s="305"/>
      <c r="IKT1" s="305"/>
      <c r="IKU1" s="305"/>
      <c r="IKV1" s="305"/>
      <c r="IKW1" s="305"/>
      <c r="IKX1" s="305"/>
      <c r="IKY1" s="305"/>
      <c r="IKZ1" s="305"/>
      <c r="ILA1" s="305"/>
      <c r="ILB1" s="305"/>
      <c r="ILC1" s="305"/>
      <c r="ILD1" s="305"/>
      <c r="ILE1" s="305"/>
      <c r="ILF1" s="305"/>
      <c r="ILG1" s="305"/>
      <c r="ILH1" s="305"/>
      <c r="ILI1" s="305"/>
      <c r="ILJ1" s="305"/>
      <c r="ILK1" s="305"/>
      <c r="ILL1" s="305"/>
      <c r="ILM1" s="305"/>
      <c r="ILN1" s="305"/>
      <c r="ILO1" s="305"/>
      <c r="ILP1" s="305"/>
      <c r="ILQ1" s="305"/>
      <c r="ILR1" s="305"/>
      <c r="ILS1" s="305"/>
      <c r="ILT1" s="305"/>
      <c r="ILU1" s="305"/>
      <c r="ILV1" s="305"/>
      <c r="ILW1" s="305"/>
      <c r="ILX1" s="305"/>
      <c r="ILY1" s="305"/>
      <c r="ILZ1" s="305"/>
      <c r="IMA1" s="305"/>
      <c r="IMB1" s="305"/>
      <c r="IMC1" s="305"/>
      <c r="IMD1" s="305"/>
      <c r="IME1" s="305"/>
      <c r="IMF1" s="305"/>
      <c r="IMG1" s="305"/>
      <c r="IMH1" s="305"/>
      <c r="IMI1" s="305"/>
      <c r="IMJ1" s="305"/>
      <c r="IMK1" s="305"/>
      <c r="IML1" s="305"/>
      <c r="IMM1" s="305"/>
      <c r="IMN1" s="305"/>
      <c r="IMO1" s="305"/>
      <c r="IMP1" s="305"/>
      <c r="IMQ1" s="305"/>
      <c r="IMR1" s="305"/>
      <c r="IMS1" s="305"/>
      <c r="IMT1" s="305"/>
      <c r="IMU1" s="305"/>
      <c r="IMV1" s="305"/>
      <c r="IMW1" s="305"/>
      <c r="IMX1" s="305"/>
      <c r="IMY1" s="305"/>
      <c r="IMZ1" s="305"/>
      <c r="INA1" s="305"/>
      <c r="INB1" s="305"/>
      <c r="INC1" s="305"/>
      <c r="IND1" s="305"/>
      <c r="INE1" s="305"/>
      <c r="INF1" s="305"/>
      <c r="ING1" s="305"/>
      <c r="INH1" s="305"/>
      <c r="INI1" s="305"/>
      <c r="INJ1" s="305"/>
      <c r="INK1" s="305"/>
      <c r="INL1" s="305"/>
      <c r="INM1" s="305"/>
      <c r="INN1" s="305"/>
      <c r="INO1" s="305"/>
      <c r="INP1" s="305"/>
      <c r="INQ1" s="305"/>
      <c r="INR1" s="305"/>
      <c r="INS1" s="305"/>
      <c r="INT1" s="305"/>
      <c r="INU1" s="305"/>
      <c r="INV1" s="305"/>
      <c r="INW1" s="305"/>
      <c r="INX1" s="305"/>
      <c r="INY1" s="305"/>
      <c r="INZ1" s="305"/>
      <c r="IOA1" s="305"/>
      <c r="IOB1" s="305"/>
      <c r="IOC1" s="305"/>
      <c r="IOD1" s="305"/>
      <c r="IOE1" s="305"/>
      <c r="IOF1" s="305"/>
      <c r="IOG1" s="305"/>
      <c r="IOH1" s="305"/>
      <c r="IOI1" s="305"/>
      <c r="IOJ1" s="305"/>
      <c r="IOK1" s="305"/>
      <c r="IOL1" s="305"/>
      <c r="IOM1" s="305"/>
      <c r="ION1" s="305"/>
      <c r="IOO1" s="305"/>
      <c r="IOP1" s="305"/>
      <c r="IOQ1" s="305"/>
      <c r="IOR1" s="305"/>
      <c r="IOS1" s="305"/>
      <c r="IOT1" s="305"/>
      <c r="IOU1" s="305"/>
      <c r="IOV1" s="305"/>
      <c r="IOW1" s="305"/>
      <c r="IOX1" s="305"/>
      <c r="IOY1" s="305"/>
      <c r="IOZ1" s="305"/>
      <c r="IPA1" s="305"/>
      <c r="IPB1" s="305"/>
      <c r="IPC1" s="305"/>
      <c r="IPD1" s="305"/>
      <c r="IPE1" s="305"/>
      <c r="IPF1" s="305"/>
      <c r="IPG1" s="305"/>
      <c r="IPH1" s="305"/>
      <c r="IPI1" s="305"/>
      <c r="IPJ1" s="305"/>
      <c r="IPK1" s="305"/>
      <c r="IPL1" s="305"/>
      <c r="IPM1" s="305"/>
      <c r="IPN1" s="305"/>
      <c r="IPO1" s="305"/>
      <c r="IPP1" s="305"/>
      <c r="IPQ1" s="305"/>
      <c r="IPR1" s="305"/>
      <c r="IPS1" s="305"/>
      <c r="IPT1" s="305"/>
      <c r="IPU1" s="305"/>
      <c r="IPV1" s="305"/>
      <c r="IPW1" s="305"/>
      <c r="IPX1" s="305"/>
      <c r="IPY1" s="305"/>
      <c r="IPZ1" s="305"/>
      <c r="IQA1" s="305"/>
      <c r="IQB1" s="305"/>
      <c r="IQC1" s="305"/>
      <c r="IQD1" s="305"/>
      <c r="IQE1" s="305"/>
      <c r="IQF1" s="305"/>
      <c r="IQG1" s="305"/>
      <c r="IQH1" s="305"/>
      <c r="IQI1" s="305"/>
      <c r="IQJ1" s="305"/>
      <c r="IQK1" s="305"/>
      <c r="IQL1" s="305"/>
      <c r="IQM1" s="305"/>
      <c r="IQN1" s="305"/>
      <c r="IQO1" s="305"/>
      <c r="IQP1" s="305"/>
      <c r="IQQ1" s="305"/>
      <c r="IQR1" s="305"/>
      <c r="IQS1" s="305"/>
      <c r="IQT1" s="305"/>
      <c r="IQU1" s="305"/>
      <c r="IQV1" s="305"/>
      <c r="IQW1" s="305"/>
      <c r="IQX1" s="305"/>
      <c r="IQY1" s="305"/>
      <c r="IQZ1" s="305"/>
      <c r="IRA1" s="305"/>
      <c r="IRB1" s="305"/>
      <c r="IRC1" s="305"/>
      <c r="IRD1" s="305"/>
      <c r="IRE1" s="305"/>
      <c r="IRF1" s="305"/>
      <c r="IRG1" s="305"/>
      <c r="IRH1" s="305"/>
      <c r="IRI1" s="305"/>
      <c r="IRJ1" s="305"/>
      <c r="IRK1" s="305"/>
      <c r="IRL1" s="305"/>
      <c r="IRM1" s="305"/>
      <c r="IRN1" s="305"/>
      <c r="IRO1" s="305"/>
      <c r="IRP1" s="305"/>
      <c r="IRQ1" s="305"/>
      <c r="IRR1" s="305"/>
      <c r="IRS1" s="305"/>
      <c r="IRT1" s="305"/>
      <c r="IRU1" s="305"/>
      <c r="IRV1" s="305"/>
      <c r="IRW1" s="305"/>
      <c r="IRX1" s="305"/>
      <c r="IRY1" s="305"/>
      <c r="IRZ1" s="305"/>
      <c r="ISA1" s="305"/>
      <c r="ISB1" s="305"/>
      <c r="ISC1" s="305"/>
      <c r="ISD1" s="305"/>
      <c r="ISE1" s="305"/>
      <c r="ISF1" s="305"/>
      <c r="ISG1" s="305"/>
      <c r="ISH1" s="305"/>
      <c r="ISI1" s="305"/>
      <c r="ISJ1" s="305"/>
      <c r="ISK1" s="305"/>
      <c r="ISL1" s="305"/>
      <c r="ISM1" s="305"/>
      <c r="ISN1" s="305"/>
      <c r="ISO1" s="305"/>
      <c r="ISP1" s="305"/>
      <c r="ISQ1" s="305"/>
      <c r="ISR1" s="305"/>
      <c r="ISS1" s="305"/>
      <c r="IST1" s="305"/>
      <c r="ISU1" s="305"/>
      <c r="ISV1" s="305"/>
      <c r="ISW1" s="305"/>
      <c r="ISX1" s="305"/>
      <c r="ISY1" s="305"/>
      <c r="ISZ1" s="305"/>
      <c r="ITA1" s="305"/>
      <c r="ITB1" s="305"/>
      <c r="ITC1" s="305"/>
      <c r="ITD1" s="305"/>
      <c r="ITE1" s="305"/>
      <c r="ITF1" s="305"/>
      <c r="ITG1" s="305"/>
      <c r="ITH1" s="305"/>
      <c r="ITI1" s="305"/>
      <c r="ITJ1" s="305"/>
      <c r="ITK1" s="305"/>
      <c r="ITL1" s="305"/>
      <c r="ITM1" s="305"/>
      <c r="ITN1" s="305"/>
      <c r="ITO1" s="305"/>
      <c r="ITP1" s="305"/>
      <c r="ITQ1" s="305"/>
      <c r="ITR1" s="305"/>
      <c r="ITS1" s="305"/>
      <c r="ITT1" s="305"/>
      <c r="ITU1" s="305"/>
      <c r="ITV1" s="305"/>
      <c r="ITW1" s="305"/>
      <c r="ITX1" s="305"/>
      <c r="ITY1" s="305"/>
      <c r="ITZ1" s="305"/>
      <c r="IUA1" s="305"/>
      <c r="IUB1" s="305"/>
      <c r="IUC1" s="305"/>
      <c r="IUD1" s="305"/>
      <c r="IUE1" s="305"/>
      <c r="IUF1" s="305"/>
      <c r="IUG1" s="305"/>
      <c r="IUH1" s="305"/>
      <c r="IUI1" s="305"/>
      <c r="IUJ1" s="305"/>
      <c r="IUK1" s="305"/>
      <c r="IUL1" s="305"/>
      <c r="IUM1" s="305"/>
      <c r="IUN1" s="305"/>
      <c r="IUO1" s="305"/>
      <c r="IUP1" s="305"/>
      <c r="IUQ1" s="305"/>
      <c r="IUR1" s="305"/>
      <c r="IUS1" s="305"/>
      <c r="IUT1" s="305"/>
      <c r="IUU1" s="305"/>
      <c r="IUV1" s="305"/>
      <c r="IUW1" s="305"/>
      <c r="IUX1" s="305"/>
      <c r="IUY1" s="305"/>
      <c r="IUZ1" s="305"/>
      <c r="IVA1" s="305"/>
      <c r="IVB1" s="305"/>
      <c r="IVC1" s="305"/>
      <c r="IVD1" s="305"/>
      <c r="IVE1" s="305"/>
      <c r="IVF1" s="305"/>
      <c r="IVG1" s="305"/>
      <c r="IVH1" s="305"/>
      <c r="IVI1" s="305"/>
      <c r="IVJ1" s="305"/>
      <c r="IVK1" s="305"/>
      <c r="IVL1" s="305"/>
      <c r="IVM1" s="305"/>
      <c r="IVN1" s="305"/>
      <c r="IVO1" s="305"/>
      <c r="IVP1" s="305"/>
      <c r="IVQ1" s="305"/>
      <c r="IVR1" s="305"/>
      <c r="IVS1" s="305"/>
      <c r="IVT1" s="305"/>
      <c r="IVU1" s="305"/>
      <c r="IVV1" s="305"/>
      <c r="IVW1" s="305"/>
      <c r="IVX1" s="305"/>
      <c r="IVY1" s="305"/>
      <c r="IVZ1" s="305"/>
      <c r="IWA1" s="305"/>
      <c r="IWB1" s="305"/>
      <c r="IWC1" s="305"/>
      <c r="IWD1" s="305"/>
      <c r="IWE1" s="305"/>
      <c r="IWF1" s="305"/>
      <c r="IWG1" s="305"/>
      <c r="IWH1" s="305"/>
      <c r="IWI1" s="305"/>
      <c r="IWJ1" s="305"/>
      <c r="IWK1" s="305"/>
      <c r="IWL1" s="305"/>
      <c r="IWM1" s="305"/>
      <c r="IWN1" s="305"/>
      <c r="IWO1" s="305"/>
      <c r="IWP1" s="305"/>
      <c r="IWQ1" s="305"/>
      <c r="IWR1" s="305"/>
      <c r="IWS1" s="305"/>
      <c r="IWT1" s="305"/>
      <c r="IWU1" s="305"/>
      <c r="IWV1" s="305"/>
      <c r="IWW1" s="305"/>
      <c r="IWX1" s="305"/>
      <c r="IWY1" s="305"/>
      <c r="IWZ1" s="305"/>
      <c r="IXA1" s="305"/>
      <c r="IXB1" s="305"/>
      <c r="IXC1" s="305"/>
      <c r="IXD1" s="305"/>
      <c r="IXE1" s="305"/>
      <c r="IXF1" s="305"/>
      <c r="IXG1" s="305"/>
      <c r="IXH1" s="305"/>
      <c r="IXI1" s="305"/>
      <c r="IXJ1" s="305"/>
      <c r="IXK1" s="305"/>
      <c r="IXL1" s="305"/>
      <c r="IXM1" s="305"/>
      <c r="IXN1" s="305"/>
      <c r="IXO1" s="305"/>
      <c r="IXP1" s="305"/>
      <c r="IXQ1" s="305"/>
      <c r="IXR1" s="305"/>
      <c r="IXS1" s="305"/>
      <c r="IXT1" s="305"/>
      <c r="IXU1" s="305"/>
      <c r="IXV1" s="305"/>
      <c r="IXW1" s="305"/>
      <c r="IXX1" s="305"/>
      <c r="IXY1" s="305"/>
      <c r="IXZ1" s="305"/>
      <c r="IYA1" s="305"/>
      <c r="IYB1" s="305"/>
      <c r="IYC1" s="305"/>
      <c r="IYD1" s="305"/>
      <c r="IYE1" s="305"/>
      <c r="IYF1" s="305"/>
      <c r="IYG1" s="305"/>
      <c r="IYH1" s="305"/>
      <c r="IYI1" s="305"/>
      <c r="IYJ1" s="305"/>
      <c r="IYK1" s="305"/>
      <c r="IYL1" s="305"/>
      <c r="IYM1" s="305"/>
      <c r="IYN1" s="305"/>
      <c r="IYO1" s="305"/>
      <c r="IYP1" s="305"/>
      <c r="IYQ1" s="305"/>
      <c r="IYR1" s="305"/>
      <c r="IYS1" s="305"/>
      <c r="IYT1" s="305"/>
      <c r="IYU1" s="305"/>
      <c r="IYV1" s="305"/>
      <c r="IYW1" s="305"/>
      <c r="IYX1" s="305"/>
      <c r="IYY1" s="305"/>
      <c r="IYZ1" s="305"/>
      <c r="IZA1" s="305"/>
      <c r="IZB1" s="305"/>
      <c r="IZC1" s="305"/>
      <c r="IZD1" s="305"/>
      <c r="IZE1" s="305"/>
      <c r="IZF1" s="305"/>
      <c r="IZG1" s="305"/>
      <c r="IZH1" s="305"/>
      <c r="IZI1" s="305"/>
      <c r="IZJ1" s="305"/>
      <c r="IZK1" s="305"/>
      <c r="IZL1" s="305"/>
      <c r="IZM1" s="305"/>
      <c r="IZN1" s="305"/>
      <c r="IZO1" s="305"/>
      <c r="IZP1" s="305"/>
      <c r="IZQ1" s="305"/>
      <c r="IZR1" s="305"/>
      <c r="IZS1" s="305"/>
      <c r="IZT1" s="305"/>
      <c r="IZU1" s="305"/>
      <c r="IZV1" s="305"/>
      <c r="IZW1" s="305"/>
      <c r="IZX1" s="305"/>
      <c r="IZY1" s="305"/>
      <c r="IZZ1" s="305"/>
      <c r="JAA1" s="305"/>
      <c r="JAB1" s="305"/>
      <c r="JAC1" s="305"/>
      <c r="JAD1" s="305"/>
      <c r="JAE1" s="305"/>
      <c r="JAF1" s="305"/>
      <c r="JAG1" s="305"/>
      <c r="JAH1" s="305"/>
      <c r="JAI1" s="305"/>
      <c r="JAJ1" s="305"/>
      <c r="JAK1" s="305"/>
      <c r="JAL1" s="305"/>
      <c r="JAM1" s="305"/>
      <c r="JAN1" s="305"/>
      <c r="JAO1" s="305"/>
      <c r="JAP1" s="305"/>
      <c r="JAQ1" s="305"/>
      <c r="JAR1" s="305"/>
      <c r="JAS1" s="305"/>
      <c r="JAT1" s="305"/>
      <c r="JAU1" s="305"/>
      <c r="JAV1" s="305"/>
      <c r="JAW1" s="305"/>
      <c r="JAX1" s="305"/>
      <c r="JAY1" s="305"/>
      <c r="JAZ1" s="305"/>
      <c r="JBA1" s="305"/>
      <c r="JBB1" s="305"/>
      <c r="JBC1" s="305"/>
      <c r="JBD1" s="305"/>
      <c r="JBE1" s="305"/>
      <c r="JBF1" s="305"/>
      <c r="JBG1" s="305"/>
      <c r="JBH1" s="305"/>
      <c r="JBI1" s="305"/>
      <c r="JBJ1" s="305"/>
      <c r="JBK1" s="305"/>
      <c r="JBL1" s="305"/>
      <c r="JBM1" s="305"/>
      <c r="JBN1" s="305"/>
      <c r="JBO1" s="305"/>
      <c r="JBP1" s="305"/>
      <c r="JBQ1" s="305"/>
      <c r="JBR1" s="305"/>
      <c r="JBS1" s="305"/>
      <c r="JBT1" s="305"/>
      <c r="JBU1" s="305"/>
      <c r="JBV1" s="305"/>
      <c r="JBW1" s="305"/>
      <c r="JBX1" s="305"/>
      <c r="JBY1" s="305"/>
      <c r="JBZ1" s="305"/>
      <c r="JCA1" s="305"/>
      <c r="JCB1" s="305"/>
      <c r="JCC1" s="305"/>
      <c r="JCD1" s="305"/>
      <c r="JCE1" s="305"/>
      <c r="JCF1" s="305"/>
      <c r="JCG1" s="305"/>
      <c r="JCH1" s="305"/>
      <c r="JCI1" s="305"/>
      <c r="JCJ1" s="305"/>
      <c r="JCK1" s="305"/>
      <c r="JCL1" s="305"/>
      <c r="JCM1" s="305"/>
      <c r="JCN1" s="305"/>
      <c r="JCO1" s="305"/>
      <c r="JCP1" s="305"/>
      <c r="JCQ1" s="305"/>
      <c r="JCR1" s="305"/>
      <c r="JCS1" s="305"/>
      <c r="JCT1" s="305"/>
      <c r="JCU1" s="305"/>
      <c r="JCV1" s="305"/>
      <c r="JCW1" s="305"/>
      <c r="JCX1" s="305"/>
      <c r="JCY1" s="305"/>
      <c r="JCZ1" s="305"/>
      <c r="JDA1" s="305"/>
      <c r="JDB1" s="305"/>
      <c r="JDC1" s="305"/>
      <c r="JDD1" s="305"/>
      <c r="JDE1" s="305"/>
      <c r="JDF1" s="305"/>
      <c r="JDG1" s="305"/>
      <c r="JDH1" s="305"/>
      <c r="JDI1" s="305"/>
      <c r="JDJ1" s="305"/>
      <c r="JDK1" s="305"/>
      <c r="JDL1" s="305"/>
      <c r="JDM1" s="305"/>
      <c r="JDN1" s="305"/>
      <c r="JDO1" s="305"/>
      <c r="JDP1" s="305"/>
      <c r="JDQ1" s="305"/>
      <c r="JDR1" s="305"/>
      <c r="JDS1" s="305"/>
      <c r="JDT1" s="305"/>
      <c r="JDU1" s="305"/>
      <c r="JDV1" s="305"/>
      <c r="JDW1" s="305"/>
      <c r="JDX1" s="305"/>
      <c r="JDY1" s="305"/>
      <c r="JDZ1" s="305"/>
      <c r="JEA1" s="305"/>
      <c r="JEB1" s="305"/>
      <c r="JEC1" s="305"/>
      <c r="JED1" s="305"/>
      <c r="JEE1" s="305"/>
      <c r="JEF1" s="305"/>
      <c r="JEG1" s="305"/>
      <c r="JEH1" s="305"/>
      <c r="JEI1" s="305"/>
      <c r="JEJ1" s="305"/>
      <c r="JEK1" s="305"/>
      <c r="JEL1" s="305"/>
      <c r="JEM1" s="305"/>
      <c r="JEN1" s="305"/>
      <c r="JEO1" s="305"/>
      <c r="JEP1" s="305"/>
      <c r="JEQ1" s="305"/>
      <c r="JER1" s="305"/>
      <c r="JES1" s="305"/>
      <c r="JET1" s="305"/>
      <c r="JEU1" s="305"/>
      <c r="JEV1" s="305"/>
      <c r="JEW1" s="305"/>
      <c r="JEX1" s="305"/>
      <c r="JEY1" s="305"/>
      <c r="JEZ1" s="305"/>
      <c r="JFA1" s="305"/>
      <c r="JFB1" s="305"/>
      <c r="JFC1" s="305"/>
      <c r="JFD1" s="305"/>
      <c r="JFE1" s="305"/>
      <c r="JFF1" s="305"/>
      <c r="JFG1" s="305"/>
      <c r="JFH1" s="305"/>
      <c r="JFI1" s="305"/>
      <c r="JFJ1" s="305"/>
      <c r="JFK1" s="305"/>
      <c r="JFL1" s="305"/>
      <c r="JFM1" s="305"/>
      <c r="JFN1" s="305"/>
      <c r="JFO1" s="305"/>
      <c r="JFP1" s="305"/>
      <c r="JFQ1" s="305"/>
      <c r="JFR1" s="305"/>
      <c r="JFS1" s="305"/>
      <c r="JFT1" s="305"/>
      <c r="JFU1" s="305"/>
      <c r="JFV1" s="305"/>
      <c r="JFW1" s="305"/>
      <c r="JFX1" s="305"/>
      <c r="JFY1" s="305"/>
      <c r="JFZ1" s="305"/>
      <c r="JGA1" s="305"/>
      <c r="JGB1" s="305"/>
      <c r="JGC1" s="305"/>
      <c r="JGD1" s="305"/>
      <c r="JGE1" s="305"/>
      <c r="JGF1" s="305"/>
      <c r="JGG1" s="305"/>
      <c r="JGH1" s="305"/>
      <c r="JGI1" s="305"/>
      <c r="JGJ1" s="305"/>
      <c r="JGK1" s="305"/>
      <c r="JGL1" s="305"/>
      <c r="JGM1" s="305"/>
      <c r="JGN1" s="305"/>
      <c r="JGO1" s="305"/>
      <c r="JGP1" s="305"/>
      <c r="JGQ1" s="305"/>
      <c r="JGR1" s="305"/>
      <c r="JGS1" s="305"/>
      <c r="JGT1" s="305"/>
      <c r="JGU1" s="305"/>
      <c r="JGV1" s="305"/>
      <c r="JGW1" s="305"/>
      <c r="JGX1" s="305"/>
      <c r="JGY1" s="305"/>
      <c r="JGZ1" s="305"/>
      <c r="JHA1" s="305"/>
      <c r="JHB1" s="305"/>
      <c r="JHC1" s="305"/>
      <c r="JHD1" s="305"/>
      <c r="JHE1" s="305"/>
      <c r="JHF1" s="305"/>
      <c r="JHG1" s="305"/>
      <c r="JHH1" s="305"/>
      <c r="JHI1" s="305"/>
      <c r="JHJ1" s="305"/>
      <c r="JHK1" s="305"/>
      <c r="JHL1" s="305"/>
      <c r="JHM1" s="305"/>
      <c r="JHN1" s="305"/>
      <c r="JHO1" s="305"/>
      <c r="JHP1" s="305"/>
      <c r="JHQ1" s="305"/>
      <c r="JHR1" s="305"/>
      <c r="JHS1" s="305"/>
      <c r="JHT1" s="305"/>
      <c r="JHU1" s="305"/>
      <c r="JHV1" s="305"/>
      <c r="JHW1" s="305"/>
      <c r="JHX1" s="305"/>
      <c r="JHY1" s="305"/>
      <c r="JHZ1" s="305"/>
      <c r="JIA1" s="305"/>
      <c r="JIB1" s="305"/>
      <c r="JIC1" s="305"/>
      <c r="JID1" s="305"/>
      <c r="JIE1" s="305"/>
      <c r="JIF1" s="305"/>
      <c r="JIG1" s="305"/>
      <c r="JIH1" s="305"/>
      <c r="JII1" s="305"/>
      <c r="JIJ1" s="305"/>
      <c r="JIK1" s="305"/>
      <c r="JIL1" s="305"/>
      <c r="JIM1" s="305"/>
      <c r="JIN1" s="305"/>
      <c r="JIO1" s="305"/>
      <c r="JIP1" s="305"/>
      <c r="JIQ1" s="305"/>
      <c r="JIR1" s="305"/>
      <c r="JIS1" s="305"/>
      <c r="JIT1" s="305"/>
      <c r="JIU1" s="305"/>
      <c r="JIV1" s="305"/>
      <c r="JIW1" s="305"/>
      <c r="JIX1" s="305"/>
      <c r="JIY1" s="305"/>
      <c r="JIZ1" s="305"/>
      <c r="JJA1" s="305"/>
      <c r="JJB1" s="305"/>
      <c r="JJC1" s="305"/>
      <c r="JJD1" s="305"/>
      <c r="JJE1" s="305"/>
      <c r="JJF1" s="305"/>
      <c r="JJG1" s="305"/>
      <c r="JJH1" s="305"/>
      <c r="JJI1" s="305"/>
      <c r="JJJ1" s="305"/>
      <c r="JJK1" s="305"/>
      <c r="JJL1" s="305"/>
      <c r="JJM1" s="305"/>
      <c r="JJN1" s="305"/>
      <c r="JJO1" s="305"/>
      <c r="JJP1" s="305"/>
      <c r="JJQ1" s="305"/>
      <c r="JJR1" s="305"/>
      <c r="JJS1" s="305"/>
      <c r="JJT1" s="305"/>
      <c r="JJU1" s="305"/>
      <c r="JJV1" s="305"/>
      <c r="JJW1" s="305"/>
      <c r="JJX1" s="305"/>
      <c r="JJY1" s="305"/>
      <c r="JJZ1" s="305"/>
      <c r="JKA1" s="305"/>
      <c r="JKB1" s="305"/>
      <c r="JKC1" s="305"/>
      <c r="JKD1" s="305"/>
      <c r="JKE1" s="305"/>
      <c r="JKF1" s="305"/>
      <c r="JKG1" s="305"/>
      <c r="JKH1" s="305"/>
      <c r="JKI1" s="305"/>
      <c r="JKJ1" s="305"/>
      <c r="JKK1" s="305"/>
      <c r="JKL1" s="305"/>
      <c r="JKM1" s="305"/>
      <c r="JKN1" s="305"/>
      <c r="JKO1" s="305"/>
      <c r="JKP1" s="305"/>
      <c r="JKQ1" s="305"/>
      <c r="JKR1" s="305"/>
      <c r="JKS1" s="305"/>
      <c r="JKT1" s="305"/>
      <c r="JKU1" s="305"/>
      <c r="JKV1" s="305"/>
      <c r="JKW1" s="305"/>
      <c r="JKX1" s="305"/>
      <c r="JKY1" s="305"/>
      <c r="JKZ1" s="305"/>
      <c r="JLA1" s="305"/>
      <c r="JLB1" s="305"/>
      <c r="JLC1" s="305"/>
      <c r="JLD1" s="305"/>
      <c r="JLE1" s="305"/>
      <c r="JLF1" s="305"/>
      <c r="JLG1" s="305"/>
      <c r="JLH1" s="305"/>
      <c r="JLI1" s="305"/>
      <c r="JLJ1" s="305"/>
      <c r="JLK1" s="305"/>
      <c r="JLL1" s="305"/>
      <c r="JLM1" s="305"/>
      <c r="JLN1" s="305"/>
      <c r="JLO1" s="305"/>
      <c r="JLP1" s="305"/>
      <c r="JLQ1" s="305"/>
      <c r="JLR1" s="305"/>
      <c r="JLS1" s="305"/>
      <c r="JLT1" s="305"/>
      <c r="JLU1" s="305"/>
      <c r="JLV1" s="305"/>
      <c r="JLW1" s="305"/>
      <c r="JLX1" s="305"/>
      <c r="JLY1" s="305"/>
      <c r="JLZ1" s="305"/>
      <c r="JMA1" s="305"/>
      <c r="JMB1" s="305"/>
      <c r="JMC1" s="305"/>
      <c r="JMD1" s="305"/>
      <c r="JME1" s="305"/>
      <c r="JMF1" s="305"/>
      <c r="JMG1" s="305"/>
      <c r="JMH1" s="305"/>
      <c r="JMI1" s="305"/>
      <c r="JMJ1" s="305"/>
      <c r="JMK1" s="305"/>
      <c r="JML1" s="305"/>
      <c r="JMM1" s="305"/>
      <c r="JMN1" s="305"/>
      <c r="JMO1" s="305"/>
      <c r="JMP1" s="305"/>
      <c r="JMQ1" s="305"/>
      <c r="JMR1" s="305"/>
      <c r="JMS1" s="305"/>
      <c r="JMT1" s="305"/>
      <c r="JMU1" s="305"/>
      <c r="JMV1" s="305"/>
      <c r="JMW1" s="305"/>
      <c r="JMX1" s="305"/>
      <c r="JMY1" s="305"/>
      <c r="JMZ1" s="305"/>
      <c r="JNA1" s="305"/>
      <c r="JNB1" s="305"/>
      <c r="JNC1" s="305"/>
      <c r="JND1" s="305"/>
      <c r="JNE1" s="305"/>
      <c r="JNF1" s="305"/>
      <c r="JNG1" s="305"/>
      <c r="JNH1" s="305"/>
      <c r="JNI1" s="305"/>
      <c r="JNJ1" s="305"/>
      <c r="JNK1" s="305"/>
      <c r="JNL1" s="305"/>
      <c r="JNM1" s="305"/>
      <c r="JNN1" s="305"/>
      <c r="JNO1" s="305"/>
      <c r="JNP1" s="305"/>
      <c r="JNQ1" s="305"/>
      <c r="JNR1" s="305"/>
      <c r="JNS1" s="305"/>
      <c r="JNT1" s="305"/>
      <c r="JNU1" s="305"/>
      <c r="JNV1" s="305"/>
      <c r="JNW1" s="305"/>
      <c r="JNX1" s="305"/>
      <c r="JNY1" s="305"/>
      <c r="JNZ1" s="305"/>
      <c r="JOA1" s="305"/>
      <c r="JOB1" s="305"/>
      <c r="JOC1" s="305"/>
      <c r="JOD1" s="305"/>
      <c r="JOE1" s="305"/>
      <c r="JOF1" s="305"/>
      <c r="JOG1" s="305"/>
      <c r="JOH1" s="305"/>
      <c r="JOI1" s="305"/>
      <c r="JOJ1" s="305"/>
      <c r="JOK1" s="305"/>
      <c r="JOL1" s="305"/>
      <c r="JOM1" s="305"/>
      <c r="JON1" s="305"/>
      <c r="JOO1" s="305"/>
      <c r="JOP1" s="305"/>
      <c r="JOQ1" s="305"/>
      <c r="JOR1" s="305"/>
      <c r="JOS1" s="305"/>
      <c r="JOT1" s="305"/>
      <c r="JOU1" s="305"/>
      <c r="JOV1" s="305"/>
      <c r="JOW1" s="305"/>
      <c r="JOX1" s="305"/>
      <c r="JOY1" s="305"/>
      <c r="JOZ1" s="305"/>
      <c r="JPA1" s="305"/>
      <c r="JPB1" s="305"/>
      <c r="JPC1" s="305"/>
      <c r="JPD1" s="305"/>
      <c r="JPE1" s="305"/>
      <c r="JPF1" s="305"/>
      <c r="JPG1" s="305"/>
      <c r="JPH1" s="305"/>
      <c r="JPI1" s="305"/>
      <c r="JPJ1" s="305"/>
      <c r="JPK1" s="305"/>
      <c r="JPL1" s="305"/>
      <c r="JPM1" s="305"/>
      <c r="JPN1" s="305"/>
      <c r="JPO1" s="305"/>
      <c r="JPP1" s="305"/>
      <c r="JPQ1" s="305"/>
      <c r="JPR1" s="305"/>
      <c r="JPS1" s="305"/>
      <c r="JPT1" s="305"/>
      <c r="JPU1" s="305"/>
      <c r="JPV1" s="305"/>
      <c r="JPW1" s="305"/>
      <c r="JPX1" s="305"/>
      <c r="JPY1" s="305"/>
      <c r="JPZ1" s="305"/>
      <c r="JQA1" s="305"/>
      <c r="JQB1" s="305"/>
      <c r="JQC1" s="305"/>
      <c r="JQD1" s="305"/>
      <c r="JQE1" s="305"/>
      <c r="JQF1" s="305"/>
      <c r="JQG1" s="305"/>
      <c r="JQH1" s="305"/>
      <c r="JQI1" s="305"/>
      <c r="JQJ1" s="305"/>
      <c r="JQK1" s="305"/>
      <c r="JQL1" s="305"/>
      <c r="JQM1" s="305"/>
      <c r="JQN1" s="305"/>
      <c r="JQO1" s="305"/>
      <c r="JQP1" s="305"/>
      <c r="JQQ1" s="305"/>
      <c r="JQR1" s="305"/>
      <c r="JQS1" s="305"/>
      <c r="JQT1" s="305"/>
      <c r="JQU1" s="305"/>
      <c r="JQV1" s="305"/>
      <c r="JQW1" s="305"/>
      <c r="JQX1" s="305"/>
      <c r="JQY1" s="305"/>
      <c r="JQZ1" s="305"/>
      <c r="JRA1" s="305"/>
      <c r="JRB1" s="305"/>
      <c r="JRC1" s="305"/>
      <c r="JRD1" s="305"/>
      <c r="JRE1" s="305"/>
      <c r="JRF1" s="305"/>
      <c r="JRG1" s="305"/>
      <c r="JRH1" s="305"/>
      <c r="JRI1" s="305"/>
      <c r="JRJ1" s="305"/>
      <c r="JRK1" s="305"/>
      <c r="JRL1" s="305"/>
      <c r="JRM1" s="305"/>
      <c r="JRN1" s="305"/>
      <c r="JRO1" s="305"/>
      <c r="JRP1" s="305"/>
      <c r="JRQ1" s="305"/>
      <c r="JRR1" s="305"/>
      <c r="JRS1" s="305"/>
      <c r="JRT1" s="305"/>
      <c r="JRU1" s="305"/>
      <c r="JRV1" s="305"/>
      <c r="JRW1" s="305"/>
      <c r="JRX1" s="305"/>
      <c r="JRY1" s="305"/>
      <c r="JRZ1" s="305"/>
      <c r="JSA1" s="305"/>
      <c r="JSB1" s="305"/>
      <c r="JSC1" s="305"/>
      <c r="JSD1" s="305"/>
      <c r="JSE1" s="305"/>
      <c r="JSF1" s="305"/>
      <c r="JSG1" s="305"/>
      <c r="JSH1" s="305"/>
      <c r="JSI1" s="305"/>
      <c r="JSJ1" s="305"/>
      <c r="JSK1" s="305"/>
      <c r="JSL1" s="305"/>
      <c r="JSM1" s="305"/>
      <c r="JSN1" s="305"/>
      <c r="JSO1" s="305"/>
      <c r="JSP1" s="305"/>
      <c r="JSQ1" s="305"/>
      <c r="JSR1" s="305"/>
      <c r="JSS1" s="305"/>
      <c r="JST1" s="305"/>
      <c r="JSU1" s="305"/>
      <c r="JSV1" s="305"/>
      <c r="JSW1" s="305"/>
      <c r="JSX1" s="305"/>
      <c r="JSY1" s="305"/>
      <c r="JSZ1" s="305"/>
      <c r="JTA1" s="305"/>
      <c r="JTB1" s="305"/>
      <c r="JTC1" s="305"/>
      <c r="JTD1" s="305"/>
      <c r="JTE1" s="305"/>
      <c r="JTF1" s="305"/>
      <c r="JTG1" s="305"/>
      <c r="JTH1" s="305"/>
      <c r="JTI1" s="305"/>
      <c r="JTJ1" s="305"/>
      <c r="JTK1" s="305"/>
      <c r="JTL1" s="305"/>
      <c r="JTM1" s="305"/>
      <c r="JTN1" s="305"/>
      <c r="JTO1" s="305"/>
      <c r="JTP1" s="305"/>
      <c r="JTQ1" s="305"/>
      <c r="JTR1" s="305"/>
      <c r="JTS1" s="305"/>
      <c r="JTT1" s="305"/>
      <c r="JTU1" s="305"/>
      <c r="JTV1" s="305"/>
      <c r="JTW1" s="305"/>
      <c r="JTX1" s="305"/>
      <c r="JTY1" s="305"/>
      <c r="JTZ1" s="305"/>
      <c r="JUA1" s="305"/>
      <c r="JUB1" s="305"/>
      <c r="JUC1" s="305"/>
      <c r="JUD1" s="305"/>
      <c r="JUE1" s="305"/>
      <c r="JUF1" s="305"/>
      <c r="JUG1" s="305"/>
      <c r="JUH1" s="305"/>
      <c r="JUI1" s="305"/>
      <c r="JUJ1" s="305"/>
      <c r="JUK1" s="305"/>
      <c r="JUL1" s="305"/>
      <c r="JUM1" s="305"/>
      <c r="JUN1" s="305"/>
      <c r="JUO1" s="305"/>
      <c r="JUP1" s="305"/>
      <c r="JUQ1" s="305"/>
      <c r="JUR1" s="305"/>
      <c r="JUS1" s="305"/>
      <c r="JUT1" s="305"/>
      <c r="JUU1" s="305"/>
      <c r="JUV1" s="305"/>
      <c r="JUW1" s="305"/>
      <c r="JUX1" s="305"/>
      <c r="JUY1" s="305"/>
      <c r="JUZ1" s="305"/>
      <c r="JVA1" s="305"/>
      <c r="JVB1" s="305"/>
      <c r="JVC1" s="305"/>
      <c r="JVD1" s="305"/>
      <c r="JVE1" s="305"/>
      <c r="JVF1" s="305"/>
      <c r="JVG1" s="305"/>
      <c r="JVH1" s="305"/>
      <c r="JVI1" s="305"/>
      <c r="JVJ1" s="305"/>
      <c r="JVK1" s="305"/>
      <c r="JVL1" s="305"/>
      <c r="JVM1" s="305"/>
      <c r="JVN1" s="305"/>
      <c r="JVO1" s="305"/>
      <c r="JVP1" s="305"/>
      <c r="JVQ1" s="305"/>
      <c r="JVR1" s="305"/>
      <c r="JVS1" s="305"/>
      <c r="JVT1" s="305"/>
      <c r="JVU1" s="305"/>
      <c r="JVV1" s="305"/>
      <c r="JVW1" s="305"/>
      <c r="JVX1" s="305"/>
      <c r="JVY1" s="305"/>
      <c r="JVZ1" s="305"/>
      <c r="JWA1" s="305"/>
      <c r="JWB1" s="305"/>
      <c r="JWC1" s="305"/>
      <c r="JWD1" s="305"/>
      <c r="JWE1" s="305"/>
      <c r="JWF1" s="305"/>
      <c r="JWG1" s="305"/>
      <c r="JWH1" s="305"/>
      <c r="JWI1" s="305"/>
      <c r="JWJ1" s="305"/>
      <c r="JWK1" s="305"/>
      <c r="JWL1" s="305"/>
      <c r="JWM1" s="305"/>
      <c r="JWN1" s="305"/>
      <c r="JWO1" s="305"/>
      <c r="JWP1" s="305"/>
      <c r="JWQ1" s="305"/>
      <c r="JWR1" s="305"/>
      <c r="JWS1" s="305"/>
      <c r="JWT1" s="305"/>
      <c r="JWU1" s="305"/>
      <c r="JWV1" s="305"/>
      <c r="JWW1" s="305"/>
      <c r="JWX1" s="305"/>
      <c r="JWY1" s="305"/>
      <c r="JWZ1" s="305"/>
      <c r="JXA1" s="305"/>
      <c r="JXB1" s="305"/>
      <c r="JXC1" s="305"/>
      <c r="JXD1" s="305"/>
      <c r="JXE1" s="305"/>
      <c r="JXF1" s="305"/>
      <c r="JXG1" s="305"/>
      <c r="JXH1" s="305"/>
      <c r="JXI1" s="305"/>
      <c r="JXJ1" s="305"/>
      <c r="JXK1" s="305"/>
      <c r="JXL1" s="305"/>
      <c r="JXM1" s="305"/>
      <c r="JXN1" s="305"/>
      <c r="JXO1" s="305"/>
      <c r="JXP1" s="305"/>
      <c r="JXQ1" s="305"/>
      <c r="JXR1" s="305"/>
      <c r="JXS1" s="305"/>
      <c r="JXT1" s="305"/>
      <c r="JXU1" s="305"/>
      <c r="JXV1" s="305"/>
      <c r="JXW1" s="305"/>
      <c r="JXX1" s="305"/>
      <c r="JXY1" s="305"/>
      <c r="JXZ1" s="305"/>
      <c r="JYA1" s="305"/>
      <c r="JYB1" s="305"/>
      <c r="JYC1" s="305"/>
      <c r="JYD1" s="305"/>
      <c r="JYE1" s="305"/>
      <c r="JYF1" s="305"/>
      <c r="JYG1" s="305"/>
      <c r="JYH1" s="305"/>
      <c r="JYI1" s="305"/>
      <c r="JYJ1" s="305"/>
      <c r="JYK1" s="305"/>
      <c r="JYL1" s="305"/>
      <c r="JYM1" s="305"/>
      <c r="JYN1" s="305"/>
      <c r="JYO1" s="305"/>
      <c r="JYP1" s="305"/>
      <c r="JYQ1" s="305"/>
      <c r="JYR1" s="305"/>
      <c r="JYS1" s="305"/>
      <c r="JYT1" s="305"/>
      <c r="JYU1" s="305"/>
      <c r="JYV1" s="305"/>
      <c r="JYW1" s="305"/>
      <c r="JYX1" s="305"/>
      <c r="JYY1" s="305"/>
      <c r="JYZ1" s="305"/>
      <c r="JZA1" s="305"/>
      <c r="JZB1" s="305"/>
      <c r="JZC1" s="305"/>
      <c r="JZD1" s="305"/>
      <c r="JZE1" s="305"/>
      <c r="JZF1" s="305"/>
      <c r="JZG1" s="305"/>
      <c r="JZH1" s="305"/>
      <c r="JZI1" s="305"/>
      <c r="JZJ1" s="305"/>
      <c r="JZK1" s="305"/>
      <c r="JZL1" s="305"/>
      <c r="JZM1" s="305"/>
      <c r="JZN1" s="305"/>
      <c r="JZO1" s="305"/>
      <c r="JZP1" s="305"/>
      <c r="JZQ1" s="305"/>
      <c r="JZR1" s="305"/>
      <c r="JZS1" s="305"/>
      <c r="JZT1" s="305"/>
      <c r="JZU1" s="305"/>
      <c r="JZV1" s="305"/>
      <c r="JZW1" s="305"/>
      <c r="JZX1" s="305"/>
      <c r="JZY1" s="305"/>
      <c r="JZZ1" s="305"/>
      <c r="KAA1" s="305"/>
      <c r="KAB1" s="305"/>
      <c r="KAC1" s="305"/>
      <c r="KAD1" s="305"/>
      <c r="KAE1" s="305"/>
      <c r="KAF1" s="305"/>
      <c r="KAG1" s="305"/>
      <c r="KAH1" s="305"/>
      <c r="KAI1" s="305"/>
      <c r="KAJ1" s="305"/>
      <c r="KAK1" s="305"/>
      <c r="KAL1" s="305"/>
      <c r="KAM1" s="305"/>
      <c r="KAN1" s="305"/>
      <c r="KAO1" s="305"/>
      <c r="KAP1" s="305"/>
      <c r="KAQ1" s="305"/>
      <c r="KAR1" s="305"/>
      <c r="KAS1" s="305"/>
      <c r="KAT1" s="305"/>
      <c r="KAU1" s="305"/>
      <c r="KAV1" s="305"/>
      <c r="KAW1" s="305"/>
      <c r="KAX1" s="305"/>
      <c r="KAY1" s="305"/>
      <c r="KAZ1" s="305"/>
      <c r="KBA1" s="305"/>
      <c r="KBB1" s="305"/>
      <c r="KBC1" s="305"/>
      <c r="KBD1" s="305"/>
      <c r="KBE1" s="305"/>
      <c r="KBF1" s="305"/>
      <c r="KBG1" s="305"/>
      <c r="KBH1" s="305"/>
      <c r="KBI1" s="305"/>
      <c r="KBJ1" s="305"/>
      <c r="KBK1" s="305"/>
      <c r="KBL1" s="305"/>
      <c r="KBM1" s="305"/>
      <c r="KBN1" s="305"/>
      <c r="KBO1" s="305"/>
      <c r="KBP1" s="305"/>
      <c r="KBQ1" s="305"/>
      <c r="KBR1" s="305"/>
      <c r="KBS1" s="305"/>
      <c r="KBT1" s="305"/>
      <c r="KBU1" s="305"/>
      <c r="KBV1" s="305"/>
      <c r="KBW1" s="305"/>
      <c r="KBX1" s="305"/>
      <c r="KBY1" s="305"/>
      <c r="KBZ1" s="305"/>
      <c r="KCA1" s="305"/>
      <c r="KCB1" s="305"/>
      <c r="KCC1" s="305"/>
      <c r="KCD1" s="305"/>
      <c r="KCE1" s="305"/>
      <c r="KCF1" s="305"/>
      <c r="KCG1" s="305"/>
      <c r="KCH1" s="305"/>
      <c r="KCI1" s="305"/>
      <c r="KCJ1" s="305"/>
      <c r="KCK1" s="305"/>
      <c r="KCL1" s="305"/>
      <c r="KCM1" s="305"/>
      <c r="KCN1" s="305"/>
      <c r="KCO1" s="305"/>
      <c r="KCP1" s="305"/>
      <c r="KCQ1" s="305"/>
      <c r="KCR1" s="305"/>
      <c r="KCS1" s="305"/>
      <c r="KCT1" s="305"/>
      <c r="KCU1" s="305"/>
      <c r="KCV1" s="305"/>
      <c r="KCW1" s="305"/>
      <c r="KCX1" s="305"/>
      <c r="KCY1" s="305"/>
      <c r="KCZ1" s="305"/>
      <c r="KDA1" s="305"/>
      <c r="KDB1" s="305"/>
      <c r="KDC1" s="305"/>
      <c r="KDD1" s="305"/>
      <c r="KDE1" s="305"/>
      <c r="KDF1" s="305"/>
      <c r="KDG1" s="305"/>
      <c r="KDH1" s="305"/>
      <c r="KDI1" s="305"/>
      <c r="KDJ1" s="305"/>
      <c r="KDK1" s="305"/>
      <c r="KDL1" s="305"/>
      <c r="KDM1" s="305"/>
      <c r="KDN1" s="305"/>
      <c r="KDO1" s="305"/>
      <c r="KDP1" s="305"/>
      <c r="KDQ1" s="305"/>
      <c r="KDR1" s="305"/>
      <c r="KDS1" s="305"/>
      <c r="KDT1" s="305"/>
      <c r="KDU1" s="305"/>
      <c r="KDV1" s="305"/>
      <c r="KDW1" s="305"/>
      <c r="KDX1" s="305"/>
      <c r="KDY1" s="305"/>
      <c r="KDZ1" s="305"/>
      <c r="KEA1" s="305"/>
      <c r="KEB1" s="305"/>
      <c r="KEC1" s="305"/>
      <c r="KED1" s="305"/>
      <c r="KEE1" s="305"/>
      <c r="KEF1" s="305"/>
      <c r="KEG1" s="305"/>
      <c r="KEH1" s="305"/>
      <c r="KEI1" s="305"/>
      <c r="KEJ1" s="305"/>
      <c r="KEK1" s="305"/>
      <c r="KEL1" s="305"/>
      <c r="KEM1" s="305"/>
      <c r="KEN1" s="305"/>
      <c r="KEO1" s="305"/>
      <c r="KEP1" s="305"/>
      <c r="KEQ1" s="305"/>
      <c r="KER1" s="305"/>
      <c r="KES1" s="305"/>
      <c r="KET1" s="305"/>
      <c r="KEU1" s="305"/>
      <c r="KEV1" s="305"/>
      <c r="KEW1" s="305"/>
      <c r="KEX1" s="305"/>
      <c r="KEY1" s="305"/>
      <c r="KEZ1" s="305"/>
      <c r="KFA1" s="305"/>
      <c r="KFB1" s="305"/>
      <c r="KFC1" s="305"/>
      <c r="KFD1" s="305"/>
      <c r="KFE1" s="305"/>
      <c r="KFF1" s="305"/>
      <c r="KFG1" s="305"/>
      <c r="KFH1" s="305"/>
      <c r="KFI1" s="305"/>
      <c r="KFJ1" s="305"/>
      <c r="KFK1" s="305"/>
      <c r="KFL1" s="305"/>
      <c r="KFM1" s="305"/>
      <c r="KFN1" s="305"/>
      <c r="KFO1" s="305"/>
      <c r="KFP1" s="305"/>
      <c r="KFQ1" s="305"/>
      <c r="KFR1" s="305"/>
      <c r="KFS1" s="305"/>
      <c r="KFT1" s="305"/>
      <c r="KFU1" s="305"/>
      <c r="KFV1" s="305"/>
      <c r="KFW1" s="305"/>
      <c r="KFX1" s="305"/>
      <c r="KFY1" s="305"/>
      <c r="KFZ1" s="305"/>
      <c r="KGA1" s="305"/>
      <c r="KGB1" s="305"/>
      <c r="KGC1" s="305"/>
      <c r="KGD1" s="305"/>
      <c r="KGE1" s="305"/>
      <c r="KGF1" s="305"/>
      <c r="KGG1" s="305"/>
      <c r="KGH1" s="305"/>
      <c r="KGI1" s="305"/>
      <c r="KGJ1" s="305"/>
      <c r="KGK1" s="305"/>
      <c r="KGL1" s="305"/>
      <c r="KGM1" s="305"/>
      <c r="KGN1" s="305"/>
      <c r="KGO1" s="305"/>
      <c r="KGP1" s="305"/>
      <c r="KGQ1" s="305"/>
      <c r="KGR1" s="305"/>
      <c r="KGS1" s="305"/>
      <c r="KGT1" s="305"/>
      <c r="KGU1" s="305"/>
      <c r="KGV1" s="305"/>
      <c r="KGW1" s="305"/>
      <c r="KGX1" s="305"/>
      <c r="KGY1" s="305"/>
      <c r="KGZ1" s="305"/>
      <c r="KHA1" s="305"/>
      <c r="KHB1" s="305"/>
      <c r="KHC1" s="305"/>
      <c r="KHD1" s="305"/>
      <c r="KHE1" s="305"/>
      <c r="KHF1" s="305"/>
      <c r="KHG1" s="305"/>
      <c r="KHH1" s="305"/>
      <c r="KHI1" s="305"/>
      <c r="KHJ1" s="305"/>
      <c r="KHK1" s="305"/>
      <c r="KHL1" s="305"/>
      <c r="KHM1" s="305"/>
      <c r="KHN1" s="305"/>
      <c r="KHO1" s="305"/>
      <c r="KHP1" s="305"/>
      <c r="KHQ1" s="305"/>
      <c r="KHR1" s="305"/>
      <c r="KHS1" s="305"/>
      <c r="KHT1" s="305"/>
      <c r="KHU1" s="305"/>
      <c r="KHV1" s="305"/>
      <c r="KHW1" s="305"/>
      <c r="KHX1" s="305"/>
      <c r="KHY1" s="305"/>
      <c r="KHZ1" s="305"/>
      <c r="KIA1" s="305"/>
      <c r="KIB1" s="305"/>
      <c r="KIC1" s="305"/>
      <c r="KID1" s="305"/>
      <c r="KIE1" s="305"/>
      <c r="KIF1" s="305"/>
      <c r="KIG1" s="305"/>
      <c r="KIH1" s="305"/>
      <c r="KII1" s="305"/>
      <c r="KIJ1" s="305"/>
      <c r="KIK1" s="305"/>
      <c r="KIL1" s="305"/>
      <c r="KIM1" s="305"/>
      <c r="KIN1" s="305"/>
      <c r="KIO1" s="305"/>
      <c r="KIP1" s="305"/>
      <c r="KIQ1" s="305"/>
      <c r="KIR1" s="305"/>
      <c r="KIS1" s="305"/>
      <c r="KIT1" s="305"/>
      <c r="KIU1" s="305"/>
      <c r="KIV1" s="305"/>
      <c r="KIW1" s="305"/>
      <c r="KIX1" s="305"/>
      <c r="KIY1" s="305"/>
      <c r="KIZ1" s="305"/>
      <c r="KJA1" s="305"/>
      <c r="KJB1" s="305"/>
      <c r="KJC1" s="305"/>
      <c r="KJD1" s="305"/>
      <c r="KJE1" s="305"/>
      <c r="KJF1" s="305"/>
      <c r="KJG1" s="305"/>
      <c r="KJH1" s="305"/>
      <c r="KJI1" s="305"/>
      <c r="KJJ1" s="305"/>
      <c r="KJK1" s="305"/>
      <c r="KJL1" s="305"/>
      <c r="KJM1" s="305"/>
      <c r="KJN1" s="305"/>
      <c r="KJO1" s="305"/>
      <c r="KJP1" s="305"/>
      <c r="KJQ1" s="305"/>
      <c r="KJR1" s="305"/>
      <c r="KJS1" s="305"/>
      <c r="KJT1" s="305"/>
      <c r="KJU1" s="305"/>
      <c r="KJV1" s="305"/>
      <c r="KJW1" s="305"/>
      <c r="KJX1" s="305"/>
      <c r="KJY1" s="305"/>
      <c r="KJZ1" s="305"/>
      <c r="KKA1" s="305"/>
      <c r="KKB1" s="305"/>
      <c r="KKC1" s="305"/>
      <c r="KKD1" s="305"/>
      <c r="KKE1" s="305"/>
      <c r="KKF1" s="305"/>
      <c r="KKG1" s="305"/>
      <c r="KKH1" s="305"/>
      <c r="KKI1" s="305"/>
      <c r="KKJ1" s="305"/>
      <c r="KKK1" s="305"/>
      <c r="KKL1" s="305"/>
      <c r="KKM1" s="305"/>
      <c r="KKN1" s="305"/>
      <c r="KKO1" s="305"/>
      <c r="KKP1" s="305"/>
      <c r="KKQ1" s="305"/>
      <c r="KKR1" s="305"/>
      <c r="KKS1" s="305"/>
      <c r="KKT1" s="305"/>
      <c r="KKU1" s="305"/>
      <c r="KKV1" s="305"/>
      <c r="KKW1" s="305"/>
      <c r="KKX1" s="305"/>
      <c r="KKY1" s="305"/>
      <c r="KKZ1" s="305"/>
      <c r="KLA1" s="305"/>
      <c r="KLB1" s="305"/>
      <c r="KLC1" s="305"/>
      <c r="KLD1" s="305"/>
      <c r="KLE1" s="305"/>
      <c r="KLF1" s="305"/>
      <c r="KLG1" s="305"/>
      <c r="KLH1" s="305"/>
      <c r="KLI1" s="305"/>
      <c r="KLJ1" s="305"/>
      <c r="KLK1" s="305"/>
      <c r="KLL1" s="305"/>
      <c r="KLM1" s="305"/>
      <c r="KLN1" s="305"/>
      <c r="KLO1" s="305"/>
      <c r="KLP1" s="305"/>
      <c r="KLQ1" s="305"/>
      <c r="KLR1" s="305"/>
      <c r="KLS1" s="305"/>
      <c r="KLT1" s="305"/>
      <c r="KLU1" s="305"/>
      <c r="KLV1" s="305"/>
      <c r="KLW1" s="305"/>
      <c r="KLX1" s="305"/>
      <c r="KLY1" s="305"/>
      <c r="KLZ1" s="305"/>
      <c r="KMA1" s="305"/>
      <c r="KMB1" s="305"/>
      <c r="KMC1" s="305"/>
      <c r="KMD1" s="305"/>
      <c r="KME1" s="305"/>
      <c r="KMF1" s="305"/>
      <c r="KMG1" s="305"/>
      <c r="KMH1" s="305"/>
      <c r="KMI1" s="305"/>
      <c r="KMJ1" s="305"/>
      <c r="KMK1" s="305"/>
      <c r="KML1" s="305"/>
      <c r="KMM1" s="305"/>
      <c r="KMN1" s="305"/>
      <c r="KMO1" s="305"/>
      <c r="KMP1" s="305"/>
      <c r="KMQ1" s="305"/>
      <c r="KMR1" s="305"/>
      <c r="KMS1" s="305"/>
      <c r="KMT1" s="305"/>
      <c r="KMU1" s="305"/>
      <c r="KMV1" s="305"/>
      <c r="KMW1" s="305"/>
      <c r="KMX1" s="305"/>
      <c r="KMY1" s="305"/>
      <c r="KMZ1" s="305"/>
      <c r="KNA1" s="305"/>
      <c r="KNB1" s="305"/>
      <c r="KNC1" s="305"/>
      <c r="KND1" s="305"/>
      <c r="KNE1" s="305"/>
      <c r="KNF1" s="305"/>
      <c r="KNG1" s="305"/>
      <c r="KNH1" s="305"/>
      <c r="KNI1" s="305"/>
      <c r="KNJ1" s="305"/>
      <c r="KNK1" s="305"/>
      <c r="KNL1" s="305"/>
      <c r="KNM1" s="305"/>
      <c r="KNN1" s="305"/>
      <c r="KNO1" s="305"/>
      <c r="KNP1" s="305"/>
      <c r="KNQ1" s="305"/>
      <c r="KNR1" s="305"/>
      <c r="KNS1" s="305"/>
      <c r="KNT1" s="305"/>
      <c r="KNU1" s="305"/>
      <c r="KNV1" s="305"/>
      <c r="KNW1" s="305"/>
      <c r="KNX1" s="305"/>
      <c r="KNY1" s="305"/>
      <c r="KNZ1" s="305"/>
      <c r="KOA1" s="305"/>
      <c r="KOB1" s="305"/>
      <c r="KOC1" s="305"/>
      <c r="KOD1" s="305"/>
      <c r="KOE1" s="305"/>
      <c r="KOF1" s="305"/>
      <c r="KOG1" s="305"/>
      <c r="KOH1" s="305"/>
      <c r="KOI1" s="305"/>
      <c r="KOJ1" s="305"/>
      <c r="KOK1" s="305"/>
      <c r="KOL1" s="305"/>
      <c r="KOM1" s="305"/>
      <c r="KON1" s="305"/>
      <c r="KOO1" s="305"/>
      <c r="KOP1" s="305"/>
      <c r="KOQ1" s="305"/>
      <c r="KOR1" s="305"/>
      <c r="KOS1" s="305"/>
      <c r="KOT1" s="305"/>
      <c r="KOU1" s="305"/>
      <c r="KOV1" s="305"/>
      <c r="KOW1" s="305"/>
      <c r="KOX1" s="305"/>
      <c r="KOY1" s="305"/>
      <c r="KOZ1" s="305"/>
      <c r="KPA1" s="305"/>
      <c r="KPB1" s="305"/>
      <c r="KPC1" s="305"/>
      <c r="KPD1" s="305"/>
      <c r="KPE1" s="305"/>
      <c r="KPF1" s="305"/>
      <c r="KPG1" s="305"/>
      <c r="KPH1" s="305"/>
      <c r="KPI1" s="305"/>
      <c r="KPJ1" s="305"/>
      <c r="KPK1" s="305"/>
      <c r="KPL1" s="305"/>
      <c r="KPM1" s="305"/>
      <c r="KPN1" s="305"/>
      <c r="KPO1" s="305"/>
      <c r="KPP1" s="305"/>
      <c r="KPQ1" s="305"/>
      <c r="KPR1" s="305"/>
      <c r="KPS1" s="305"/>
      <c r="KPT1" s="305"/>
      <c r="KPU1" s="305"/>
      <c r="KPV1" s="305"/>
      <c r="KPW1" s="305"/>
      <c r="KPX1" s="305"/>
      <c r="KPY1" s="305"/>
      <c r="KPZ1" s="305"/>
      <c r="KQA1" s="305"/>
      <c r="KQB1" s="305"/>
      <c r="KQC1" s="305"/>
      <c r="KQD1" s="305"/>
      <c r="KQE1" s="305"/>
      <c r="KQF1" s="305"/>
      <c r="KQG1" s="305"/>
      <c r="KQH1" s="305"/>
      <c r="KQI1" s="305"/>
      <c r="KQJ1" s="305"/>
      <c r="KQK1" s="305"/>
      <c r="KQL1" s="305"/>
      <c r="KQM1" s="305"/>
      <c r="KQN1" s="305"/>
      <c r="KQO1" s="305"/>
      <c r="KQP1" s="305"/>
      <c r="KQQ1" s="305"/>
      <c r="KQR1" s="305"/>
      <c r="KQS1" s="305"/>
      <c r="KQT1" s="305"/>
      <c r="KQU1" s="305"/>
      <c r="KQV1" s="305"/>
      <c r="KQW1" s="305"/>
      <c r="KQX1" s="305"/>
      <c r="KQY1" s="305"/>
      <c r="KQZ1" s="305"/>
      <c r="KRA1" s="305"/>
      <c r="KRB1" s="305"/>
      <c r="KRC1" s="305"/>
      <c r="KRD1" s="305"/>
      <c r="KRE1" s="305"/>
      <c r="KRF1" s="305"/>
      <c r="KRG1" s="305"/>
      <c r="KRH1" s="305"/>
      <c r="KRI1" s="305"/>
      <c r="KRJ1" s="305"/>
      <c r="KRK1" s="305"/>
      <c r="KRL1" s="305"/>
      <c r="KRM1" s="305"/>
      <c r="KRN1" s="305"/>
      <c r="KRO1" s="305"/>
      <c r="KRP1" s="305"/>
      <c r="KRQ1" s="305"/>
      <c r="KRR1" s="305"/>
      <c r="KRS1" s="305"/>
      <c r="KRT1" s="305"/>
      <c r="KRU1" s="305"/>
      <c r="KRV1" s="305"/>
      <c r="KRW1" s="305"/>
      <c r="KRX1" s="305"/>
      <c r="KRY1" s="305"/>
      <c r="KRZ1" s="305"/>
      <c r="KSA1" s="305"/>
      <c r="KSB1" s="305"/>
      <c r="KSC1" s="305"/>
      <c r="KSD1" s="305"/>
      <c r="KSE1" s="305"/>
      <c r="KSF1" s="305"/>
      <c r="KSG1" s="305"/>
      <c r="KSH1" s="305"/>
      <c r="KSI1" s="305"/>
      <c r="KSJ1" s="305"/>
      <c r="KSK1" s="305"/>
      <c r="KSL1" s="305"/>
      <c r="KSM1" s="305"/>
      <c r="KSN1" s="305"/>
      <c r="KSO1" s="305"/>
      <c r="KSP1" s="305"/>
      <c r="KSQ1" s="305"/>
      <c r="KSR1" s="305"/>
      <c r="KSS1" s="305"/>
      <c r="KST1" s="305"/>
      <c r="KSU1" s="305"/>
      <c r="KSV1" s="305"/>
      <c r="KSW1" s="305"/>
      <c r="KSX1" s="305"/>
      <c r="KSY1" s="305"/>
      <c r="KSZ1" s="305"/>
      <c r="KTA1" s="305"/>
      <c r="KTB1" s="305"/>
      <c r="KTC1" s="305"/>
      <c r="KTD1" s="305"/>
      <c r="KTE1" s="305"/>
      <c r="KTF1" s="305"/>
      <c r="KTG1" s="305"/>
      <c r="KTH1" s="305"/>
      <c r="KTI1" s="305"/>
      <c r="KTJ1" s="305"/>
      <c r="KTK1" s="305"/>
      <c r="KTL1" s="305"/>
      <c r="KTM1" s="305"/>
      <c r="KTN1" s="305"/>
      <c r="KTO1" s="305"/>
      <c r="KTP1" s="305"/>
      <c r="KTQ1" s="305"/>
      <c r="KTR1" s="305"/>
      <c r="KTS1" s="305"/>
      <c r="KTT1" s="305"/>
      <c r="KTU1" s="305"/>
      <c r="KTV1" s="305"/>
      <c r="KTW1" s="305"/>
      <c r="KTX1" s="305"/>
      <c r="KTY1" s="305"/>
      <c r="KTZ1" s="305"/>
      <c r="KUA1" s="305"/>
      <c r="KUB1" s="305"/>
      <c r="KUC1" s="305"/>
      <c r="KUD1" s="305"/>
      <c r="KUE1" s="305"/>
      <c r="KUF1" s="305"/>
      <c r="KUG1" s="305"/>
      <c r="KUH1" s="305"/>
      <c r="KUI1" s="305"/>
      <c r="KUJ1" s="305"/>
      <c r="KUK1" s="305"/>
      <c r="KUL1" s="305"/>
      <c r="KUM1" s="305"/>
      <c r="KUN1" s="305"/>
      <c r="KUO1" s="305"/>
      <c r="KUP1" s="305"/>
      <c r="KUQ1" s="305"/>
      <c r="KUR1" s="305"/>
      <c r="KUS1" s="305"/>
      <c r="KUT1" s="305"/>
      <c r="KUU1" s="305"/>
      <c r="KUV1" s="305"/>
      <c r="KUW1" s="305"/>
      <c r="KUX1" s="305"/>
      <c r="KUY1" s="305"/>
      <c r="KUZ1" s="305"/>
      <c r="KVA1" s="305"/>
      <c r="KVB1" s="305"/>
      <c r="KVC1" s="305"/>
      <c r="KVD1" s="305"/>
      <c r="KVE1" s="305"/>
      <c r="KVF1" s="305"/>
      <c r="KVG1" s="305"/>
      <c r="KVH1" s="305"/>
      <c r="KVI1" s="305"/>
      <c r="KVJ1" s="305"/>
      <c r="KVK1" s="305"/>
      <c r="KVL1" s="305"/>
      <c r="KVM1" s="305"/>
      <c r="KVN1" s="305"/>
      <c r="KVO1" s="305"/>
      <c r="KVP1" s="305"/>
      <c r="KVQ1" s="305"/>
      <c r="KVR1" s="305"/>
      <c r="KVS1" s="305"/>
      <c r="KVT1" s="305"/>
      <c r="KVU1" s="305"/>
      <c r="KVV1" s="305"/>
      <c r="KVW1" s="305"/>
      <c r="KVX1" s="305"/>
      <c r="KVY1" s="305"/>
      <c r="KVZ1" s="305"/>
      <c r="KWA1" s="305"/>
      <c r="KWB1" s="305"/>
      <c r="KWC1" s="305"/>
      <c r="KWD1" s="305"/>
      <c r="KWE1" s="305"/>
      <c r="KWF1" s="305"/>
      <c r="KWG1" s="305"/>
      <c r="KWH1" s="305"/>
      <c r="KWI1" s="305"/>
      <c r="KWJ1" s="305"/>
      <c r="KWK1" s="305"/>
      <c r="KWL1" s="305"/>
      <c r="KWM1" s="305"/>
      <c r="KWN1" s="305"/>
      <c r="KWO1" s="305"/>
      <c r="KWP1" s="305"/>
      <c r="KWQ1" s="305"/>
      <c r="KWR1" s="305"/>
      <c r="KWS1" s="305"/>
      <c r="KWT1" s="305"/>
      <c r="KWU1" s="305"/>
      <c r="KWV1" s="305"/>
      <c r="KWW1" s="305"/>
      <c r="KWX1" s="305"/>
      <c r="KWY1" s="305"/>
      <c r="KWZ1" s="305"/>
      <c r="KXA1" s="305"/>
      <c r="KXB1" s="305"/>
      <c r="KXC1" s="305"/>
      <c r="KXD1" s="305"/>
      <c r="KXE1" s="305"/>
      <c r="KXF1" s="305"/>
      <c r="KXG1" s="305"/>
      <c r="KXH1" s="305"/>
      <c r="KXI1" s="305"/>
      <c r="KXJ1" s="305"/>
      <c r="KXK1" s="305"/>
      <c r="KXL1" s="305"/>
      <c r="KXM1" s="305"/>
      <c r="KXN1" s="305"/>
      <c r="KXO1" s="305"/>
      <c r="KXP1" s="305"/>
      <c r="KXQ1" s="305"/>
      <c r="KXR1" s="305"/>
      <c r="KXS1" s="305"/>
      <c r="KXT1" s="305"/>
      <c r="KXU1" s="305"/>
      <c r="KXV1" s="305"/>
      <c r="KXW1" s="305"/>
      <c r="KXX1" s="305"/>
      <c r="KXY1" s="305"/>
      <c r="KXZ1" s="305"/>
      <c r="KYA1" s="305"/>
      <c r="KYB1" s="305"/>
      <c r="KYC1" s="305"/>
      <c r="KYD1" s="305"/>
      <c r="KYE1" s="305"/>
      <c r="KYF1" s="305"/>
      <c r="KYG1" s="305"/>
      <c r="KYH1" s="305"/>
      <c r="KYI1" s="305"/>
      <c r="KYJ1" s="305"/>
      <c r="KYK1" s="305"/>
      <c r="KYL1" s="305"/>
      <c r="KYM1" s="305"/>
      <c r="KYN1" s="305"/>
      <c r="KYO1" s="305"/>
      <c r="KYP1" s="305"/>
      <c r="KYQ1" s="305"/>
      <c r="KYR1" s="305"/>
      <c r="KYS1" s="305"/>
      <c r="KYT1" s="305"/>
      <c r="KYU1" s="305"/>
      <c r="KYV1" s="305"/>
      <c r="KYW1" s="305"/>
      <c r="KYX1" s="305"/>
      <c r="KYY1" s="305"/>
      <c r="KYZ1" s="305"/>
      <c r="KZA1" s="305"/>
      <c r="KZB1" s="305"/>
      <c r="KZC1" s="305"/>
      <c r="KZD1" s="305"/>
      <c r="KZE1" s="305"/>
      <c r="KZF1" s="305"/>
      <c r="KZG1" s="305"/>
      <c r="KZH1" s="305"/>
      <c r="KZI1" s="305"/>
      <c r="KZJ1" s="305"/>
      <c r="KZK1" s="305"/>
      <c r="KZL1" s="305"/>
      <c r="KZM1" s="305"/>
      <c r="KZN1" s="305"/>
      <c r="KZO1" s="305"/>
      <c r="KZP1" s="305"/>
      <c r="KZQ1" s="305"/>
      <c r="KZR1" s="305"/>
      <c r="KZS1" s="305"/>
      <c r="KZT1" s="305"/>
      <c r="KZU1" s="305"/>
      <c r="KZV1" s="305"/>
      <c r="KZW1" s="305"/>
      <c r="KZX1" s="305"/>
      <c r="KZY1" s="305"/>
      <c r="KZZ1" s="305"/>
      <c r="LAA1" s="305"/>
      <c r="LAB1" s="305"/>
      <c r="LAC1" s="305"/>
      <c r="LAD1" s="305"/>
      <c r="LAE1" s="305"/>
      <c r="LAF1" s="305"/>
      <c r="LAG1" s="305"/>
      <c r="LAH1" s="305"/>
      <c r="LAI1" s="305"/>
      <c r="LAJ1" s="305"/>
      <c r="LAK1" s="305"/>
      <c r="LAL1" s="305"/>
      <c r="LAM1" s="305"/>
      <c r="LAN1" s="305"/>
      <c r="LAO1" s="305"/>
      <c r="LAP1" s="305"/>
      <c r="LAQ1" s="305"/>
      <c r="LAR1" s="305"/>
      <c r="LAS1" s="305"/>
      <c r="LAT1" s="305"/>
      <c r="LAU1" s="305"/>
      <c r="LAV1" s="305"/>
      <c r="LAW1" s="305"/>
      <c r="LAX1" s="305"/>
      <c r="LAY1" s="305"/>
      <c r="LAZ1" s="305"/>
      <c r="LBA1" s="305"/>
      <c r="LBB1" s="305"/>
      <c r="LBC1" s="305"/>
      <c r="LBD1" s="305"/>
      <c r="LBE1" s="305"/>
      <c r="LBF1" s="305"/>
      <c r="LBG1" s="305"/>
      <c r="LBH1" s="305"/>
      <c r="LBI1" s="305"/>
      <c r="LBJ1" s="305"/>
      <c r="LBK1" s="305"/>
      <c r="LBL1" s="305"/>
      <c r="LBM1" s="305"/>
      <c r="LBN1" s="305"/>
      <c r="LBO1" s="305"/>
      <c r="LBP1" s="305"/>
      <c r="LBQ1" s="305"/>
      <c r="LBR1" s="305"/>
      <c r="LBS1" s="305"/>
      <c r="LBT1" s="305"/>
      <c r="LBU1" s="305"/>
      <c r="LBV1" s="305"/>
      <c r="LBW1" s="305"/>
      <c r="LBX1" s="305"/>
      <c r="LBY1" s="305"/>
      <c r="LBZ1" s="305"/>
      <c r="LCA1" s="305"/>
      <c r="LCB1" s="305"/>
      <c r="LCC1" s="305"/>
      <c r="LCD1" s="305"/>
      <c r="LCE1" s="305"/>
      <c r="LCF1" s="305"/>
      <c r="LCG1" s="305"/>
      <c r="LCH1" s="305"/>
      <c r="LCI1" s="305"/>
      <c r="LCJ1" s="305"/>
      <c r="LCK1" s="305"/>
      <c r="LCL1" s="305"/>
      <c r="LCM1" s="305"/>
      <c r="LCN1" s="305"/>
      <c r="LCO1" s="305"/>
      <c r="LCP1" s="305"/>
      <c r="LCQ1" s="305"/>
      <c r="LCR1" s="305"/>
      <c r="LCS1" s="305"/>
      <c r="LCT1" s="305"/>
      <c r="LCU1" s="305"/>
      <c r="LCV1" s="305"/>
      <c r="LCW1" s="305"/>
      <c r="LCX1" s="305"/>
      <c r="LCY1" s="305"/>
      <c r="LCZ1" s="305"/>
      <c r="LDA1" s="305"/>
      <c r="LDB1" s="305"/>
      <c r="LDC1" s="305"/>
      <c r="LDD1" s="305"/>
      <c r="LDE1" s="305"/>
      <c r="LDF1" s="305"/>
      <c r="LDG1" s="305"/>
      <c r="LDH1" s="305"/>
      <c r="LDI1" s="305"/>
      <c r="LDJ1" s="305"/>
      <c r="LDK1" s="305"/>
      <c r="LDL1" s="305"/>
      <c r="LDM1" s="305"/>
      <c r="LDN1" s="305"/>
      <c r="LDO1" s="305"/>
      <c r="LDP1" s="305"/>
      <c r="LDQ1" s="305"/>
      <c r="LDR1" s="305"/>
      <c r="LDS1" s="305"/>
      <c r="LDT1" s="305"/>
      <c r="LDU1" s="305"/>
      <c r="LDV1" s="305"/>
      <c r="LDW1" s="305"/>
      <c r="LDX1" s="305"/>
      <c r="LDY1" s="305"/>
      <c r="LDZ1" s="305"/>
      <c r="LEA1" s="305"/>
      <c r="LEB1" s="305"/>
      <c r="LEC1" s="305"/>
      <c r="LED1" s="305"/>
      <c r="LEE1" s="305"/>
      <c r="LEF1" s="305"/>
      <c r="LEG1" s="305"/>
      <c r="LEH1" s="305"/>
      <c r="LEI1" s="305"/>
      <c r="LEJ1" s="305"/>
      <c r="LEK1" s="305"/>
      <c r="LEL1" s="305"/>
      <c r="LEM1" s="305"/>
      <c r="LEN1" s="305"/>
      <c r="LEO1" s="305"/>
      <c r="LEP1" s="305"/>
      <c r="LEQ1" s="305"/>
      <c r="LER1" s="305"/>
      <c r="LES1" s="305"/>
      <c r="LET1" s="305"/>
      <c r="LEU1" s="305"/>
      <c r="LEV1" s="305"/>
      <c r="LEW1" s="305"/>
      <c r="LEX1" s="305"/>
      <c r="LEY1" s="305"/>
      <c r="LEZ1" s="305"/>
      <c r="LFA1" s="305"/>
      <c r="LFB1" s="305"/>
      <c r="LFC1" s="305"/>
      <c r="LFD1" s="305"/>
      <c r="LFE1" s="305"/>
      <c r="LFF1" s="305"/>
      <c r="LFG1" s="305"/>
      <c r="LFH1" s="305"/>
      <c r="LFI1" s="305"/>
      <c r="LFJ1" s="305"/>
      <c r="LFK1" s="305"/>
      <c r="LFL1" s="305"/>
      <c r="LFM1" s="305"/>
      <c r="LFN1" s="305"/>
      <c r="LFO1" s="305"/>
      <c r="LFP1" s="305"/>
      <c r="LFQ1" s="305"/>
      <c r="LFR1" s="305"/>
      <c r="LFS1" s="305"/>
      <c r="LFT1" s="305"/>
      <c r="LFU1" s="305"/>
      <c r="LFV1" s="305"/>
      <c r="LFW1" s="305"/>
      <c r="LFX1" s="305"/>
      <c r="LFY1" s="305"/>
      <c r="LFZ1" s="305"/>
      <c r="LGA1" s="305"/>
      <c r="LGB1" s="305"/>
      <c r="LGC1" s="305"/>
      <c r="LGD1" s="305"/>
      <c r="LGE1" s="305"/>
      <c r="LGF1" s="305"/>
      <c r="LGG1" s="305"/>
      <c r="LGH1" s="305"/>
      <c r="LGI1" s="305"/>
      <c r="LGJ1" s="305"/>
      <c r="LGK1" s="305"/>
      <c r="LGL1" s="305"/>
      <c r="LGM1" s="305"/>
      <c r="LGN1" s="305"/>
      <c r="LGO1" s="305"/>
      <c r="LGP1" s="305"/>
      <c r="LGQ1" s="305"/>
      <c r="LGR1" s="305"/>
      <c r="LGS1" s="305"/>
      <c r="LGT1" s="305"/>
      <c r="LGU1" s="305"/>
      <c r="LGV1" s="305"/>
      <c r="LGW1" s="305"/>
      <c r="LGX1" s="305"/>
      <c r="LGY1" s="305"/>
      <c r="LGZ1" s="305"/>
      <c r="LHA1" s="305"/>
      <c r="LHB1" s="305"/>
      <c r="LHC1" s="305"/>
      <c r="LHD1" s="305"/>
      <c r="LHE1" s="305"/>
      <c r="LHF1" s="305"/>
      <c r="LHG1" s="305"/>
      <c r="LHH1" s="305"/>
      <c r="LHI1" s="305"/>
      <c r="LHJ1" s="305"/>
      <c r="LHK1" s="305"/>
      <c r="LHL1" s="305"/>
      <c r="LHM1" s="305"/>
      <c r="LHN1" s="305"/>
      <c r="LHO1" s="305"/>
      <c r="LHP1" s="305"/>
      <c r="LHQ1" s="305"/>
      <c r="LHR1" s="305"/>
      <c r="LHS1" s="305"/>
      <c r="LHT1" s="305"/>
      <c r="LHU1" s="305"/>
      <c r="LHV1" s="305"/>
      <c r="LHW1" s="305"/>
      <c r="LHX1" s="305"/>
      <c r="LHY1" s="305"/>
      <c r="LHZ1" s="305"/>
      <c r="LIA1" s="305"/>
      <c r="LIB1" s="305"/>
      <c r="LIC1" s="305"/>
      <c r="LID1" s="305"/>
      <c r="LIE1" s="305"/>
      <c r="LIF1" s="305"/>
      <c r="LIG1" s="305"/>
      <c r="LIH1" s="305"/>
      <c r="LII1" s="305"/>
      <c r="LIJ1" s="305"/>
      <c r="LIK1" s="305"/>
      <c r="LIL1" s="305"/>
      <c r="LIM1" s="305"/>
      <c r="LIN1" s="305"/>
      <c r="LIO1" s="305"/>
      <c r="LIP1" s="305"/>
      <c r="LIQ1" s="305"/>
      <c r="LIR1" s="305"/>
      <c r="LIS1" s="305"/>
      <c r="LIT1" s="305"/>
      <c r="LIU1" s="305"/>
      <c r="LIV1" s="305"/>
      <c r="LIW1" s="305"/>
      <c r="LIX1" s="305"/>
      <c r="LIY1" s="305"/>
      <c r="LIZ1" s="305"/>
      <c r="LJA1" s="305"/>
      <c r="LJB1" s="305"/>
      <c r="LJC1" s="305"/>
      <c r="LJD1" s="305"/>
      <c r="LJE1" s="305"/>
      <c r="LJF1" s="305"/>
      <c r="LJG1" s="305"/>
      <c r="LJH1" s="305"/>
      <c r="LJI1" s="305"/>
      <c r="LJJ1" s="305"/>
      <c r="LJK1" s="305"/>
      <c r="LJL1" s="305"/>
      <c r="LJM1" s="305"/>
      <c r="LJN1" s="305"/>
      <c r="LJO1" s="305"/>
      <c r="LJP1" s="305"/>
      <c r="LJQ1" s="305"/>
      <c r="LJR1" s="305"/>
      <c r="LJS1" s="305"/>
      <c r="LJT1" s="305"/>
      <c r="LJU1" s="305"/>
      <c r="LJV1" s="305"/>
      <c r="LJW1" s="305"/>
      <c r="LJX1" s="305"/>
      <c r="LJY1" s="305"/>
      <c r="LJZ1" s="305"/>
      <c r="LKA1" s="305"/>
      <c r="LKB1" s="305"/>
      <c r="LKC1" s="305"/>
      <c r="LKD1" s="305"/>
      <c r="LKE1" s="305"/>
      <c r="LKF1" s="305"/>
      <c r="LKG1" s="305"/>
      <c r="LKH1" s="305"/>
      <c r="LKI1" s="305"/>
      <c r="LKJ1" s="305"/>
      <c r="LKK1" s="305"/>
      <c r="LKL1" s="305"/>
      <c r="LKM1" s="305"/>
      <c r="LKN1" s="305"/>
      <c r="LKO1" s="305"/>
      <c r="LKP1" s="305"/>
      <c r="LKQ1" s="305"/>
      <c r="LKR1" s="305"/>
      <c r="LKS1" s="305"/>
      <c r="LKT1" s="305"/>
      <c r="LKU1" s="305"/>
      <c r="LKV1" s="305"/>
      <c r="LKW1" s="305"/>
      <c r="LKX1" s="305"/>
      <c r="LKY1" s="305"/>
      <c r="LKZ1" s="305"/>
      <c r="LLA1" s="305"/>
      <c r="LLB1" s="305"/>
      <c r="LLC1" s="305"/>
      <c r="LLD1" s="305"/>
      <c r="LLE1" s="305"/>
      <c r="LLF1" s="305"/>
      <c r="LLG1" s="305"/>
      <c r="LLH1" s="305"/>
      <c r="LLI1" s="305"/>
      <c r="LLJ1" s="305"/>
      <c r="LLK1" s="305"/>
      <c r="LLL1" s="305"/>
      <c r="LLM1" s="305"/>
      <c r="LLN1" s="305"/>
      <c r="LLO1" s="305"/>
      <c r="LLP1" s="305"/>
      <c r="LLQ1" s="305"/>
      <c r="LLR1" s="305"/>
      <c r="LLS1" s="305"/>
      <c r="LLT1" s="305"/>
      <c r="LLU1" s="305"/>
      <c r="LLV1" s="305"/>
      <c r="LLW1" s="305"/>
      <c r="LLX1" s="305"/>
      <c r="LLY1" s="305"/>
      <c r="LLZ1" s="305"/>
      <c r="LMA1" s="305"/>
      <c r="LMB1" s="305"/>
      <c r="LMC1" s="305"/>
      <c r="LMD1" s="305"/>
      <c r="LME1" s="305"/>
      <c r="LMF1" s="305"/>
      <c r="LMG1" s="305"/>
      <c r="LMH1" s="305"/>
      <c r="LMI1" s="305"/>
      <c r="LMJ1" s="305"/>
      <c r="LMK1" s="305"/>
      <c r="LML1" s="305"/>
      <c r="LMM1" s="305"/>
      <c r="LMN1" s="305"/>
      <c r="LMO1" s="305"/>
      <c r="LMP1" s="305"/>
      <c r="LMQ1" s="305"/>
      <c r="LMR1" s="305"/>
      <c r="LMS1" s="305"/>
      <c r="LMT1" s="305"/>
      <c r="LMU1" s="305"/>
      <c r="LMV1" s="305"/>
      <c r="LMW1" s="305"/>
      <c r="LMX1" s="305"/>
      <c r="LMY1" s="305"/>
      <c r="LMZ1" s="305"/>
      <c r="LNA1" s="305"/>
      <c r="LNB1" s="305"/>
      <c r="LNC1" s="305"/>
      <c r="LND1" s="305"/>
      <c r="LNE1" s="305"/>
      <c r="LNF1" s="305"/>
      <c r="LNG1" s="305"/>
      <c r="LNH1" s="305"/>
      <c r="LNI1" s="305"/>
      <c r="LNJ1" s="305"/>
      <c r="LNK1" s="305"/>
      <c r="LNL1" s="305"/>
      <c r="LNM1" s="305"/>
      <c r="LNN1" s="305"/>
      <c r="LNO1" s="305"/>
      <c r="LNP1" s="305"/>
      <c r="LNQ1" s="305"/>
      <c r="LNR1" s="305"/>
      <c r="LNS1" s="305"/>
      <c r="LNT1" s="305"/>
      <c r="LNU1" s="305"/>
      <c r="LNV1" s="305"/>
      <c r="LNW1" s="305"/>
      <c r="LNX1" s="305"/>
      <c r="LNY1" s="305"/>
      <c r="LNZ1" s="305"/>
      <c r="LOA1" s="305"/>
      <c r="LOB1" s="305"/>
      <c r="LOC1" s="305"/>
      <c r="LOD1" s="305"/>
      <c r="LOE1" s="305"/>
      <c r="LOF1" s="305"/>
      <c r="LOG1" s="305"/>
      <c r="LOH1" s="305"/>
      <c r="LOI1" s="305"/>
      <c r="LOJ1" s="305"/>
      <c r="LOK1" s="305"/>
      <c r="LOL1" s="305"/>
      <c r="LOM1" s="305"/>
      <c r="LON1" s="305"/>
      <c r="LOO1" s="305"/>
      <c r="LOP1" s="305"/>
      <c r="LOQ1" s="305"/>
      <c r="LOR1" s="305"/>
      <c r="LOS1" s="305"/>
      <c r="LOT1" s="305"/>
      <c r="LOU1" s="305"/>
      <c r="LOV1" s="305"/>
      <c r="LOW1" s="305"/>
      <c r="LOX1" s="305"/>
      <c r="LOY1" s="305"/>
      <c r="LOZ1" s="305"/>
      <c r="LPA1" s="305"/>
      <c r="LPB1" s="305"/>
      <c r="LPC1" s="305"/>
      <c r="LPD1" s="305"/>
      <c r="LPE1" s="305"/>
      <c r="LPF1" s="305"/>
      <c r="LPG1" s="305"/>
      <c r="LPH1" s="305"/>
      <c r="LPI1" s="305"/>
      <c r="LPJ1" s="305"/>
      <c r="LPK1" s="305"/>
      <c r="LPL1" s="305"/>
      <c r="LPM1" s="305"/>
      <c r="LPN1" s="305"/>
      <c r="LPO1" s="305"/>
      <c r="LPP1" s="305"/>
      <c r="LPQ1" s="305"/>
      <c r="LPR1" s="305"/>
      <c r="LPS1" s="305"/>
      <c r="LPT1" s="305"/>
      <c r="LPU1" s="305"/>
      <c r="LPV1" s="305"/>
      <c r="LPW1" s="305"/>
      <c r="LPX1" s="305"/>
      <c r="LPY1" s="305"/>
      <c r="LPZ1" s="305"/>
      <c r="LQA1" s="305"/>
      <c r="LQB1" s="305"/>
      <c r="LQC1" s="305"/>
      <c r="LQD1" s="305"/>
      <c r="LQE1" s="305"/>
      <c r="LQF1" s="305"/>
      <c r="LQG1" s="305"/>
      <c r="LQH1" s="305"/>
      <c r="LQI1" s="305"/>
      <c r="LQJ1" s="305"/>
      <c r="LQK1" s="305"/>
      <c r="LQL1" s="305"/>
      <c r="LQM1" s="305"/>
      <c r="LQN1" s="305"/>
      <c r="LQO1" s="305"/>
      <c r="LQP1" s="305"/>
      <c r="LQQ1" s="305"/>
      <c r="LQR1" s="305"/>
      <c r="LQS1" s="305"/>
      <c r="LQT1" s="305"/>
      <c r="LQU1" s="305"/>
      <c r="LQV1" s="305"/>
      <c r="LQW1" s="305"/>
      <c r="LQX1" s="305"/>
      <c r="LQY1" s="305"/>
      <c r="LQZ1" s="305"/>
      <c r="LRA1" s="305"/>
      <c r="LRB1" s="305"/>
      <c r="LRC1" s="305"/>
      <c r="LRD1" s="305"/>
      <c r="LRE1" s="305"/>
      <c r="LRF1" s="305"/>
      <c r="LRG1" s="305"/>
      <c r="LRH1" s="305"/>
      <c r="LRI1" s="305"/>
      <c r="LRJ1" s="305"/>
      <c r="LRK1" s="305"/>
      <c r="LRL1" s="305"/>
      <c r="LRM1" s="305"/>
      <c r="LRN1" s="305"/>
      <c r="LRO1" s="305"/>
      <c r="LRP1" s="305"/>
      <c r="LRQ1" s="305"/>
      <c r="LRR1" s="305"/>
      <c r="LRS1" s="305"/>
      <c r="LRT1" s="305"/>
      <c r="LRU1" s="305"/>
      <c r="LRV1" s="305"/>
      <c r="LRW1" s="305"/>
      <c r="LRX1" s="305"/>
      <c r="LRY1" s="305"/>
      <c r="LRZ1" s="305"/>
      <c r="LSA1" s="305"/>
      <c r="LSB1" s="305"/>
      <c r="LSC1" s="305"/>
      <c r="LSD1" s="305"/>
      <c r="LSE1" s="305"/>
      <c r="LSF1" s="305"/>
      <c r="LSG1" s="305"/>
      <c r="LSH1" s="305"/>
      <c r="LSI1" s="305"/>
      <c r="LSJ1" s="305"/>
      <c r="LSK1" s="305"/>
      <c r="LSL1" s="305"/>
      <c r="LSM1" s="305"/>
      <c r="LSN1" s="305"/>
      <c r="LSO1" s="305"/>
      <c r="LSP1" s="305"/>
      <c r="LSQ1" s="305"/>
      <c r="LSR1" s="305"/>
      <c r="LSS1" s="305"/>
      <c r="LST1" s="305"/>
      <c r="LSU1" s="305"/>
      <c r="LSV1" s="305"/>
      <c r="LSW1" s="305"/>
      <c r="LSX1" s="305"/>
      <c r="LSY1" s="305"/>
      <c r="LSZ1" s="305"/>
      <c r="LTA1" s="305"/>
      <c r="LTB1" s="305"/>
      <c r="LTC1" s="305"/>
      <c r="LTD1" s="305"/>
      <c r="LTE1" s="305"/>
      <c r="LTF1" s="305"/>
      <c r="LTG1" s="305"/>
      <c r="LTH1" s="305"/>
      <c r="LTI1" s="305"/>
      <c r="LTJ1" s="305"/>
      <c r="LTK1" s="305"/>
      <c r="LTL1" s="305"/>
      <c r="LTM1" s="305"/>
      <c r="LTN1" s="305"/>
      <c r="LTO1" s="305"/>
      <c r="LTP1" s="305"/>
      <c r="LTQ1" s="305"/>
      <c r="LTR1" s="305"/>
      <c r="LTS1" s="305"/>
      <c r="LTT1" s="305"/>
      <c r="LTU1" s="305"/>
      <c r="LTV1" s="305"/>
      <c r="LTW1" s="305"/>
      <c r="LTX1" s="305"/>
      <c r="LTY1" s="305"/>
      <c r="LTZ1" s="305"/>
      <c r="LUA1" s="305"/>
      <c r="LUB1" s="305"/>
      <c r="LUC1" s="305"/>
      <c r="LUD1" s="305"/>
      <c r="LUE1" s="305"/>
      <c r="LUF1" s="305"/>
      <c r="LUG1" s="305"/>
      <c r="LUH1" s="305"/>
      <c r="LUI1" s="305"/>
      <c r="LUJ1" s="305"/>
      <c r="LUK1" s="305"/>
      <c r="LUL1" s="305"/>
      <c r="LUM1" s="305"/>
      <c r="LUN1" s="305"/>
      <c r="LUO1" s="305"/>
      <c r="LUP1" s="305"/>
      <c r="LUQ1" s="305"/>
      <c r="LUR1" s="305"/>
      <c r="LUS1" s="305"/>
      <c r="LUT1" s="305"/>
      <c r="LUU1" s="305"/>
      <c r="LUV1" s="305"/>
      <c r="LUW1" s="305"/>
      <c r="LUX1" s="305"/>
      <c r="LUY1" s="305"/>
      <c r="LUZ1" s="305"/>
      <c r="LVA1" s="305"/>
      <c r="LVB1" s="305"/>
      <c r="LVC1" s="305"/>
      <c r="LVD1" s="305"/>
      <c r="LVE1" s="305"/>
      <c r="LVF1" s="305"/>
      <c r="LVG1" s="305"/>
      <c r="LVH1" s="305"/>
      <c r="LVI1" s="305"/>
      <c r="LVJ1" s="305"/>
      <c r="LVK1" s="305"/>
      <c r="LVL1" s="305"/>
      <c r="LVM1" s="305"/>
      <c r="LVN1" s="305"/>
      <c r="LVO1" s="305"/>
      <c r="LVP1" s="305"/>
      <c r="LVQ1" s="305"/>
      <c r="LVR1" s="305"/>
      <c r="LVS1" s="305"/>
      <c r="LVT1" s="305"/>
      <c r="LVU1" s="305"/>
      <c r="LVV1" s="305"/>
      <c r="LVW1" s="305"/>
      <c r="LVX1" s="305"/>
      <c r="LVY1" s="305"/>
      <c r="LVZ1" s="305"/>
      <c r="LWA1" s="305"/>
      <c r="LWB1" s="305"/>
      <c r="LWC1" s="305"/>
      <c r="LWD1" s="305"/>
      <c r="LWE1" s="305"/>
      <c r="LWF1" s="305"/>
      <c r="LWG1" s="305"/>
      <c r="LWH1" s="305"/>
      <c r="LWI1" s="305"/>
      <c r="LWJ1" s="305"/>
      <c r="LWK1" s="305"/>
      <c r="LWL1" s="305"/>
      <c r="LWM1" s="305"/>
      <c r="LWN1" s="305"/>
      <c r="LWO1" s="305"/>
      <c r="LWP1" s="305"/>
      <c r="LWQ1" s="305"/>
      <c r="LWR1" s="305"/>
      <c r="LWS1" s="305"/>
      <c r="LWT1" s="305"/>
      <c r="LWU1" s="305"/>
      <c r="LWV1" s="305"/>
      <c r="LWW1" s="305"/>
      <c r="LWX1" s="305"/>
      <c r="LWY1" s="305"/>
      <c r="LWZ1" s="305"/>
      <c r="LXA1" s="305"/>
      <c r="LXB1" s="305"/>
      <c r="LXC1" s="305"/>
      <c r="LXD1" s="305"/>
      <c r="LXE1" s="305"/>
      <c r="LXF1" s="305"/>
      <c r="LXG1" s="305"/>
      <c r="LXH1" s="305"/>
      <c r="LXI1" s="305"/>
      <c r="LXJ1" s="305"/>
      <c r="LXK1" s="305"/>
      <c r="LXL1" s="305"/>
      <c r="LXM1" s="305"/>
      <c r="LXN1" s="305"/>
      <c r="LXO1" s="305"/>
      <c r="LXP1" s="305"/>
      <c r="LXQ1" s="305"/>
      <c r="LXR1" s="305"/>
      <c r="LXS1" s="305"/>
      <c r="LXT1" s="305"/>
      <c r="LXU1" s="305"/>
      <c r="LXV1" s="305"/>
      <c r="LXW1" s="305"/>
      <c r="LXX1" s="305"/>
      <c r="LXY1" s="305"/>
      <c r="LXZ1" s="305"/>
      <c r="LYA1" s="305"/>
      <c r="LYB1" s="305"/>
      <c r="LYC1" s="305"/>
      <c r="LYD1" s="305"/>
      <c r="LYE1" s="305"/>
      <c r="LYF1" s="305"/>
      <c r="LYG1" s="305"/>
      <c r="LYH1" s="305"/>
      <c r="LYI1" s="305"/>
      <c r="LYJ1" s="305"/>
      <c r="LYK1" s="305"/>
      <c r="LYL1" s="305"/>
      <c r="LYM1" s="305"/>
      <c r="LYN1" s="305"/>
      <c r="LYO1" s="305"/>
      <c r="LYP1" s="305"/>
      <c r="LYQ1" s="305"/>
      <c r="LYR1" s="305"/>
      <c r="LYS1" s="305"/>
      <c r="LYT1" s="305"/>
      <c r="LYU1" s="305"/>
      <c r="LYV1" s="305"/>
      <c r="LYW1" s="305"/>
      <c r="LYX1" s="305"/>
      <c r="LYY1" s="305"/>
      <c r="LYZ1" s="305"/>
      <c r="LZA1" s="305"/>
      <c r="LZB1" s="305"/>
      <c r="LZC1" s="305"/>
      <c r="LZD1" s="305"/>
      <c r="LZE1" s="305"/>
      <c r="LZF1" s="305"/>
      <c r="LZG1" s="305"/>
      <c r="LZH1" s="305"/>
      <c r="LZI1" s="305"/>
      <c r="LZJ1" s="305"/>
      <c r="LZK1" s="305"/>
      <c r="LZL1" s="305"/>
      <c r="LZM1" s="305"/>
      <c r="LZN1" s="305"/>
      <c r="LZO1" s="305"/>
      <c r="LZP1" s="305"/>
      <c r="LZQ1" s="305"/>
      <c r="LZR1" s="305"/>
      <c r="LZS1" s="305"/>
      <c r="LZT1" s="305"/>
      <c r="LZU1" s="305"/>
      <c r="LZV1" s="305"/>
      <c r="LZW1" s="305"/>
      <c r="LZX1" s="305"/>
      <c r="LZY1" s="305"/>
      <c r="LZZ1" s="305"/>
      <c r="MAA1" s="305"/>
      <c r="MAB1" s="305"/>
      <c r="MAC1" s="305"/>
      <c r="MAD1" s="305"/>
      <c r="MAE1" s="305"/>
      <c r="MAF1" s="305"/>
      <c r="MAG1" s="305"/>
      <c r="MAH1" s="305"/>
      <c r="MAI1" s="305"/>
      <c r="MAJ1" s="305"/>
      <c r="MAK1" s="305"/>
      <c r="MAL1" s="305"/>
      <c r="MAM1" s="305"/>
      <c r="MAN1" s="305"/>
      <c r="MAO1" s="305"/>
      <c r="MAP1" s="305"/>
      <c r="MAQ1" s="305"/>
      <c r="MAR1" s="305"/>
      <c r="MAS1" s="305"/>
      <c r="MAT1" s="305"/>
      <c r="MAU1" s="305"/>
      <c r="MAV1" s="305"/>
      <c r="MAW1" s="305"/>
      <c r="MAX1" s="305"/>
      <c r="MAY1" s="305"/>
      <c r="MAZ1" s="305"/>
      <c r="MBA1" s="305"/>
      <c r="MBB1" s="305"/>
      <c r="MBC1" s="305"/>
      <c r="MBD1" s="305"/>
      <c r="MBE1" s="305"/>
      <c r="MBF1" s="305"/>
      <c r="MBG1" s="305"/>
      <c r="MBH1" s="305"/>
      <c r="MBI1" s="305"/>
      <c r="MBJ1" s="305"/>
      <c r="MBK1" s="305"/>
      <c r="MBL1" s="305"/>
      <c r="MBM1" s="305"/>
      <c r="MBN1" s="305"/>
      <c r="MBO1" s="305"/>
      <c r="MBP1" s="305"/>
      <c r="MBQ1" s="305"/>
      <c r="MBR1" s="305"/>
      <c r="MBS1" s="305"/>
      <c r="MBT1" s="305"/>
      <c r="MBU1" s="305"/>
      <c r="MBV1" s="305"/>
      <c r="MBW1" s="305"/>
      <c r="MBX1" s="305"/>
      <c r="MBY1" s="305"/>
      <c r="MBZ1" s="305"/>
      <c r="MCA1" s="305"/>
      <c r="MCB1" s="305"/>
      <c r="MCC1" s="305"/>
      <c r="MCD1" s="305"/>
      <c r="MCE1" s="305"/>
      <c r="MCF1" s="305"/>
      <c r="MCG1" s="305"/>
      <c r="MCH1" s="305"/>
      <c r="MCI1" s="305"/>
      <c r="MCJ1" s="305"/>
      <c r="MCK1" s="305"/>
      <c r="MCL1" s="305"/>
      <c r="MCM1" s="305"/>
      <c r="MCN1" s="305"/>
      <c r="MCO1" s="305"/>
      <c r="MCP1" s="305"/>
      <c r="MCQ1" s="305"/>
      <c r="MCR1" s="305"/>
      <c r="MCS1" s="305"/>
      <c r="MCT1" s="305"/>
      <c r="MCU1" s="305"/>
      <c r="MCV1" s="305"/>
      <c r="MCW1" s="305"/>
      <c r="MCX1" s="305"/>
      <c r="MCY1" s="305"/>
      <c r="MCZ1" s="305"/>
      <c r="MDA1" s="305"/>
      <c r="MDB1" s="305"/>
      <c r="MDC1" s="305"/>
      <c r="MDD1" s="305"/>
      <c r="MDE1" s="305"/>
      <c r="MDF1" s="305"/>
      <c r="MDG1" s="305"/>
      <c r="MDH1" s="305"/>
      <c r="MDI1" s="305"/>
      <c r="MDJ1" s="305"/>
      <c r="MDK1" s="305"/>
      <c r="MDL1" s="305"/>
      <c r="MDM1" s="305"/>
      <c r="MDN1" s="305"/>
      <c r="MDO1" s="305"/>
      <c r="MDP1" s="305"/>
      <c r="MDQ1" s="305"/>
      <c r="MDR1" s="305"/>
      <c r="MDS1" s="305"/>
      <c r="MDT1" s="305"/>
      <c r="MDU1" s="305"/>
      <c r="MDV1" s="305"/>
      <c r="MDW1" s="305"/>
      <c r="MDX1" s="305"/>
      <c r="MDY1" s="305"/>
      <c r="MDZ1" s="305"/>
      <c r="MEA1" s="305"/>
      <c r="MEB1" s="305"/>
      <c r="MEC1" s="305"/>
      <c r="MED1" s="305"/>
      <c r="MEE1" s="305"/>
      <c r="MEF1" s="305"/>
      <c r="MEG1" s="305"/>
      <c r="MEH1" s="305"/>
      <c r="MEI1" s="305"/>
      <c r="MEJ1" s="305"/>
      <c r="MEK1" s="305"/>
      <c r="MEL1" s="305"/>
      <c r="MEM1" s="305"/>
      <c r="MEN1" s="305"/>
      <c r="MEO1" s="305"/>
      <c r="MEP1" s="305"/>
      <c r="MEQ1" s="305"/>
      <c r="MER1" s="305"/>
      <c r="MES1" s="305"/>
      <c r="MET1" s="305"/>
      <c r="MEU1" s="305"/>
      <c r="MEV1" s="305"/>
      <c r="MEW1" s="305"/>
      <c r="MEX1" s="305"/>
      <c r="MEY1" s="305"/>
      <c r="MEZ1" s="305"/>
      <c r="MFA1" s="305"/>
      <c r="MFB1" s="305"/>
      <c r="MFC1" s="305"/>
      <c r="MFD1" s="305"/>
      <c r="MFE1" s="305"/>
      <c r="MFF1" s="305"/>
      <c r="MFG1" s="305"/>
      <c r="MFH1" s="305"/>
      <c r="MFI1" s="305"/>
      <c r="MFJ1" s="305"/>
      <c r="MFK1" s="305"/>
      <c r="MFL1" s="305"/>
      <c r="MFM1" s="305"/>
      <c r="MFN1" s="305"/>
      <c r="MFO1" s="305"/>
      <c r="MFP1" s="305"/>
      <c r="MFQ1" s="305"/>
      <c r="MFR1" s="305"/>
      <c r="MFS1" s="305"/>
      <c r="MFT1" s="305"/>
      <c r="MFU1" s="305"/>
      <c r="MFV1" s="305"/>
      <c r="MFW1" s="305"/>
      <c r="MFX1" s="305"/>
      <c r="MFY1" s="305"/>
      <c r="MFZ1" s="305"/>
      <c r="MGA1" s="305"/>
      <c r="MGB1" s="305"/>
      <c r="MGC1" s="305"/>
      <c r="MGD1" s="305"/>
      <c r="MGE1" s="305"/>
      <c r="MGF1" s="305"/>
      <c r="MGG1" s="305"/>
      <c r="MGH1" s="305"/>
      <c r="MGI1" s="305"/>
      <c r="MGJ1" s="305"/>
      <c r="MGK1" s="305"/>
      <c r="MGL1" s="305"/>
      <c r="MGM1" s="305"/>
      <c r="MGN1" s="305"/>
      <c r="MGO1" s="305"/>
      <c r="MGP1" s="305"/>
      <c r="MGQ1" s="305"/>
      <c r="MGR1" s="305"/>
      <c r="MGS1" s="305"/>
      <c r="MGT1" s="305"/>
      <c r="MGU1" s="305"/>
      <c r="MGV1" s="305"/>
      <c r="MGW1" s="305"/>
      <c r="MGX1" s="305"/>
      <c r="MGY1" s="305"/>
      <c r="MGZ1" s="305"/>
      <c r="MHA1" s="305"/>
      <c r="MHB1" s="305"/>
      <c r="MHC1" s="305"/>
      <c r="MHD1" s="305"/>
      <c r="MHE1" s="305"/>
      <c r="MHF1" s="305"/>
      <c r="MHG1" s="305"/>
      <c r="MHH1" s="305"/>
      <c r="MHI1" s="305"/>
      <c r="MHJ1" s="305"/>
      <c r="MHK1" s="305"/>
      <c r="MHL1" s="305"/>
      <c r="MHM1" s="305"/>
      <c r="MHN1" s="305"/>
      <c r="MHO1" s="305"/>
      <c r="MHP1" s="305"/>
      <c r="MHQ1" s="305"/>
      <c r="MHR1" s="305"/>
      <c r="MHS1" s="305"/>
      <c r="MHT1" s="305"/>
      <c r="MHU1" s="305"/>
      <c r="MHV1" s="305"/>
      <c r="MHW1" s="305"/>
      <c r="MHX1" s="305"/>
      <c r="MHY1" s="305"/>
      <c r="MHZ1" s="305"/>
      <c r="MIA1" s="305"/>
      <c r="MIB1" s="305"/>
      <c r="MIC1" s="305"/>
      <c r="MID1" s="305"/>
      <c r="MIE1" s="305"/>
      <c r="MIF1" s="305"/>
      <c r="MIG1" s="305"/>
      <c r="MIH1" s="305"/>
      <c r="MII1" s="305"/>
      <c r="MIJ1" s="305"/>
      <c r="MIK1" s="305"/>
      <c r="MIL1" s="305"/>
      <c r="MIM1" s="305"/>
      <c r="MIN1" s="305"/>
      <c r="MIO1" s="305"/>
      <c r="MIP1" s="305"/>
      <c r="MIQ1" s="305"/>
      <c r="MIR1" s="305"/>
      <c r="MIS1" s="305"/>
      <c r="MIT1" s="305"/>
      <c r="MIU1" s="305"/>
      <c r="MIV1" s="305"/>
      <c r="MIW1" s="305"/>
      <c r="MIX1" s="305"/>
      <c r="MIY1" s="305"/>
      <c r="MIZ1" s="305"/>
      <c r="MJA1" s="305"/>
      <c r="MJB1" s="305"/>
      <c r="MJC1" s="305"/>
      <c r="MJD1" s="305"/>
      <c r="MJE1" s="305"/>
      <c r="MJF1" s="305"/>
      <c r="MJG1" s="305"/>
      <c r="MJH1" s="305"/>
      <c r="MJI1" s="305"/>
      <c r="MJJ1" s="305"/>
      <c r="MJK1" s="305"/>
      <c r="MJL1" s="305"/>
      <c r="MJM1" s="305"/>
      <c r="MJN1" s="305"/>
      <c r="MJO1" s="305"/>
      <c r="MJP1" s="305"/>
      <c r="MJQ1" s="305"/>
      <c r="MJR1" s="305"/>
      <c r="MJS1" s="305"/>
      <c r="MJT1" s="305"/>
      <c r="MJU1" s="305"/>
      <c r="MJV1" s="305"/>
      <c r="MJW1" s="305"/>
      <c r="MJX1" s="305"/>
      <c r="MJY1" s="305"/>
      <c r="MJZ1" s="305"/>
      <c r="MKA1" s="305"/>
      <c r="MKB1" s="305"/>
      <c r="MKC1" s="305"/>
      <c r="MKD1" s="305"/>
      <c r="MKE1" s="305"/>
      <c r="MKF1" s="305"/>
      <c r="MKG1" s="305"/>
      <c r="MKH1" s="305"/>
      <c r="MKI1" s="305"/>
      <c r="MKJ1" s="305"/>
      <c r="MKK1" s="305"/>
      <c r="MKL1" s="305"/>
      <c r="MKM1" s="305"/>
      <c r="MKN1" s="305"/>
      <c r="MKO1" s="305"/>
      <c r="MKP1" s="305"/>
      <c r="MKQ1" s="305"/>
      <c r="MKR1" s="305"/>
      <c r="MKS1" s="305"/>
      <c r="MKT1" s="305"/>
      <c r="MKU1" s="305"/>
      <c r="MKV1" s="305"/>
      <c r="MKW1" s="305"/>
      <c r="MKX1" s="305"/>
      <c r="MKY1" s="305"/>
      <c r="MKZ1" s="305"/>
      <c r="MLA1" s="305"/>
      <c r="MLB1" s="305"/>
      <c r="MLC1" s="305"/>
      <c r="MLD1" s="305"/>
      <c r="MLE1" s="305"/>
      <c r="MLF1" s="305"/>
      <c r="MLG1" s="305"/>
      <c r="MLH1" s="305"/>
      <c r="MLI1" s="305"/>
      <c r="MLJ1" s="305"/>
      <c r="MLK1" s="305"/>
      <c r="MLL1" s="305"/>
      <c r="MLM1" s="305"/>
      <c r="MLN1" s="305"/>
      <c r="MLO1" s="305"/>
      <c r="MLP1" s="305"/>
      <c r="MLQ1" s="305"/>
      <c r="MLR1" s="305"/>
      <c r="MLS1" s="305"/>
      <c r="MLT1" s="305"/>
      <c r="MLU1" s="305"/>
      <c r="MLV1" s="305"/>
      <c r="MLW1" s="305"/>
      <c r="MLX1" s="305"/>
      <c r="MLY1" s="305"/>
      <c r="MLZ1" s="305"/>
      <c r="MMA1" s="305"/>
      <c r="MMB1" s="305"/>
      <c r="MMC1" s="305"/>
      <c r="MMD1" s="305"/>
      <c r="MME1" s="305"/>
      <c r="MMF1" s="305"/>
      <c r="MMG1" s="305"/>
      <c r="MMH1" s="305"/>
      <c r="MMI1" s="305"/>
      <c r="MMJ1" s="305"/>
      <c r="MMK1" s="305"/>
      <c r="MML1" s="305"/>
      <c r="MMM1" s="305"/>
      <c r="MMN1" s="305"/>
      <c r="MMO1" s="305"/>
      <c r="MMP1" s="305"/>
      <c r="MMQ1" s="305"/>
      <c r="MMR1" s="305"/>
      <c r="MMS1" s="305"/>
      <c r="MMT1" s="305"/>
      <c r="MMU1" s="305"/>
      <c r="MMV1" s="305"/>
      <c r="MMW1" s="305"/>
      <c r="MMX1" s="305"/>
      <c r="MMY1" s="305"/>
      <c r="MMZ1" s="305"/>
      <c r="MNA1" s="305"/>
      <c r="MNB1" s="305"/>
      <c r="MNC1" s="305"/>
      <c r="MND1" s="305"/>
      <c r="MNE1" s="305"/>
      <c r="MNF1" s="305"/>
      <c r="MNG1" s="305"/>
      <c r="MNH1" s="305"/>
      <c r="MNI1" s="305"/>
      <c r="MNJ1" s="305"/>
      <c r="MNK1" s="305"/>
      <c r="MNL1" s="305"/>
      <c r="MNM1" s="305"/>
      <c r="MNN1" s="305"/>
      <c r="MNO1" s="305"/>
      <c r="MNP1" s="305"/>
      <c r="MNQ1" s="305"/>
      <c r="MNR1" s="305"/>
      <c r="MNS1" s="305"/>
      <c r="MNT1" s="305"/>
      <c r="MNU1" s="305"/>
      <c r="MNV1" s="305"/>
      <c r="MNW1" s="305"/>
      <c r="MNX1" s="305"/>
      <c r="MNY1" s="305"/>
      <c r="MNZ1" s="305"/>
      <c r="MOA1" s="305"/>
      <c r="MOB1" s="305"/>
      <c r="MOC1" s="305"/>
      <c r="MOD1" s="305"/>
      <c r="MOE1" s="305"/>
      <c r="MOF1" s="305"/>
      <c r="MOG1" s="305"/>
      <c r="MOH1" s="305"/>
      <c r="MOI1" s="305"/>
      <c r="MOJ1" s="305"/>
      <c r="MOK1" s="305"/>
      <c r="MOL1" s="305"/>
      <c r="MOM1" s="305"/>
      <c r="MON1" s="305"/>
      <c r="MOO1" s="305"/>
      <c r="MOP1" s="305"/>
      <c r="MOQ1" s="305"/>
      <c r="MOR1" s="305"/>
      <c r="MOS1" s="305"/>
      <c r="MOT1" s="305"/>
      <c r="MOU1" s="305"/>
      <c r="MOV1" s="305"/>
      <c r="MOW1" s="305"/>
      <c r="MOX1" s="305"/>
      <c r="MOY1" s="305"/>
      <c r="MOZ1" s="305"/>
      <c r="MPA1" s="305"/>
      <c r="MPB1" s="305"/>
      <c r="MPC1" s="305"/>
      <c r="MPD1" s="305"/>
      <c r="MPE1" s="305"/>
      <c r="MPF1" s="305"/>
      <c r="MPG1" s="305"/>
      <c r="MPH1" s="305"/>
      <c r="MPI1" s="305"/>
      <c r="MPJ1" s="305"/>
      <c r="MPK1" s="305"/>
      <c r="MPL1" s="305"/>
      <c r="MPM1" s="305"/>
      <c r="MPN1" s="305"/>
      <c r="MPO1" s="305"/>
      <c r="MPP1" s="305"/>
      <c r="MPQ1" s="305"/>
      <c r="MPR1" s="305"/>
      <c r="MPS1" s="305"/>
      <c r="MPT1" s="305"/>
      <c r="MPU1" s="305"/>
      <c r="MPV1" s="305"/>
      <c r="MPW1" s="305"/>
      <c r="MPX1" s="305"/>
      <c r="MPY1" s="305"/>
      <c r="MPZ1" s="305"/>
      <c r="MQA1" s="305"/>
      <c r="MQB1" s="305"/>
      <c r="MQC1" s="305"/>
      <c r="MQD1" s="305"/>
      <c r="MQE1" s="305"/>
      <c r="MQF1" s="305"/>
      <c r="MQG1" s="305"/>
      <c r="MQH1" s="305"/>
      <c r="MQI1" s="305"/>
      <c r="MQJ1" s="305"/>
      <c r="MQK1" s="305"/>
      <c r="MQL1" s="305"/>
      <c r="MQM1" s="305"/>
      <c r="MQN1" s="305"/>
      <c r="MQO1" s="305"/>
      <c r="MQP1" s="305"/>
      <c r="MQQ1" s="305"/>
      <c r="MQR1" s="305"/>
      <c r="MQS1" s="305"/>
      <c r="MQT1" s="305"/>
      <c r="MQU1" s="305"/>
      <c r="MQV1" s="305"/>
      <c r="MQW1" s="305"/>
      <c r="MQX1" s="305"/>
      <c r="MQY1" s="305"/>
      <c r="MQZ1" s="305"/>
      <c r="MRA1" s="305"/>
      <c r="MRB1" s="305"/>
      <c r="MRC1" s="305"/>
      <c r="MRD1" s="305"/>
      <c r="MRE1" s="305"/>
      <c r="MRF1" s="305"/>
      <c r="MRG1" s="305"/>
      <c r="MRH1" s="305"/>
      <c r="MRI1" s="305"/>
      <c r="MRJ1" s="305"/>
      <c r="MRK1" s="305"/>
      <c r="MRL1" s="305"/>
      <c r="MRM1" s="305"/>
      <c r="MRN1" s="305"/>
      <c r="MRO1" s="305"/>
      <c r="MRP1" s="305"/>
      <c r="MRQ1" s="305"/>
      <c r="MRR1" s="305"/>
      <c r="MRS1" s="305"/>
      <c r="MRT1" s="305"/>
      <c r="MRU1" s="305"/>
      <c r="MRV1" s="305"/>
      <c r="MRW1" s="305"/>
      <c r="MRX1" s="305"/>
      <c r="MRY1" s="305"/>
      <c r="MRZ1" s="305"/>
      <c r="MSA1" s="305"/>
      <c r="MSB1" s="305"/>
      <c r="MSC1" s="305"/>
      <c r="MSD1" s="305"/>
      <c r="MSE1" s="305"/>
      <c r="MSF1" s="305"/>
      <c r="MSG1" s="305"/>
      <c r="MSH1" s="305"/>
      <c r="MSI1" s="305"/>
      <c r="MSJ1" s="305"/>
      <c r="MSK1" s="305"/>
      <c r="MSL1" s="305"/>
      <c r="MSM1" s="305"/>
      <c r="MSN1" s="305"/>
      <c r="MSO1" s="305"/>
      <c r="MSP1" s="305"/>
      <c r="MSQ1" s="305"/>
      <c r="MSR1" s="305"/>
      <c r="MSS1" s="305"/>
      <c r="MST1" s="305"/>
      <c r="MSU1" s="305"/>
      <c r="MSV1" s="305"/>
      <c r="MSW1" s="305"/>
      <c r="MSX1" s="305"/>
      <c r="MSY1" s="305"/>
      <c r="MSZ1" s="305"/>
      <c r="MTA1" s="305"/>
      <c r="MTB1" s="305"/>
      <c r="MTC1" s="305"/>
      <c r="MTD1" s="305"/>
      <c r="MTE1" s="305"/>
      <c r="MTF1" s="305"/>
      <c r="MTG1" s="305"/>
      <c r="MTH1" s="305"/>
      <c r="MTI1" s="305"/>
      <c r="MTJ1" s="305"/>
      <c r="MTK1" s="305"/>
      <c r="MTL1" s="305"/>
      <c r="MTM1" s="305"/>
      <c r="MTN1" s="305"/>
      <c r="MTO1" s="305"/>
      <c r="MTP1" s="305"/>
      <c r="MTQ1" s="305"/>
      <c r="MTR1" s="305"/>
      <c r="MTS1" s="305"/>
      <c r="MTT1" s="305"/>
      <c r="MTU1" s="305"/>
      <c r="MTV1" s="305"/>
      <c r="MTW1" s="305"/>
      <c r="MTX1" s="305"/>
      <c r="MTY1" s="305"/>
      <c r="MTZ1" s="305"/>
      <c r="MUA1" s="305"/>
      <c r="MUB1" s="305"/>
      <c r="MUC1" s="305"/>
      <c r="MUD1" s="305"/>
      <c r="MUE1" s="305"/>
      <c r="MUF1" s="305"/>
      <c r="MUG1" s="305"/>
      <c r="MUH1" s="305"/>
      <c r="MUI1" s="305"/>
      <c r="MUJ1" s="305"/>
      <c r="MUK1" s="305"/>
      <c r="MUL1" s="305"/>
      <c r="MUM1" s="305"/>
      <c r="MUN1" s="305"/>
      <c r="MUO1" s="305"/>
      <c r="MUP1" s="305"/>
      <c r="MUQ1" s="305"/>
      <c r="MUR1" s="305"/>
      <c r="MUS1" s="305"/>
      <c r="MUT1" s="305"/>
      <c r="MUU1" s="305"/>
      <c r="MUV1" s="305"/>
      <c r="MUW1" s="305"/>
      <c r="MUX1" s="305"/>
      <c r="MUY1" s="305"/>
      <c r="MUZ1" s="305"/>
      <c r="MVA1" s="305"/>
      <c r="MVB1" s="305"/>
      <c r="MVC1" s="305"/>
      <c r="MVD1" s="305"/>
      <c r="MVE1" s="305"/>
      <c r="MVF1" s="305"/>
      <c r="MVG1" s="305"/>
      <c r="MVH1" s="305"/>
      <c r="MVI1" s="305"/>
      <c r="MVJ1" s="305"/>
      <c r="MVK1" s="305"/>
      <c r="MVL1" s="305"/>
      <c r="MVM1" s="305"/>
      <c r="MVN1" s="305"/>
      <c r="MVO1" s="305"/>
      <c r="MVP1" s="305"/>
      <c r="MVQ1" s="305"/>
      <c r="MVR1" s="305"/>
      <c r="MVS1" s="305"/>
      <c r="MVT1" s="305"/>
      <c r="MVU1" s="305"/>
      <c r="MVV1" s="305"/>
      <c r="MVW1" s="305"/>
      <c r="MVX1" s="305"/>
      <c r="MVY1" s="305"/>
      <c r="MVZ1" s="305"/>
      <c r="MWA1" s="305"/>
      <c r="MWB1" s="305"/>
      <c r="MWC1" s="305"/>
      <c r="MWD1" s="305"/>
      <c r="MWE1" s="305"/>
      <c r="MWF1" s="305"/>
      <c r="MWG1" s="305"/>
      <c r="MWH1" s="305"/>
      <c r="MWI1" s="305"/>
      <c r="MWJ1" s="305"/>
      <c r="MWK1" s="305"/>
      <c r="MWL1" s="305"/>
      <c r="MWM1" s="305"/>
      <c r="MWN1" s="305"/>
      <c r="MWO1" s="305"/>
      <c r="MWP1" s="305"/>
      <c r="MWQ1" s="305"/>
      <c r="MWR1" s="305"/>
      <c r="MWS1" s="305"/>
      <c r="MWT1" s="305"/>
      <c r="MWU1" s="305"/>
      <c r="MWV1" s="305"/>
      <c r="MWW1" s="305"/>
      <c r="MWX1" s="305"/>
      <c r="MWY1" s="305"/>
      <c r="MWZ1" s="305"/>
      <c r="MXA1" s="305"/>
      <c r="MXB1" s="305"/>
      <c r="MXC1" s="305"/>
      <c r="MXD1" s="305"/>
      <c r="MXE1" s="305"/>
      <c r="MXF1" s="305"/>
      <c r="MXG1" s="305"/>
      <c r="MXH1" s="305"/>
      <c r="MXI1" s="305"/>
      <c r="MXJ1" s="305"/>
      <c r="MXK1" s="305"/>
      <c r="MXL1" s="305"/>
      <c r="MXM1" s="305"/>
      <c r="MXN1" s="305"/>
      <c r="MXO1" s="305"/>
      <c r="MXP1" s="305"/>
      <c r="MXQ1" s="305"/>
      <c r="MXR1" s="305"/>
      <c r="MXS1" s="305"/>
      <c r="MXT1" s="305"/>
      <c r="MXU1" s="305"/>
      <c r="MXV1" s="305"/>
      <c r="MXW1" s="305"/>
      <c r="MXX1" s="305"/>
      <c r="MXY1" s="305"/>
      <c r="MXZ1" s="305"/>
      <c r="MYA1" s="305"/>
      <c r="MYB1" s="305"/>
      <c r="MYC1" s="305"/>
      <c r="MYD1" s="305"/>
      <c r="MYE1" s="305"/>
      <c r="MYF1" s="305"/>
      <c r="MYG1" s="305"/>
      <c r="MYH1" s="305"/>
      <c r="MYI1" s="305"/>
      <c r="MYJ1" s="305"/>
      <c r="MYK1" s="305"/>
      <c r="MYL1" s="305"/>
      <c r="MYM1" s="305"/>
      <c r="MYN1" s="305"/>
      <c r="MYO1" s="305"/>
      <c r="MYP1" s="305"/>
      <c r="MYQ1" s="305"/>
      <c r="MYR1" s="305"/>
      <c r="MYS1" s="305"/>
      <c r="MYT1" s="305"/>
      <c r="MYU1" s="305"/>
      <c r="MYV1" s="305"/>
      <c r="MYW1" s="305"/>
      <c r="MYX1" s="305"/>
      <c r="MYY1" s="305"/>
      <c r="MYZ1" s="305"/>
      <c r="MZA1" s="305"/>
      <c r="MZB1" s="305"/>
      <c r="MZC1" s="305"/>
      <c r="MZD1" s="305"/>
      <c r="MZE1" s="305"/>
      <c r="MZF1" s="305"/>
      <c r="MZG1" s="305"/>
      <c r="MZH1" s="305"/>
      <c r="MZI1" s="305"/>
      <c r="MZJ1" s="305"/>
      <c r="MZK1" s="305"/>
      <c r="MZL1" s="305"/>
      <c r="MZM1" s="305"/>
      <c r="MZN1" s="305"/>
      <c r="MZO1" s="305"/>
      <c r="MZP1" s="305"/>
      <c r="MZQ1" s="305"/>
      <c r="MZR1" s="305"/>
      <c r="MZS1" s="305"/>
      <c r="MZT1" s="305"/>
      <c r="MZU1" s="305"/>
      <c r="MZV1" s="305"/>
      <c r="MZW1" s="305"/>
      <c r="MZX1" s="305"/>
      <c r="MZY1" s="305"/>
      <c r="MZZ1" s="305"/>
      <c r="NAA1" s="305"/>
      <c r="NAB1" s="305"/>
      <c r="NAC1" s="305"/>
      <c r="NAD1" s="305"/>
      <c r="NAE1" s="305"/>
      <c r="NAF1" s="305"/>
      <c r="NAG1" s="305"/>
      <c r="NAH1" s="305"/>
      <c r="NAI1" s="305"/>
      <c r="NAJ1" s="305"/>
      <c r="NAK1" s="305"/>
      <c r="NAL1" s="305"/>
      <c r="NAM1" s="305"/>
      <c r="NAN1" s="305"/>
      <c r="NAO1" s="305"/>
      <c r="NAP1" s="305"/>
      <c r="NAQ1" s="305"/>
      <c r="NAR1" s="305"/>
      <c r="NAS1" s="305"/>
      <c r="NAT1" s="305"/>
      <c r="NAU1" s="305"/>
      <c r="NAV1" s="305"/>
      <c r="NAW1" s="305"/>
      <c r="NAX1" s="305"/>
      <c r="NAY1" s="305"/>
      <c r="NAZ1" s="305"/>
      <c r="NBA1" s="305"/>
      <c r="NBB1" s="305"/>
      <c r="NBC1" s="305"/>
      <c r="NBD1" s="305"/>
      <c r="NBE1" s="305"/>
      <c r="NBF1" s="305"/>
      <c r="NBG1" s="305"/>
      <c r="NBH1" s="305"/>
      <c r="NBI1" s="305"/>
      <c r="NBJ1" s="305"/>
      <c r="NBK1" s="305"/>
      <c r="NBL1" s="305"/>
      <c r="NBM1" s="305"/>
      <c r="NBN1" s="305"/>
      <c r="NBO1" s="305"/>
      <c r="NBP1" s="305"/>
      <c r="NBQ1" s="305"/>
      <c r="NBR1" s="305"/>
      <c r="NBS1" s="305"/>
      <c r="NBT1" s="305"/>
      <c r="NBU1" s="305"/>
      <c r="NBV1" s="305"/>
      <c r="NBW1" s="305"/>
      <c r="NBX1" s="305"/>
      <c r="NBY1" s="305"/>
      <c r="NBZ1" s="305"/>
      <c r="NCA1" s="305"/>
      <c r="NCB1" s="305"/>
      <c r="NCC1" s="305"/>
      <c r="NCD1" s="305"/>
      <c r="NCE1" s="305"/>
      <c r="NCF1" s="305"/>
      <c r="NCG1" s="305"/>
      <c r="NCH1" s="305"/>
      <c r="NCI1" s="305"/>
      <c r="NCJ1" s="305"/>
      <c r="NCK1" s="305"/>
      <c r="NCL1" s="305"/>
      <c r="NCM1" s="305"/>
      <c r="NCN1" s="305"/>
      <c r="NCO1" s="305"/>
      <c r="NCP1" s="305"/>
      <c r="NCQ1" s="305"/>
      <c r="NCR1" s="305"/>
      <c r="NCS1" s="305"/>
      <c r="NCT1" s="305"/>
      <c r="NCU1" s="305"/>
      <c r="NCV1" s="305"/>
      <c r="NCW1" s="305"/>
      <c r="NCX1" s="305"/>
      <c r="NCY1" s="305"/>
      <c r="NCZ1" s="305"/>
      <c r="NDA1" s="305"/>
      <c r="NDB1" s="305"/>
      <c r="NDC1" s="305"/>
      <c r="NDD1" s="305"/>
      <c r="NDE1" s="305"/>
      <c r="NDF1" s="305"/>
      <c r="NDG1" s="305"/>
      <c r="NDH1" s="305"/>
      <c r="NDI1" s="305"/>
      <c r="NDJ1" s="305"/>
      <c r="NDK1" s="305"/>
      <c r="NDL1" s="305"/>
      <c r="NDM1" s="305"/>
      <c r="NDN1" s="305"/>
      <c r="NDO1" s="305"/>
      <c r="NDP1" s="305"/>
      <c r="NDQ1" s="305"/>
      <c r="NDR1" s="305"/>
      <c r="NDS1" s="305"/>
      <c r="NDT1" s="305"/>
      <c r="NDU1" s="305"/>
      <c r="NDV1" s="305"/>
      <c r="NDW1" s="305"/>
      <c r="NDX1" s="305"/>
      <c r="NDY1" s="305"/>
      <c r="NDZ1" s="305"/>
      <c r="NEA1" s="305"/>
      <c r="NEB1" s="305"/>
      <c r="NEC1" s="305"/>
      <c r="NED1" s="305"/>
      <c r="NEE1" s="305"/>
      <c r="NEF1" s="305"/>
      <c r="NEG1" s="305"/>
      <c r="NEH1" s="305"/>
      <c r="NEI1" s="305"/>
      <c r="NEJ1" s="305"/>
      <c r="NEK1" s="305"/>
      <c r="NEL1" s="305"/>
      <c r="NEM1" s="305"/>
      <c r="NEN1" s="305"/>
      <c r="NEO1" s="305"/>
      <c r="NEP1" s="305"/>
      <c r="NEQ1" s="305"/>
      <c r="NER1" s="305"/>
      <c r="NES1" s="305"/>
      <c r="NET1" s="305"/>
      <c r="NEU1" s="305"/>
      <c r="NEV1" s="305"/>
      <c r="NEW1" s="305"/>
      <c r="NEX1" s="305"/>
      <c r="NEY1" s="305"/>
      <c r="NEZ1" s="305"/>
      <c r="NFA1" s="305"/>
      <c r="NFB1" s="305"/>
      <c r="NFC1" s="305"/>
      <c r="NFD1" s="305"/>
      <c r="NFE1" s="305"/>
      <c r="NFF1" s="305"/>
      <c r="NFG1" s="305"/>
      <c r="NFH1" s="305"/>
      <c r="NFI1" s="305"/>
      <c r="NFJ1" s="305"/>
      <c r="NFK1" s="305"/>
      <c r="NFL1" s="305"/>
      <c r="NFM1" s="305"/>
      <c r="NFN1" s="305"/>
      <c r="NFO1" s="305"/>
      <c r="NFP1" s="305"/>
      <c r="NFQ1" s="305"/>
      <c r="NFR1" s="305"/>
      <c r="NFS1" s="305"/>
      <c r="NFT1" s="305"/>
      <c r="NFU1" s="305"/>
      <c r="NFV1" s="305"/>
      <c r="NFW1" s="305"/>
      <c r="NFX1" s="305"/>
      <c r="NFY1" s="305"/>
      <c r="NFZ1" s="305"/>
      <c r="NGA1" s="305"/>
      <c r="NGB1" s="305"/>
      <c r="NGC1" s="305"/>
      <c r="NGD1" s="305"/>
      <c r="NGE1" s="305"/>
      <c r="NGF1" s="305"/>
      <c r="NGG1" s="305"/>
      <c r="NGH1" s="305"/>
      <c r="NGI1" s="305"/>
      <c r="NGJ1" s="305"/>
      <c r="NGK1" s="305"/>
      <c r="NGL1" s="305"/>
      <c r="NGM1" s="305"/>
      <c r="NGN1" s="305"/>
      <c r="NGO1" s="305"/>
      <c r="NGP1" s="305"/>
      <c r="NGQ1" s="305"/>
      <c r="NGR1" s="305"/>
      <c r="NGS1" s="305"/>
      <c r="NGT1" s="305"/>
      <c r="NGU1" s="305"/>
      <c r="NGV1" s="305"/>
      <c r="NGW1" s="305"/>
      <c r="NGX1" s="305"/>
      <c r="NGY1" s="305"/>
      <c r="NGZ1" s="305"/>
      <c r="NHA1" s="305"/>
      <c r="NHB1" s="305"/>
      <c r="NHC1" s="305"/>
      <c r="NHD1" s="305"/>
      <c r="NHE1" s="305"/>
      <c r="NHF1" s="305"/>
      <c r="NHG1" s="305"/>
      <c r="NHH1" s="305"/>
      <c r="NHI1" s="305"/>
      <c r="NHJ1" s="305"/>
      <c r="NHK1" s="305"/>
      <c r="NHL1" s="305"/>
      <c r="NHM1" s="305"/>
      <c r="NHN1" s="305"/>
      <c r="NHO1" s="305"/>
      <c r="NHP1" s="305"/>
      <c r="NHQ1" s="305"/>
      <c r="NHR1" s="305"/>
      <c r="NHS1" s="305"/>
      <c r="NHT1" s="305"/>
      <c r="NHU1" s="305"/>
      <c r="NHV1" s="305"/>
      <c r="NHW1" s="305"/>
      <c r="NHX1" s="305"/>
      <c r="NHY1" s="305"/>
      <c r="NHZ1" s="305"/>
      <c r="NIA1" s="305"/>
      <c r="NIB1" s="305"/>
      <c r="NIC1" s="305"/>
      <c r="NID1" s="305"/>
      <c r="NIE1" s="305"/>
      <c r="NIF1" s="305"/>
      <c r="NIG1" s="305"/>
      <c r="NIH1" s="305"/>
      <c r="NII1" s="305"/>
      <c r="NIJ1" s="305"/>
      <c r="NIK1" s="305"/>
      <c r="NIL1" s="305"/>
      <c r="NIM1" s="305"/>
      <c r="NIN1" s="305"/>
      <c r="NIO1" s="305"/>
      <c r="NIP1" s="305"/>
      <c r="NIQ1" s="305"/>
      <c r="NIR1" s="305"/>
      <c r="NIS1" s="305"/>
      <c r="NIT1" s="305"/>
      <c r="NIU1" s="305"/>
      <c r="NIV1" s="305"/>
      <c r="NIW1" s="305"/>
      <c r="NIX1" s="305"/>
      <c r="NIY1" s="305"/>
      <c r="NIZ1" s="305"/>
      <c r="NJA1" s="305"/>
      <c r="NJB1" s="305"/>
      <c r="NJC1" s="305"/>
      <c r="NJD1" s="305"/>
      <c r="NJE1" s="305"/>
      <c r="NJF1" s="305"/>
      <c r="NJG1" s="305"/>
      <c r="NJH1" s="305"/>
      <c r="NJI1" s="305"/>
      <c r="NJJ1" s="305"/>
      <c r="NJK1" s="305"/>
      <c r="NJL1" s="305"/>
      <c r="NJM1" s="305"/>
      <c r="NJN1" s="305"/>
      <c r="NJO1" s="305"/>
      <c r="NJP1" s="305"/>
      <c r="NJQ1" s="305"/>
      <c r="NJR1" s="305"/>
      <c r="NJS1" s="305"/>
      <c r="NJT1" s="305"/>
      <c r="NJU1" s="305"/>
      <c r="NJV1" s="305"/>
      <c r="NJW1" s="305"/>
      <c r="NJX1" s="305"/>
      <c r="NJY1" s="305"/>
      <c r="NJZ1" s="305"/>
      <c r="NKA1" s="305"/>
      <c r="NKB1" s="305"/>
      <c r="NKC1" s="305"/>
      <c r="NKD1" s="305"/>
      <c r="NKE1" s="305"/>
      <c r="NKF1" s="305"/>
      <c r="NKG1" s="305"/>
      <c r="NKH1" s="305"/>
      <c r="NKI1" s="305"/>
      <c r="NKJ1" s="305"/>
      <c r="NKK1" s="305"/>
      <c r="NKL1" s="305"/>
      <c r="NKM1" s="305"/>
      <c r="NKN1" s="305"/>
      <c r="NKO1" s="305"/>
      <c r="NKP1" s="305"/>
      <c r="NKQ1" s="305"/>
      <c r="NKR1" s="305"/>
      <c r="NKS1" s="305"/>
      <c r="NKT1" s="305"/>
      <c r="NKU1" s="305"/>
      <c r="NKV1" s="305"/>
      <c r="NKW1" s="305"/>
      <c r="NKX1" s="305"/>
      <c r="NKY1" s="305"/>
      <c r="NKZ1" s="305"/>
      <c r="NLA1" s="305"/>
      <c r="NLB1" s="305"/>
      <c r="NLC1" s="305"/>
      <c r="NLD1" s="305"/>
      <c r="NLE1" s="305"/>
      <c r="NLF1" s="305"/>
      <c r="NLG1" s="305"/>
      <c r="NLH1" s="305"/>
      <c r="NLI1" s="305"/>
      <c r="NLJ1" s="305"/>
      <c r="NLK1" s="305"/>
      <c r="NLL1" s="305"/>
      <c r="NLM1" s="305"/>
      <c r="NLN1" s="305"/>
      <c r="NLO1" s="305"/>
      <c r="NLP1" s="305"/>
      <c r="NLQ1" s="305"/>
      <c r="NLR1" s="305"/>
      <c r="NLS1" s="305"/>
      <c r="NLT1" s="305"/>
      <c r="NLU1" s="305"/>
      <c r="NLV1" s="305"/>
      <c r="NLW1" s="305"/>
      <c r="NLX1" s="305"/>
      <c r="NLY1" s="305"/>
      <c r="NLZ1" s="305"/>
      <c r="NMA1" s="305"/>
      <c r="NMB1" s="305"/>
      <c r="NMC1" s="305"/>
      <c r="NMD1" s="305"/>
      <c r="NME1" s="305"/>
      <c r="NMF1" s="305"/>
      <c r="NMG1" s="305"/>
      <c r="NMH1" s="305"/>
      <c r="NMI1" s="305"/>
      <c r="NMJ1" s="305"/>
      <c r="NMK1" s="305"/>
      <c r="NML1" s="305"/>
      <c r="NMM1" s="305"/>
      <c r="NMN1" s="305"/>
      <c r="NMO1" s="305"/>
      <c r="NMP1" s="305"/>
      <c r="NMQ1" s="305"/>
      <c r="NMR1" s="305"/>
      <c r="NMS1" s="305"/>
      <c r="NMT1" s="305"/>
      <c r="NMU1" s="305"/>
      <c r="NMV1" s="305"/>
      <c r="NMW1" s="305"/>
      <c r="NMX1" s="305"/>
      <c r="NMY1" s="305"/>
      <c r="NMZ1" s="305"/>
      <c r="NNA1" s="305"/>
      <c r="NNB1" s="305"/>
      <c r="NNC1" s="305"/>
      <c r="NND1" s="305"/>
      <c r="NNE1" s="305"/>
      <c r="NNF1" s="305"/>
      <c r="NNG1" s="305"/>
      <c r="NNH1" s="305"/>
      <c r="NNI1" s="305"/>
      <c r="NNJ1" s="305"/>
      <c r="NNK1" s="305"/>
      <c r="NNL1" s="305"/>
      <c r="NNM1" s="305"/>
      <c r="NNN1" s="305"/>
      <c r="NNO1" s="305"/>
      <c r="NNP1" s="305"/>
      <c r="NNQ1" s="305"/>
      <c r="NNR1" s="305"/>
      <c r="NNS1" s="305"/>
      <c r="NNT1" s="305"/>
      <c r="NNU1" s="305"/>
      <c r="NNV1" s="305"/>
      <c r="NNW1" s="305"/>
      <c r="NNX1" s="305"/>
      <c r="NNY1" s="305"/>
      <c r="NNZ1" s="305"/>
      <c r="NOA1" s="305"/>
      <c r="NOB1" s="305"/>
      <c r="NOC1" s="305"/>
      <c r="NOD1" s="305"/>
      <c r="NOE1" s="305"/>
      <c r="NOF1" s="305"/>
      <c r="NOG1" s="305"/>
      <c r="NOH1" s="305"/>
      <c r="NOI1" s="305"/>
      <c r="NOJ1" s="305"/>
      <c r="NOK1" s="305"/>
      <c r="NOL1" s="305"/>
      <c r="NOM1" s="305"/>
      <c r="NON1" s="305"/>
      <c r="NOO1" s="305"/>
      <c r="NOP1" s="305"/>
      <c r="NOQ1" s="305"/>
      <c r="NOR1" s="305"/>
      <c r="NOS1" s="305"/>
      <c r="NOT1" s="305"/>
      <c r="NOU1" s="305"/>
      <c r="NOV1" s="305"/>
      <c r="NOW1" s="305"/>
      <c r="NOX1" s="305"/>
      <c r="NOY1" s="305"/>
      <c r="NOZ1" s="305"/>
      <c r="NPA1" s="305"/>
      <c r="NPB1" s="305"/>
      <c r="NPC1" s="305"/>
      <c r="NPD1" s="305"/>
      <c r="NPE1" s="305"/>
      <c r="NPF1" s="305"/>
      <c r="NPG1" s="305"/>
      <c r="NPH1" s="305"/>
      <c r="NPI1" s="305"/>
      <c r="NPJ1" s="305"/>
      <c r="NPK1" s="305"/>
      <c r="NPL1" s="305"/>
      <c r="NPM1" s="305"/>
      <c r="NPN1" s="305"/>
      <c r="NPO1" s="305"/>
      <c r="NPP1" s="305"/>
      <c r="NPQ1" s="305"/>
      <c r="NPR1" s="305"/>
      <c r="NPS1" s="305"/>
      <c r="NPT1" s="305"/>
      <c r="NPU1" s="305"/>
      <c r="NPV1" s="305"/>
      <c r="NPW1" s="305"/>
      <c r="NPX1" s="305"/>
      <c r="NPY1" s="305"/>
      <c r="NPZ1" s="305"/>
      <c r="NQA1" s="305"/>
      <c r="NQB1" s="305"/>
      <c r="NQC1" s="305"/>
      <c r="NQD1" s="305"/>
      <c r="NQE1" s="305"/>
      <c r="NQF1" s="305"/>
      <c r="NQG1" s="305"/>
      <c r="NQH1" s="305"/>
      <c r="NQI1" s="305"/>
      <c r="NQJ1" s="305"/>
      <c r="NQK1" s="305"/>
      <c r="NQL1" s="305"/>
      <c r="NQM1" s="305"/>
      <c r="NQN1" s="305"/>
      <c r="NQO1" s="305"/>
      <c r="NQP1" s="305"/>
      <c r="NQQ1" s="305"/>
      <c r="NQR1" s="305"/>
      <c r="NQS1" s="305"/>
      <c r="NQT1" s="305"/>
      <c r="NQU1" s="305"/>
      <c r="NQV1" s="305"/>
      <c r="NQW1" s="305"/>
      <c r="NQX1" s="305"/>
      <c r="NQY1" s="305"/>
      <c r="NQZ1" s="305"/>
      <c r="NRA1" s="305"/>
      <c r="NRB1" s="305"/>
      <c r="NRC1" s="305"/>
      <c r="NRD1" s="305"/>
      <c r="NRE1" s="305"/>
      <c r="NRF1" s="305"/>
      <c r="NRG1" s="305"/>
      <c r="NRH1" s="305"/>
      <c r="NRI1" s="305"/>
      <c r="NRJ1" s="305"/>
      <c r="NRK1" s="305"/>
      <c r="NRL1" s="305"/>
      <c r="NRM1" s="305"/>
      <c r="NRN1" s="305"/>
      <c r="NRO1" s="305"/>
      <c r="NRP1" s="305"/>
      <c r="NRQ1" s="305"/>
      <c r="NRR1" s="305"/>
      <c r="NRS1" s="305"/>
      <c r="NRT1" s="305"/>
      <c r="NRU1" s="305"/>
      <c r="NRV1" s="305"/>
      <c r="NRW1" s="305"/>
      <c r="NRX1" s="305"/>
      <c r="NRY1" s="305"/>
      <c r="NRZ1" s="305"/>
      <c r="NSA1" s="305"/>
      <c r="NSB1" s="305"/>
      <c r="NSC1" s="305"/>
      <c r="NSD1" s="305"/>
      <c r="NSE1" s="305"/>
      <c r="NSF1" s="305"/>
      <c r="NSG1" s="305"/>
      <c r="NSH1" s="305"/>
      <c r="NSI1" s="305"/>
      <c r="NSJ1" s="305"/>
      <c r="NSK1" s="305"/>
      <c r="NSL1" s="305"/>
      <c r="NSM1" s="305"/>
      <c r="NSN1" s="305"/>
      <c r="NSO1" s="305"/>
      <c r="NSP1" s="305"/>
      <c r="NSQ1" s="305"/>
      <c r="NSR1" s="305"/>
      <c r="NSS1" s="305"/>
      <c r="NST1" s="305"/>
      <c r="NSU1" s="305"/>
      <c r="NSV1" s="305"/>
      <c r="NSW1" s="305"/>
      <c r="NSX1" s="305"/>
      <c r="NSY1" s="305"/>
      <c r="NSZ1" s="305"/>
      <c r="NTA1" s="305"/>
      <c r="NTB1" s="305"/>
      <c r="NTC1" s="305"/>
      <c r="NTD1" s="305"/>
      <c r="NTE1" s="305"/>
      <c r="NTF1" s="305"/>
      <c r="NTG1" s="305"/>
      <c r="NTH1" s="305"/>
      <c r="NTI1" s="305"/>
      <c r="NTJ1" s="305"/>
      <c r="NTK1" s="305"/>
      <c r="NTL1" s="305"/>
      <c r="NTM1" s="305"/>
      <c r="NTN1" s="305"/>
      <c r="NTO1" s="305"/>
      <c r="NTP1" s="305"/>
      <c r="NTQ1" s="305"/>
      <c r="NTR1" s="305"/>
      <c r="NTS1" s="305"/>
      <c r="NTT1" s="305"/>
      <c r="NTU1" s="305"/>
      <c r="NTV1" s="305"/>
      <c r="NTW1" s="305"/>
      <c r="NTX1" s="305"/>
      <c r="NTY1" s="305"/>
      <c r="NTZ1" s="305"/>
      <c r="NUA1" s="305"/>
      <c r="NUB1" s="305"/>
      <c r="NUC1" s="305"/>
      <c r="NUD1" s="305"/>
      <c r="NUE1" s="305"/>
      <c r="NUF1" s="305"/>
      <c r="NUG1" s="305"/>
      <c r="NUH1" s="305"/>
      <c r="NUI1" s="305"/>
      <c r="NUJ1" s="305"/>
      <c r="NUK1" s="305"/>
      <c r="NUL1" s="305"/>
      <c r="NUM1" s="305"/>
      <c r="NUN1" s="305"/>
      <c r="NUO1" s="305"/>
      <c r="NUP1" s="305"/>
      <c r="NUQ1" s="305"/>
      <c r="NUR1" s="305"/>
      <c r="NUS1" s="305"/>
      <c r="NUT1" s="305"/>
      <c r="NUU1" s="305"/>
      <c r="NUV1" s="305"/>
      <c r="NUW1" s="305"/>
      <c r="NUX1" s="305"/>
      <c r="NUY1" s="305"/>
      <c r="NUZ1" s="305"/>
      <c r="NVA1" s="305"/>
      <c r="NVB1" s="305"/>
      <c r="NVC1" s="305"/>
      <c r="NVD1" s="305"/>
      <c r="NVE1" s="305"/>
      <c r="NVF1" s="305"/>
      <c r="NVG1" s="305"/>
      <c r="NVH1" s="305"/>
      <c r="NVI1" s="305"/>
      <c r="NVJ1" s="305"/>
      <c r="NVK1" s="305"/>
      <c r="NVL1" s="305"/>
      <c r="NVM1" s="305"/>
      <c r="NVN1" s="305"/>
      <c r="NVO1" s="305"/>
      <c r="NVP1" s="305"/>
      <c r="NVQ1" s="305"/>
      <c r="NVR1" s="305"/>
      <c r="NVS1" s="305"/>
      <c r="NVT1" s="305"/>
      <c r="NVU1" s="305"/>
      <c r="NVV1" s="305"/>
      <c r="NVW1" s="305"/>
      <c r="NVX1" s="305"/>
      <c r="NVY1" s="305"/>
      <c r="NVZ1" s="305"/>
      <c r="NWA1" s="305"/>
      <c r="NWB1" s="305"/>
      <c r="NWC1" s="305"/>
      <c r="NWD1" s="305"/>
      <c r="NWE1" s="305"/>
      <c r="NWF1" s="305"/>
      <c r="NWG1" s="305"/>
      <c r="NWH1" s="305"/>
      <c r="NWI1" s="305"/>
      <c r="NWJ1" s="305"/>
      <c r="NWK1" s="305"/>
      <c r="NWL1" s="305"/>
      <c r="NWM1" s="305"/>
      <c r="NWN1" s="305"/>
      <c r="NWO1" s="305"/>
      <c r="NWP1" s="305"/>
      <c r="NWQ1" s="305"/>
      <c r="NWR1" s="305"/>
      <c r="NWS1" s="305"/>
      <c r="NWT1" s="305"/>
      <c r="NWU1" s="305"/>
      <c r="NWV1" s="305"/>
      <c r="NWW1" s="305"/>
      <c r="NWX1" s="305"/>
      <c r="NWY1" s="305"/>
      <c r="NWZ1" s="305"/>
      <c r="NXA1" s="305"/>
      <c r="NXB1" s="305"/>
      <c r="NXC1" s="305"/>
      <c r="NXD1" s="305"/>
      <c r="NXE1" s="305"/>
      <c r="NXF1" s="305"/>
      <c r="NXG1" s="305"/>
      <c r="NXH1" s="305"/>
      <c r="NXI1" s="305"/>
      <c r="NXJ1" s="305"/>
      <c r="NXK1" s="305"/>
      <c r="NXL1" s="305"/>
      <c r="NXM1" s="305"/>
      <c r="NXN1" s="305"/>
      <c r="NXO1" s="305"/>
      <c r="NXP1" s="305"/>
      <c r="NXQ1" s="305"/>
      <c r="NXR1" s="305"/>
      <c r="NXS1" s="305"/>
      <c r="NXT1" s="305"/>
      <c r="NXU1" s="305"/>
      <c r="NXV1" s="305"/>
      <c r="NXW1" s="305"/>
      <c r="NXX1" s="305"/>
      <c r="NXY1" s="305"/>
      <c r="NXZ1" s="305"/>
      <c r="NYA1" s="305"/>
      <c r="NYB1" s="305"/>
      <c r="NYC1" s="305"/>
      <c r="NYD1" s="305"/>
      <c r="NYE1" s="305"/>
      <c r="NYF1" s="305"/>
      <c r="NYG1" s="305"/>
      <c r="NYH1" s="305"/>
      <c r="NYI1" s="305"/>
      <c r="NYJ1" s="305"/>
      <c r="NYK1" s="305"/>
      <c r="NYL1" s="305"/>
      <c r="NYM1" s="305"/>
      <c r="NYN1" s="305"/>
      <c r="NYO1" s="305"/>
      <c r="NYP1" s="305"/>
      <c r="NYQ1" s="305"/>
      <c r="NYR1" s="305"/>
      <c r="NYS1" s="305"/>
      <c r="NYT1" s="305"/>
      <c r="NYU1" s="305"/>
      <c r="NYV1" s="305"/>
      <c r="NYW1" s="305"/>
      <c r="NYX1" s="305"/>
      <c r="NYY1" s="305"/>
      <c r="NYZ1" s="305"/>
      <c r="NZA1" s="305"/>
      <c r="NZB1" s="305"/>
      <c r="NZC1" s="305"/>
      <c r="NZD1" s="305"/>
      <c r="NZE1" s="305"/>
      <c r="NZF1" s="305"/>
      <c r="NZG1" s="305"/>
      <c r="NZH1" s="305"/>
      <c r="NZI1" s="305"/>
      <c r="NZJ1" s="305"/>
      <c r="NZK1" s="305"/>
      <c r="NZL1" s="305"/>
      <c r="NZM1" s="305"/>
      <c r="NZN1" s="305"/>
      <c r="NZO1" s="305"/>
      <c r="NZP1" s="305"/>
      <c r="NZQ1" s="305"/>
      <c r="NZR1" s="305"/>
      <c r="NZS1" s="305"/>
      <c r="NZT1" s="305"/>
      <c r="NZU1" s="305"/>
      <c r="NZV1" s="305"/>
      <c r="NZW1" s="305"/>
      <c r="NZX1" s="305"/>
      <c r="NZY1" s="305"/>
      <c r="NZZ1" s="305"/>
      <c r="OAA1" s="305"/>
      <c r="OAB1" s="305"/>
      <c r="OAC1" s="305"/>
      <c r="OAD1" s="305"/>
      <c r="OAE1" s="305"/>
      <c r="OAF1" s="305"/>
      <c r="OAG1" s="305"/>
      <c r="OAH1" s="305"/>
      <c r="OAI1" s="305"/>
      <c r="OAJ1" s="305"/>
      <c r="OAK1" s="305"/>
      <c r="OAL1" s="305"/>
      <c r="OAM1" s="305"/>
      <c r="OAN1" s="305"/>
      <c r="OAO1" s="305"/>
      <c r="OAP1" s="305"/>
      <c r="OAQ1" s="305"/>
      <c r="OAR1" s="305"/>
      <c r="OAS1" s="305"/>
      <c r="OAT1" s="305"/>
      <c r="OAU1" s="305"/>
      <c r="OAV1" s="305"/>
      <c r="OAW1" s="305"/>
      <c r="OAX1" s="305"/>
      <c r="OAY1" s="305"/>
      <c r="OAZ1" s="305"/>
      <c r="OBA1" s="305"/>
      <c r="OBB1" s="305"/>
      <c r="OBC1" s="305"/>
      <c r="OBD1" s="305"/>
      <c r="OBE1" s="305"/>
      <c r="OBF1" s="305"/>
      <c r="OBG1" s="305"/>
      <c r="OBH1" s="305"/>
      <c r="OBI1" s="305"/>
      <c r="OBJ1" s="305"/>
      <c r="OBK1" s="305"/>
      <c r="OBL1" s="305"/>
      <c r="OBM1" s="305"/>
      <c r="OBN1" s="305"/>
      <c r="OBO1" s="305"/>
      <c r="OBP1" s="305"/>
      <c r="OBQ1" s="305"/>
      <c r="OBR1" s="305"/>
      <c r="OBS1" s="305"/>
      <c r="OBT1" s="305"/>
      <c r="OBU1" s="305"/>
      <c r="OBV1" s="305"/>
      <c r="OBW1" s="305"/>
      <c r="OBX1" s="305"/>
      <c r="OBY1" s="305"/>
      <c r="OBZ1" s="305"/>
      <c r="OCA1" s="305"/>
      <c r="OCB1" s="305"/>
      <c r="OCC1" s="305"/>
      <c r="OCD1" s="305"/>
      <c r="OCE1" s="305"/>
      <c r="OCF1" s="305"/>
      <c r="OCG1" s="305"/>
      <c r="OCH1" s="305"/>
      <c r="OCI1" s="305"/>
      <c r="OCJ1" s="305"/>
      <c r="OCK1" s="305"/>
      <c r="OCL1" s="305"/>
      <c r="OCM1" s="305"/>
      <c r="OCN1" s="305"/>
      <c r="OCO1" s="305"/>
      <c r="OCP1" s="305"/>
      <c r="OCQ1" s="305"/>
      <c r="OCR1" s="305"/>
      <c r="OCS1" s="305"/>
      <c r="OCT1" s="305"/>
      <c r="OCU1" s="305"/>
      <c r="OCV1" s="305"/>
      <c r="OCW1" s="305"/>
      <c r="OCX1" s="305"/>
      <c r="OCY1" s="305"/>
      <c r="OCZ1" s="305"/>
      <c r="ODA1" s="305"/>
      <c r="ODB1" s="305"/>
      <c r="ODC1" s="305"/>
      <c r="ODD1" s="305"/>
      <c r="ODE1" s="305"/>
      <c r="ODF1" s="305"/>
      <c r="ODG1" s="305"/>
      <c r="ODH1" s="305"/>
      <c r="ODI1" s="305"/>
      <c r="ODJ1" s="305"/>
      <c r="ODK1" s="305"/>
      <c r="ODL1" s="305"/>
      <c r="ODM1" s="305"/>
      <c r="ODN1" s="305"/>
      <c r="ODO1" s="305"/>
      <c r="ODP1" s="305"/>
      <c r="ODQ1" s="305"/>
      <c r="ODR1" s="305"/>
      <c r="ODS1" s="305"/>
      <c r="ODT1" s="305"/>
      <c r="ODU1" s="305"/>
      <c r="ODV1" s="305"/>
      <c r="ODW1" s="305"/>
      <c r="ODX1" s="305"/>
      <c r="ODY1" s="305"/>
      <c r="ODZ1" s="305"/>
      <c r="OEA1" s="305"/>
      <c r="OEB1" s="305"/>
      <c r="OEC1" s="305"/>
      <c r="OED1" s="305"/>
      <c r="OEE1" s="305"/>
      <c r="OEF1" s="305"/>
      <c r="OEG1" s="305"/>
      <c r="OEH1" s="305"/>
      <c r="OEI1" s="305"/>
      <c r="OEJ1" s="305"/>
      <c r="OEK1" s="305"/>
      <c r="OEL1" s="305"/>
      <c r="OEM1" s="305"/>
      <c r="OEN1" s="305"/>
      <c r="OEO1" s="305"/>
      <c r="OEP1" s="305"/>
      <c r="OEQ1" s="305"/>
      <c r="OER1" s="305"/>
      <c r="OES1" s="305"/>
      <c r="OET1" s="305"/>
      <c r="OEU1" s="305"/>
      <c r="OEV1" s="305"/>
      <c r="OEW1" s="305"/>
      <c r="OEX1" s="305"/>
      <c r="OEY1" s="305"/>
      <c r="OEZ1" s="305"/>
      <c r="OFA1" s="305"/>
      <c r="OFB1" s="305"/>
      <c r="OFC1" s="305"/>
      <c r="OFD1" s="305"/>
      <c r="OFE1" s="305"/>
      <c r="OFF1" s="305"/>
      <c r="OFG1" s="305"/>
      <c r="OFH1" s="305"/>
      <c r="OFI1" s="305"/>
      <c r="OFJ1" s="305"/>
      <c r="OFK1" s="305"/>
      <c r="OFL1" s="305"/>
      <c r="OFM1" s="305"/>
      <c r="OFN1" s="305"/>
      <c r="OFO1" s="305"/>
      <c r="OFP1" s="305"/>
      <c r="OFQ1" s="305"/>
      <c r="OFR1" s="305"/>
      <c r="OFS1" s="305"/>
      <c r="OFT1" s="305"/>
      <c r="OFU1" s="305"/>
      <c r="OFV1" s="305"/>
      <c r="OFW1" s="305"/>
      <c r="OFX1" s="305"/>
      <c r="OFY1" s="305"/>
      <c r="OFZ1" s="305"/>
      <c r="OGA1" s="305"/>
      <c r="OGB1" s="305"/>
      <c r="OGC1" s="305"/>
      <c r="OGD1" s="305"/>
      <c r="OGE1" s="305"/>
      <c r="OGF1" s="305"/>
      <c r="OGG1" s="305"/>
      <c r="OGH1" s="305"/>
      <c r="OGI1" s="305"/>
      <c r="OGJ1" s="305"/>
      <c r="OGK1" s="305"/>
      <c r="OGL1" s="305"/>
      <c r="OGM1" s="305"/>
      <c r="OGN1" s="305"/>
      <c r="OGO1" s="305"/>
      <c r="OGP1" s="305"/>
      <c r="OGQ1" s="305"/>
      <c r="OGR1" s="305"/>
      <c r="OGS1" s="305"/>
      <c r="OGT1" s="305"/>
      <c r="OGU1" s="305"/>
      <c r="OGV1" s="305"/>
      <c r="OGW1" s="305"/>
      <c r="OGX1" s="305"/>
      <c r="OGY1" s="305"/>
      <c r="OGZ1" s="305"/>
      <c r="OHA1" s="305"/>
      <c r="OHB1" s="305"/>
      <c r="OHC1" s="305"/>
      <c r="OHD1" s="305"/>
      <c r="OHE1" s="305"/>
      <c r="OHF1" s="305"/>
      <c r="OHG1" s="305"/>
      <c r="OHH1" s="305"/>
      <c r="OHI1" s="305"/>
      <c r="OHJ1" s="305"/>
      <c r="OHK1" s="305"/>
      <c r="OHL1" s="305"/>
      <c r="OHM1" s="305"/>
      <c r="OHN1" s="305"/>
      <c r="OHO1" s="305"/>
      <c r="OHP1" s="305"/>
      <c r="OHQ1" s="305"/>
      <c r="OHR1" s="305"/>
      <c r="OHS1" s="305"/>
      <c r="OHT1" s="305"/>
      <c r="OHU1" s="305"/>
      <c r="OHV1" s="305"/>
      <c r="OHW1" s="305"/>
      <c r="OHX1" s="305"/>
      <c r="OHY1" s="305"/>
      <c r="OHZ1" s="305"/>
      <c r="OIA1" s="305"/>
      <c r="OIB1" s="305"/>
      <c r="OIC1" s="305"/>
      <c r="OID1" s="305"/>
      <c r="OIE1" s="305"/>
      <c r="OIF1" s="305"/>
      <c r="OIG1" s="305"/>
      <c r="OIH1" s="305"/>
      <c r="OII1" s="305"/>
      <c r="OIJ1" s="305"/>
      <c r="OIK1" s="305"/>
      <c r="OIL1" s="305"/>
      <c r="OIM1" s="305"/>
      <c r="OIN1" s="305"/>
      <c r="OIO1" s="305"/>
      <c r="OIP1" s="305"/>
      <c r="OIQ1" s="305"/>
      <c r="OIR1" s="305"/>
      <c r="OIS1" s="305"/>
      <c r="OIT1" s="305"/>
      <c r="OIU1" s="305"/>
      <c r="OIV1" s="305"/>
      <c r="OIW1" s="305"/>
      <c r="OIX1" s="305"/>
      <c r="OIY1" s="305"/>
      <c r="OIZ1" s="305"/>
      <c r="OJA1" s="305"/>
      <c r="OJB1" s="305"/>
      <c r="OJC1" s="305"/>
      <c r="OJD1" s="305"/>
      <c r="OJE1" s="305"/>
      <c r="OJF1" s="305"/>
      <c r="OJG1" s="305"/>
      <c r="OJH1" s="305"/>
      <c r="OJI1" s="305"/>
      <c r="OJJ1" s="305"/>
      <c r="OJK1" s="305"/>
      <c r="OJL1" s="305"/>
      <c r="OJM1" s="305"/>
      <c r="OJN1" s="305"/>
      <c r="OJO1" s="305"/>
      <c r="OJP1" s="305"/>
      <c r="OJQ1" s="305"/>
      <c r="OJR1" s="305"/>
      <c r="OJS1" s="305"/>
      <c r="OJT1" s="305"/>
      <c r="OJU1" s="305"/>
      <c r="OJV1" s="305"/>
      <c r="OJW1" s="305"/>
      <c r="OJX1" s="305"/>
      <c r="OJY1" s="305"/>
      <c r="OJZ1" s="305"/>
      <c r="OKA1" s="305"/>
      <c r="OKB1" s="305"/>
      <c r="OKC1" s="305"/>
      <c r="OKD1" s="305"/>
      <c r="OKE1" s="305"/>
      <c r="OKF1" s="305"/>
      <c r="OKG1" s="305"/>
      <c r="OKH1" s="305"/>
      <c r="OKI1" s="305"/>
      <c r="OKJ1" s="305"/>
      <c r="OKK1" s="305"/>
      <c r="OKL1" s="305"/>
      <c r="OKM1" s="305"/>
      <c r="OKN1" s="305"/>
      <c r="OKO1" s="305"/>
      <c r="OKP1" s="305"/>
      <c r="OKQ1" s="305"/>
      <c r="OKR1" s="305"/>
      <c r="OKS1" s="305"/>
      <c r="OKT1" s="305"/>
      <c r="OKU1" s="305"/>
      <c r="OKV1" s="305"/>
      <c r="OKW1" s="305"/>
      <c r="OKX1" s="305"/>
      <c r="OKY1" s="305"/>
      <c r="OKZ1" s="305"/>
      <c r="OLA1" s="305"/>
      <c r="OLB1" s="305"/>
      <c r="OLC1" s="305"/>
      <c r="OLD1" s="305"/>
      <c r="OLE1" s="305"/>
      <c r="OLF1" s="305"/>
      <c r="OLG1" s="305"/>
      <c r="OLH1" s="305"/>
      <c r="OLI1" s="305"/>
      <c r="OLJ1" s="305"/>
      <c r="OLK1" s="305"/>
      <c r="OLL1" s="305"/>
      <c r="OLM1" s="305"/>
      <c r="OLN1" s="305"/>
      <c r="OLO1" s="305"/>
      <c r="OLP1" s="305"/>
      <c r="OLQ1" s="305"/>
      <c r="OLR1" s="305"/>
      <c r="OLS1" s="305"/>
      <c r="OLT1" s="305"/>
      <c r="OLU1" s="305"/>
      <c r="OLV1" s="305"/>
      <c r="OLW1" s="305"/>
      <c r="OLX1" s="305"/>
      <c r="OLY1" s="305"/>
      <c r="OLZ1" s="305"/>
      <c r="OMA1" s="305"/>
      <c r="OMB1" s="305"/>
      <c r="OMC1" s="305"/>
      <c r="OMD1" s="305"/>
      <c r="OME1" s="305"/>
      <c r="OMF1" s="305"/>
      <c r="OMG1" s="305"/>
      <c r="OMH1" s="305"/>
      <c r="OMI1" s="305"/>
      <c r="OMJ1" s="305"/>
      <c r="OMK1" s="305"/>
      <c r="OML1" s="305"/>
      <c r="OMM1" s="305"/>
      <c r="OMN1" s="305"/>
      <c r="OMO1" s="305"/>
      <c r="OMP1" s="305"/>
      <c r="OMQ1" s="305"/>
      <c r="OMR1" s="305"/>
      <c r="OMS1" s="305"/>
      <c r="OMT1" s="305"/>
      <c r="OMU1" s="305"/>
      <c r="OMV1" s="305"/>
      <c r="OMW1" s="305"/>
      <c r="OMX1" s="305"/>
      <c r="OMY1" s="305"/>
      <c r="OMZ1" s="305"/>
      <c r="ONA1" s="305"/>
      <c r="ONB1" s="305"/>
      <c r="ONC1" s="305"/>
      <c r="OND1" s="305"/>
      <c r="ONE1" s="305"/>
      <c r="ONF1" s="305"/>
      <c r="ONG1" s="305"/>
      <c r="ONH1" s="305"/>
      <c r="ONI1" s="305"/>
      <c r="ONJ1" s="305"/>
      <c r="ONK1" s="305"/>
      <c r="ONL1" s="305"/>
      <c r="ONM1" s="305"/>
      <c r="ONN1" s="305"/>
      <c r="ONO1" s="305"/>
      <c r="ONP1" s="305"/>
      <c r="ONQ1" s="305"/>
      <c r="ONR1" s="305"/>
      <c r="ONS1" s="305"/>
      <c r="ONT1" s="305"/>
      <c r="ONU1" s="305"/>
      <c r="ONV1" s="305"/>
      <c r="ONW1" s="305"/>
      <c r="ONX1" s="305"/>
      <c r="ONY1" s="305"/>
      <c r="ONZ1" s="305"/>
      <c r="OOA1" s="305"/>
      <c r="OOB1" s="305"/>
      <c r="OOC1" s="305"/>
      <c r="OOD1" s="305"/>
      <c r="OOE1" s="305"/>
      <c r="OOF1" s="305"/>
      <c r="OOG1" s="305"/>
      <c r="OOH1" s="305"/>
      <c r="OOI1" s="305"/>
      <c r="OOJ1" s="305"/>
      <c r="OOK1" s="305"/>
      <c r="OOL1" s="305"/>
      <c r="OOM1" s="305"/>
      <c r="OON1" s="305"/>
      <c r="OOO1" s="305"/>
      <c r="OOP1" s="305"/>
      <c r="OOQ1" s="305"/>
      <c r="OOR1" s="305"/>
      <c r="OOS1" s="305"/>
      <c r="OOT1" s="305"/>
      <c r="OOU1" s="305"/>
      <c r="OOV1" s="305"/>
      <c r="OOW1" s="305"/>
      <c r="OOX1" s="305"/>
      <c r="OOY1" s="305"/>
      <c r="OOZ1" s="305"/>
      <c r="OPA1" s="305"/>
      <c r="OPB1" s="305"/>
      <c r="OPC1" s="305"/>
      <c r="OPD1" s="305"/>
      <c r="OPE1" s="305"/>
      <c r="OPF1" s="305"/>
      <c r="OPG1" s="305"/>
      <c r="OPH1" s="305"/>
      <c r="OPI1" s="305"/>
      <c r="OPJ1" s="305"/>
      <c r="OPK1" s="305"/>
      <c r="OPL1" s="305"/>
      <c r="OPM1" s="305"/>
      <c r="OPN1" s="305"/>
      <c r="OPO1" s="305"/>
      <c r="OPP1" s="305"/>
      <c r="OPQ1" s="305"/>
      <c r="OPR1" s="305"/>
      <c r="OPS1" s="305"/>
      <c r="OPT1" s="305"/>
      <c r="OPU1" s="305"/>
      <c r="OPV1" s="305"/>
      <c r="OPW1" s="305"/>
      <c r="OPX1" s="305"/>
      <c r="OPY1" s="305"/>
      <c r="OPZ1" s="305"/>
      <c r="OQA1" s="305"/>
      <c r="OQB1" s="305"/>
      <c r="OQC1" s="305"/>
      <c r="OQD1" s="305"/>
      <c r="OQE1" s="305"/>
      <c r="OQF1" s="305"/>
      <c r="OQG1" s="305"/>
      <c r="OQH1" s="305"/>
      <c r="OQI1" s="305"/>
      <c r="OQJ1" s="305"/>
      <c r="OQK1" s="305"/>
      <c r="OQL1" s="305"/>
      <c r="OQM1" s="305"/>
      <c r="OQN1" s="305"/>
      <c r="OQO1" s="305"/>
      <c r="OQP1" s="305"/>
      <c r="OQQ1" s="305"/>
      <c r="OQR1" s="305"/>
      <c r="OQS1" s="305"/>
      <c r="OQT1" s="305"/>
      <c r="OQU1" s="305"/>
      <c r="OQV1" s="305"/>
      <c r="OQW1" s="305"/>
      <c r="OQX1" s="305"/>
      <c r="OQY1" s="305"/>
      <c r="OQZ1" s="305"/>
      <c r="ORA1" s="305"/>
      <c r="ORB1" s="305"/>
      <c r="ORC1" s="305"/>
      <c r="ORD1" s="305"/>
      <c r="ORE1" s="305"/>
      <c r="ORF1" s="305"/>
      <c r="ORG1" s="305"/>
      <c r="ORH1" s="305"/>
      <c r="ORI1" s="305"/>
      <c r="ORJ1" s="305"/>
      <c r="ORK1" s="305"/>
      <c r="ORL1" s="305"/>
      <c r="ORM1" s="305"/>
      <c r="ORN1" s="305"/>
      <c r="ORO1" s="305"/>
      <c r="ORP1" s="305"/>
      <c r="ORQ1" s="305"/>
      <c r="ORR1" s="305"/>
      <c r="ORS1" s="305"/>
      <c r="ORT1" s="305"/>
      <c r="ORU1" s="305"/>
      <c r="ORV1" s="305"/>
      <c r="ORW1" s="305"/>
      <c r="ORX1" s="305"/>
      <c r="ORY1" s="305"/>
      <c r="ORZ1" s="305"/>
      <c r="OSA1" s="305"/>
      <c r="OSB1" s="305"/>
      <c r="OSC1" s="305"/>
      <c r="OSD1" s="305"/>
      <c r="OSE1" s="305"/>
      <c r="OSF1" s="305"/>
      <c r="OSG1" s="305"/>
      <c r="OSH1" s="305"/>
      <c r="OSI1" s="305"/>
      <c r="OSJ1" s="305"/>
      <c r="OSK1" s="305"/>
      <c r="OSL1" s="305"/>
      <c r="OSM1" s="305"/>
      <c r="OSN1" s="305"/>
      <c r="OSO1" s="305"/>
      <c r="OSP1" s="305"/>
      <c r="OSQ1" s="305"/>
      <c r="OSR1" s="305"/>
      <c r="OSS1" s="305"/>
      <c r="OST1" s="305"/>
      <c r="OSU1" s="305"/>
      <c r="OSV1" s="305"/>
      <c r="OSW1" s="305"/>
      <c r="OSX1" s="305"/>
      <c r="OSY1" s="305"/>
      <c r="OSZ1" s="305"/>
      <c r="OTA1" s="305"/>
      <c r="OTB1" s="305"/>
      <c r="OTC1" s="305"/>
      <c r="OTD1" s="305"/>
      <c r="OTE1" s="305"/>
      <c r="OTF1" s="305"/>
      <c r="OTG1" s="305"/>
      <c r="OTH1" s="305"/>
      <c r="OTI1" s="305"/>
      <c r="OTJ1" s="305"/>
      <c r="OTK1" s="305"/>
      <c r="OTL1" s="305"/>
      <c r="OTM1" s="305"/>
      <c r="OTN1" s="305"/>
      <c r="OTO1" s="305"/>
      <c r="OTP1" s="305"/>
      <c r="OTQ1" s="305"/>
      <c r="OTR1" s="305"/>
      <c r="OTS1" s="305"/>
      <c r="OTT1" s="305"/>
      <c r="OTU1" s="305"/>
      <c r="OTV1" s="305"/>
      <c r="OTW1" s="305"/>
      <c r="OTX1" s="305"/>
      <c r="OTY1" s="305"/>
      <c r="OTZ1" s="305"/>
      <c r="OUA1" s="305"/>
      <c r="OUB1" s="305"/>
      <c r="OUC1" s="305"/>
      <c r="OUD1" s="305"/>
      <c r="OUE1" s="305"/>
      <c r="OUF1" s="305"/>
      <c r="OUG1" s="305"/>
      <c r="OUH1" s="305"/>
      <c r="OUI1" s="305"/>
      <c r="OUJ1" s="305"/>
      <c r="OUK1" s="305"/>
      <c r="OUL1" s="305"/>
      <c r="OUM1" s="305"/>
      <c r="OUN1" s="305"/>
      <c r="OUO1" s="305"/>
      <c r="OUP1" s="305"/>
      <c r="OUQ1" s="305"/>
      <c r="OUR1" s="305"/>
      <c r="OUS1" s="305"/>
      <c r="OUT1" s="305"/>
      <c r="OUU1" s="305"/>
      <c r="OUV1" s="305"/>
      <c r="OUW1" s="305"/>
      <c r="OUX1" s="305"/>
      <c r="OUY1" s="305"/>
      <c r="OUZ1" s="305"/>
      <c r="OVA1" s="305"/>
      <c r="OVB1" s="305"/>
      <c r="OVC1" s="305"/>
      <c r="OVD1" s="305"/>
      <c r="OVE1" s="305"/>
      <c r="OVF1" s="305"/>
      <c r="OVG1" s="305"/>
      <c r="OVH1" s="305"/>
      <c r="OVI1" s="305"/>
      <c r="OVJ1" s="305"/>
      <c r="OVK1" s="305"/>
      <c r="OVL1" s="305"/>
      <c r="OVM1" s="305"/>
      <c r="OVN1" s="305"/>
      <c r="OVO1" s="305"/>
      <c r="OVP1" s="305"/>
      <c r="OVQ1" s="305"/>
      <c r="OVR1" s="305"/>
      <c r="OVS1" s="305"/>
      <c r="OVT1" s="305"/>
      <c r="OVU1" s="305"/>
      <c r="OVV1" s="305"/>
      <c r="OVW1" s="305"/>
      <c r="OVX1" s="305"/>
      <c r="OVY1" s="305"/>
      <c r="OVZ1" s="305"/>
      <c r="OWA1" s="305"/>
      <c r="OWB1" s="305"/>
      <c r="OWC1" s="305"/>
      <c r="OWD1" s="305"/>
      <c r="OWE1" s="305"/>
      <c r="OWF1" s="305"/>
      <c r="OWG1" s="305"/>
      <c r="OWH1" s="305"/>
      <c r="OWI1" s="305"/>
      <c r="OWJ1" s="305"/>
      <c r="OWK1" s="305"/>
      <c r="OWL1" s="305"/>
      <c r="OWM1" s="305"/>
      <c r="OWN1" s="305"/>
      <c r="OWO1" s="305"/>
      <c r="OWP1" s="305"/>
      <c r="OWQ1" s="305"/>
      <c r="OWR1" s="305"/>
      <c r="OWS1" s="305"/>
      <c r="OWT1" s="305"/>
      <c r="OWU1" s="305"/>
      <c r="OWV1" s="305"/>
      <c r="OWW1" s="305"/>
      <c r="OWX1" s="305"/>
      <c r="OWY1" s="305"/>
      <c r="OWZ1" s="305"/>
      <c r="OXA1" s="305"/>
      <c r="OXB1" s="305"/>
      <c r="OXC1" s="305"/>
      <c r="OXD1" s="305"/>
      <c r="OXE1" s="305"/>
      <c r="OXF1" s="305"/>
      <c r="OXG1" s="305"/>
      <c r="OXH1" s="305"/>
      <c r="OXI1" s="305"/>
      <c r="OXJ1" s="305"/>
      <c r="OXK1" s="305"/>
      <c r="OXL1" s="305"/>
      <c r="OXM1" s="305"/>
      <c r="OXN1" s="305"/>
      <c r="OXO1" s="305"/>
      <c r="OXP1" s="305"/>
      <c r="OXQ1" s="305"/>
      <c r="OXR1" s="305"/>
      <c r="OXS1" s="305"/>
      <c r="OXT1" s="305"/>
      <c r="OXU1" s="305"/>
      <c r="OXV1" s="305"/>
      <c r="OXW1" s="305"/>
      <c r="OXX1" s="305"/>
      <c r="OXY1" s="305"/>
      <c r="OXZ1" s="305"/>
      <c r="OYA1" s="305"/>
      <c r="OYB1" s="305"/>
      <c r="OYC1" s="305"/>
      <c r="OYD1" s="305"/>
      <c r="OYE1" s="305"/>
      <c r="OYF1" s="305"/>
      <c r="OYG1" s="305"/>
      <c r="OYH1" s="305"/>
      <c r="OYI1" s="305"/>
      <c r="OYJ1" s="305"/>
      <c r="OYK1" s="305"/>
      <c r="OYL1" s="305"/>
      <c r="OYM1" s="305"/>
      <c r="OYN1" s="305"/>
      <c r="OYO1" s="305"/>
      <c r="OYP1" s="305"/>
      <c r="OYQ1" s="305"/>
      <c r="OYR1" s="305"/>
      <c r="OYS1" s="305"/>
      <c r="OYT1" s="305"/>
      <c r="OYU1" s="305"/>
      <c r="OYV1" s="305"/>
      <c r="OYW1" s="305"/>
      <c r="OYX1" s="305"/>
      <c r="OYY1" s="305"/>
      <c r="OYZ1" s="305"/>
      <c r="OZA1" s="305"/>
      <c r="OZB1" s="305"/>
      <c r="OZC1" s="305"/>
      <c r="OZD1" s="305"/>
      <c r="OZE1" s="305"/>
      <c r="OZF1" s="305"/>
      <c r="OZG1" s="305"/>
      <c r="OZH1" s="305"/>
      <c r="OZI1" s="305"/>
      <c r="OZJ1" s="305"/>
      <c r="OZK1" s="305"/>
      <c r="OZL1" s="305"/>
      <c r="OZM1" s="305"/>
      <c r="OZN1" s="305"/>
      <c r="OZO1" s="305"/>
      <c r="OZP1" s="305"/>
      <c r="OZQ1" s="305"/>
      <c r="OZR1" s="305"/>
      <c r="OZS1" s="305"/>
      <c r="OZT1" s="305"/>
      <c r="OZU1" s="305"/>
      <c r="OZV1" s="305"/>
      <c r="OZW1" s="305"/>
      <c r="OZX1" s="305"/>
      <c r="OZY1" s="305"/>
      <c r="OZZ1" s="305"/>
      <c r="PAA1" s="305"/>
      <c r="PAB1" s="305"/>
      <c r="PAC1" s="305"/>
      <c r="PAD1" s="305"/>
      <c r="PAE1" s="305"/>
      <c r="PAF1" s="305"/>
      <c r="PAG1" s="305"/>
      <c r="PAH1" s="305"/>
      <c r="PAI1" s="305"/>
      <c r="PAJ1" s="305"/>
      <c r="PAK1" s="305"/>
      <c r="PAL1" s="305"/>
      <c r="PAM1" s="305"/>
      <c r="PAN1" s="305"/>
      <c r="PAO1" s="305"/>
      <c r="PAP1" s="305"/>
      <c r="PAQ1" s="305"/>
      <c r="PAR1" s="305"/>
      <c r="PAS1" s="305"/>
      <c r="PAT1" s="305"/>
      <c r="PAU1" s="305"/>
      <c r="PAV1" s="305"/>
      <c r="PAW1" s="305"/>
      <c r="PAX1" s="305"/>
      <c r="PAY1" s="305"/>
      <c r="PAZ1" s="305"/>
      <c r="PBA1" s="305"/>
      <c r="PBB1" s="305"/>
      <c r="PBC1" s="305"/>
      <c r="PBD1" s="305"/>
      <c r="PBE1" s="305"/>
      <c r="PBF1" s="305"/>
      <c r="PBG1" s="305"/>
      <c r="PBH1" s="305"/>
      <c r="PBI1" s="305"/>
      <c r="PBJ1" s="305"/>
      <c r="PBK1" s="305"/>
      <c r="PBL1" s="305"/>
      <c r="PBM1" s="305"/>
      <c r="PBN1" s="305"/>
      <c r="PBO1" s="305"/>
      <c r="PBP1" s="305"/>
      <c r="PBQ1" s="305"/>
      <c r="PBR1" s="305"/>
      <c r="PBS1" s="305"/>
      <c r="PBT1" s="305"/>
      <c r="PBU1" s="305"/>
      <c r="PBV1" s="305"/>
      <c r="PBW1" s="305"/>
      <c r="PBX1" s="305"/>
      <c r="PBY1" s="305"/>
      <c r="PBZ1" s="305"/>
      <c r="PCA1" s="305"/>
      <c r="PCB1" s="305"/>
      <c r="PCC1" s="305"/>
      <c r="PCD1" s="305"/>
      <c r="PCE1" s="305"/>
      <c r="PCF1" s="305"/>
      <c r="PCG1" s="305"/>
      <c r="PCH1" s="305"/>
      <c r="PCI1" s="305"/>
      <c r="PCJ1" s="305"/>
      <c r="PCK1" s="305"/>
      <c r="PCL1" s="305"/>
      <c r="PCM1" s="305"/>
      <c r="PCN1" s="305"/>
      <c r="PCO1" s="305"/>
      <c r="PCP1" s="305"/>
      <c r="PCQ1" s="305"/>
      <c r="PCR1" s="305"/>
      <c r="PCS1" s="305"/>
      <c r="PCT1" s="305"/>
      <c r="PCU1" s="305"/>
      <c r="PCV1" s="305"/>
      <c r="PCW1" s="305"/>
      <c r="PCX1" s="305"/>
      <c r="PCY1" s="305"/>
      <c r="PCZ1" s="305"/>
      <c r="PDA1" s="305"/>
      <c r="PDB1" s="305"/>
      <c r="PDC1" s="305"/>
      <c r="PDD1" s="305"/>
      <c r="PDE1" s="305"/>
      <c r="PDF1" s="305"/>
      <c r="PDG1" s="305"/>
      <c r="PDH1" s="305"/>
      <c r="PDI1" s="305"/>
      <c r="PDJ1" s="305"/>
      <c r="PDK1" s="305"/>
      <c r="PDL1" s="305"/>
      <c r="PDM1" s="305"/>
      <c r="PDN1" s="305"/>
      <c r="PDO1" s="305"/>
      <c r="PDP1" s="305"/>
      <c r="PDQ1" s="305"/>
      <c r="PDR1" s="305"/>
      <c r="PDS1" s="305"/>
      <c r="PDT1" s="305"/>
      <c r="PDU1" s="305"/>
      <c r="PDV1" s="305"/>
      <c r="PDW1" s="305"/>
      <c r="PDX1" s="305"/>
      <c r="PDY1" s="305"/>
      <c r="PDZ1" s="305"/>
      <c r="PEA1" s="305"/>
      <c r="PEB1" s="305"/>
      <c r="PEC1" s="305"/>
      <c r="PED1" s="305"/>
      <c r="PEE1" s="305"/>
      <c r="PEF1" s="305"/>
      <c r="PEG1" s="305"/>
      <c r="PEH1" s="305"/>
      <c r="PEI1" s="305"/>
      <c r="PEJ1" s="305"/>
      <c r="PEK1" s="305"/>
      <c r="PEL1" s="305"/>
      <c r="PEM1" s="305"/>
      <c r="PEN1" s="305"/>
      <c r="PEO1" s="305"/>
      <c r="PEP1" s="305"/>
      <c r="PEQ1" s="305"/>
      <c r="PER1" s="305"/>
      <c r="PES1" s="305"/>
      <c r="PET1" s="305"/>
      <c r="PEU1" s="305"/>
      <c r="PEV1" s="305"/>
      <c r="PEW1" s="305"/>
      <c r="PEX1" s="305"/>
      <c r="PEY1" s="305"/>
      <c r="PEZ1" s="305"/>
      <c r="PFA1" s="305"/>
      <c r="PFB1" s="305"/>
      <c r="PFC1" s="305"/>
      <c r="PFD1" s="305"/>
      <c r="PFE1" s="305"/>
      <c r="PFF1" s="305"/>
      <c r="PFG1" s="305"/>
      <c r="PFH1" s="305"/>
      <c r="PFI1" s="305"/>
      <c r="PFJ1" s="305"/>
      <c r="PFK1" s="305"/>
      <c r="PFL1" s="305"/>
      <c r="PFM1" s="305"/>
      <c r="PFN1" s="305"/>
      <c r="PFO1" s="305"/>
      <c r="PFP1" s="305"/>
      <c r="PFQ1" s="305"/>
      <c r="PFR1" s="305"/>
      <c r="PFS1" s="305"/>
      <c r="PFT1" s="305"/>
      <c r="PFU1" s="305"/>
      <c r="PFV1" s="305"/>
      <c r="PFW1" s="305"/>
      <c r="PFX1" s="305"/>
      <c r="PFY1" s="305"/>
      <c r="PFZ1" s="305"/>
      <c r="PGA1" s="305"/>
      <c r="PGB1" s="305"/>
      <c r="PGC1" s="305"/>
      <c r="PGD1" s="305"/>
      <c r="PGE1" s="305"/>
      <c r="PGF1" s="305"/>
      <c r="PGG1" s="305"/>
      <c r="PGH1" s="305"/>
      <c r="PGI1" s="305"/>
      <c r="PGJ1" s="305"/>
      <c r="PGK1" s="305"/>
      <c r="PGL1" s="305"/>
      <c r="PGM1" s="305"/>
      <c r="PGN1" s="305"/>
      <c r="PGO1" s="305"/>
      <c r="PGP1" s="305"/>
      <c r="PGQ1" s="305"/>
      <c r="PGR1" s="305"/>
      <c r="PGS1" s="305"/>
      <c r="PGT1" s="305"/>
      <c r="PGU1" s="305"/>
      <c r="PGV1" s="305"/>
      <c r="PGW1" s="305"/>
      <c r="PGX1" s="305"/>
      <c r="PGY1" s="305"/>
      <c r="PGZ1" s="305"/>
      <c r="PHA1" s="305"/>
      <c r="PHB1" s="305"/>
      <c r="PHC1" s="305"/>
      <c r="PHD1" s="305"/>
      <c r="PHE1" s="305"/>
      <c r="PHF1" s="305"/>
      <c r="PHG1" s="305"/>
      <c r="PHH1" s="305"/>
      <c r="PHI1" s="305"/>
      <c r="PHJ1" s="305"/>
      <c r="PHK1" s="305"/>
      <c r="PHL1" s="305"/>
      <c r="PHM1" s="305"/>
      <c r="PHN1" s="305"/>
      <c r="PHO1" s="305"/>
      <c r="PHP1" s="305"/>
      <c r="PHQ1" s="305"/>
      <c r="PHR1" s="305"/>
      <c r="PHS1" s="305"/>
      <c r="PHT1" s="305"/>
      <c r="PHU1" s="305"/>
      <c r="PHV1" s="305"/>
      <c r="PHW1" s="305"/>
      <c r="PHX1" s="305"/>
      <c r="PHY1" s="305"/>
      <c r="PHZ1" s="305"/>
      <c r="PIA1" s="305"/>
      <c r="PIB1" s="305"/>
      <c r="PIC1" s="305"/>
      <c r="PID1" s="305"/>
      <c r="PIE1" s="305"/>
      <c r="PIF1" s="305"/>
      <c r="PIG1" s="305"/>
      <c r="PIH1" s="305"/>
      <c r="PII1" s="305"/>
      <c r="PIJ1" s="305"/>
      <c r="PIK1" s="305"/>
      <c r="PIL1" s="305"/>
      <c r="PIM1" s="305"/>
      <c r="PIN1" s="305"/>
      <c r="PIO1" s="305"/>
      <c r="PIP1" s="305"/>
      <c r="PIQ1" s="305"/>
      <c r="PIR1" s="305"/>
      <c r="PIS1" s="305"/>
      <c r="PIT1" s="305"/>
      <c r="PIU1" s="305"/>
      <c r="PIV1" s="305"/>
      <c r="PIW1" s="305"/>
      <c r="PIX1" s="305"/>
      <c r="PIY1" s="305"/>
      <c r="PIZ1" s="305"/>
      <c r="PJA1" s="305"/>
      <c r="PJB1" s="305"/>
      <c r="PJC1" s="305"/>
      <c r="PJD1" s="305"/>
      <c r="PJE1" s="305"/>
      <c r="PJF1" s="305"/>
      <c r="PJG1" s="305"/>
      <c r="PJH1" s="305"/>
      <c r="PJI1" s="305"/>
      <c r="PJJ1" s="305"/>
      <c r="PJK1" s="305"/>
      <c r="PJL1" s="305"/>
      <c r="PJM1" s="305"/>
      <c r="PJN1" s="305"/>
      <c r="PJO1" s="305"/>
      <c r="PJP1" s="305"/>
      <c r="PJQ1" s="305"/>
      <c r="PJR1" s="305"/>
      <c r="PJS1" s="305"/>
      <c r="PJT1" s="305"/>
      <c r="PJU1" s="305"/>
      <c r="PJV1" s="305"/>
      <c r="PJW1" s="305"/>
      <c r="PJX1" s="305"/>
      <c r="PJY1" s="305"/>
      <c r="PJZ1" s="305"/>
      <c r="PKA1" s="305"/>
      <c r="PKB1" s="305"/>
      <c r="PKC1" s="305"/>
      <c r="PKD1" s="305"/>
      <c r="PKE1" s="305"/>
      <c r="PKF1" s="305"/>
      <c r="PKG1" s="305"/>
      <c r="PKH1" s="305"/>
      <c r="PKI1" s="305"/>
      <c r="PKJ1" s="305"/>
      <c r="PKK1" s="305"/>
      <c r="PKL1" s="305"/>
      <c r="PKM1" s="305"/>
      <c r="PKN1" s="305"/>
      <c r="PKO1" s="305"/>
      <c r="PKP1" s="305"/>
      <c r="PKQ1" s="305"/>
      <c r="PKR1" s="305"/>
      <c r="PKS1" s="305"/>
      <c r="PKT1" s="305"/>
      <c r="PKU1" s="305"/>
      <c r="PKV1" s="305"/>
      <c r="PKW1" s="305"/>
      <c r="PKX1" s="305"/>
      <c r="PKY1" s="305"/>
      <c r="PKZ1" s="305"/>
      <c r="PLA1" s="305"/>
      <c r="PLB1" s="305"/>
      <c r="PLC1" s="305"/>
      <c r="PLD1" s="305"/>
      <c r="PLE1" s="305"/>
      <c r="PLF1" s="305"/>
      <c r="PLG1" s="305"/>
      <c r="PLH1" s="305"/>
      <c r="PLI1" s="305"/>
      <c r="PLJ1" s="305"/>
      <c r="PLK1" s="305"/>
      <c r="PLL1" s="305"/>
      <c r="PLM1" s="305"/>
      <c r="PLN1" s="305"/>
      <c r="PLO1" s="305"/>
      <c r="PLP1" s="305"/>
      <c r="PLQ1" s="305"/>
      <c r="PLR1" s="305"/>
      <c r="PLS1" s="305"/>
      <c r="PLT1" s="305"/>
      <c r="PLU1" s="305"/>
      <c r="PLV1" s="305"/>
      <c r="PLW1" s="305"/>
      <c r="PLX1" s="305"/>
      <c r="PLY1" s="305"/>
      <c r="PLZ1" s="305"/>
      <c r="PMA1" s="305"/>
      <c r="PMB1" s="305"/>
      <c r="PMC1" s="305"/>
      <c r="PMD1" s="305"/>
      <c r="PME1" s="305"/>
      <c r="PMF1" s="305"/>
      <c r="PMG1" s="305"/>
      <c r="PMH1" s="305"/>
      <c r="PMI1" s="305"/>
      <c r="PMJ1" s="305"/>
      <c r="PMK1" s="305"/>
      <c r="PML1" s="305"/>
      <c r="PMM1" s="305"/>
      <c r="PMN1" s="305"/>
      <c r="PMO1" s="305"/>
      <c r="PMP1" s="305"/>
      <c r="PMQ1" s="305"/>
      <c r="PMR1" s="305"/>
      <c r="PMS1" s="305"/>
      <c r="PMT1" s="305"/>
      <c r="PMU1" s="305"/>
      <c r="PMV1" s="305"/>
      <c r="PMW1" s="305"/>
      <c r="PMX1" s="305"/>
      <c r="PMY1" s="305"/>
      <c r="PMZ1" s="305"/>
      <c r="PNA1" s="305"/>
      <c r="PNB1" s="305"/>
      <c r="PNC1" s="305"/>
      <c r="PND1" s="305"/>
      <c r="PNE1" s="305"/>
      <c r="PNF1" s="305"/>
      <c r="PNG1" s="305"/>
      <c r="PNH1" s="305"/>
      <c r="PNI1" s="305"/>
      <c r="PNJ1" s="305"/>
      <c r="PNK1" s="305"/>
      <c r="PNL1" s="305"/>
      <c r="PNM1" s="305"/>
      <c r="PNN1" s="305"/>
      <c r="PNO1" s="305"/>
      <c r="PNP1" s="305"/>
      <c r="PNQ1" s="305"/>
      <c r="PNR1" s="305"/>
      <c r="PNS1" s="305"/>
      <c r="PNT1" s="305"/>
      <c r="PNU1" s="305"/>
      <c r="PNV1" s="305"/>
      <c r="PNW1" s="305"/>
      <c r="PNX1" s="305"/>
      <c r="PNY1" s="305"/>
      <c r="PNZ1" s="305"/>
      <c r="POA1" s="305"/>
      <c r="POB1" s="305"/>
      <c r="POC1" s="305"/>
      <c r="POD1" s="305"/>
      <c r="POE1" s="305"/>
      <c r="POF1" s="305"/>
      <c r="POG1" s="305"/>
      <c r="POH1" s="305"/>
      <c r="POI1" s="305"/>
      <c r="POJ1" s="305"/>
      <c r="POK1" s="305"/>
      <c r="POL1" s="305"/>
      <c r="POM1" s="305"/>
      <c r="PON1" s="305"/>
      <c r="POO1" s="305"/>
      <c r="POP1" s="305"/>
      <c r="POQ1" s="305"/>
      <c r="POR1" s="305"/>
      <c r="POS1" s="305"/>
      <c r="POT1" s="305"/>
      <c r="POU1" s="305"/>
      <c r="POV1" s="305"/>
      <c r="POW1" s="305"/>
      <c r="POX1" s="305"/>
      <c r="POY1" s="305"/>
      <c r="POZ1" s="305"/>
      <c r="PPA1" s="305"/>
      <c r="PPB1" s="305"/>
      <c r="PPC1" s="305"/>
      <c r="PPD1" s="305"/>
      <c r="PPE1" s="305"/>
      <c r="PPF1" s="305"/>
      <c r="PPG1" s="305"/>
      <c r="PPH1" s="305"/>
      <c r="PPI1" s="305"/>
      <c r="PPJ1" s="305"/>
      <c r="PPK1" s="305"/>
      <c r="PPL1" s="305"/>
      <c r="PPM1" s="305"/>
      <c r="PPN1" s="305"/>
      <c r="PPO1" s="305"/>
      <c r="PPP1" s="305"/>
      <c r="PPQ1" s="305"/>
      <c r="PPR1" s="305"/>
      <c r="PPS1" s="305"/>
      <c r="PPT1" s="305"/>
      <c r="PPU1" s="305"/>
      <c r="PPV1" s="305"/>
      <c r="PPW1" s="305"/>
      <c r="PPX1" s="305"/>
      <c r="PPY1" s="305"/>
      <c r="PPZ1" s="305"/>
      <c r="PQA1" s="305"/>
      <c r="PQB1" s="305"/>
      <c r="PQC1" s="305"/>
      <c r="PQD1" s="305"/>
      <c r="PQE1" s="305"/>
      <c r="PQF1" s="305"/>
      <c r="PQG1" s="305"/>
      <c r="PQH1" s="305"/>
      <c r="PQI1" s="305"/>
      <c r="PQJ1" s="305"/>
      <c r="PQK1" s="305"/>
      <c r="PQL1" s="305"/>
      <c r="PQM1" s="305"/>
      <c r="PQN1" s="305"/>
      <c r="PQO1" s="305"/>
      <c r="PQP1" s="305"/>
      <c r="PQQ1" s="305"/>
      <c r="PQR1" s="305"/>
      <c r="PQS1" s="305"/>
      <c r="PQT1" s="305"/>
      <c r="PQU1" s="305"/>
      <c r="PQV1" s="305"/>
      <c r="PQW1" s="305"/>
      <c r="PQX1" s="305"/>
      <c r="PQY1" s="305"/>
      <c r="PQZ1" s="305"/>
      <c r="PRA1" s="305"/>
      <c r="PRB1" s="305"/>
      <c r="PRC1" s="305"/>
      <c r="PRD1" s="305"/>
      <c r="PRE1" s="305"/>
      <c r="PRF1" s="305"/>
      <c r="PRG1" s="305"/>
      <c r="PRH1" s="305"/>
      <c r="PRI1" s="305"/>
      <c r="PRJ1" s="305"/>
      <c r="PRK1" s="305"/>
      <c r="PRL1" s="305"/>
      <c r="PRM1" s="305"/>
      <c r="PRN1" s="305"/>
      <c r="PRO1" s="305"/>
      <c r="PRP1" s="305"/>
      <c r="PRQ1" s="305"/>
      <c r="PRR1" s="305"/>
      <c r="PRS1" s="305"/>
      <c r="PRT1" s="305"/>
      <c r="PRU1" s="305"/>
      <c r="PRV1" s="305"/>
      <c r="PRW1" s="305"/>
      <c r="PRX1" s="305"/>
      <c r="PRY1" s="305"/>
      <c r="PRZ1" s="305"/>
      <c r="PSA1" s="305"/>
      <c r="PSB1" s="305"/>
      <c r="PSC1" s="305"/>
      <c r="PSD1" s="305"/>
      <c r="PSE1" s="305"/>
      <c r="PSF1" s="305"/>
      <c r="PSG1" s="305"/>
      <c r="PSH1" s="305"/>
      <c r="PSI1" s="305"/>
      <c r="PSJ1" s="305"/>
      <c r="PSK1" s="305"/>
      <c r="PSL1" s="305"/>
      <c r="PSM1" s="305"/>
      <c r="PSN1" s="305"/>
      <c r="PSO1" s="305"/>
      <c r="PSP1" s="305"/>
      <c r="PSQ1" s="305"/>
      <c r="PSR1" s="305"/>
      <c r="PSS1" s="305"/>
      <c r="PST1" s="305"/>
      <c r="PSU1" s="305"/>
      <c r="PSV1" s="305"/>
      <c r="PSW1" s="305"/>
      <c r="PSX1" s="305"/>
      <c r="PSY1" s="305"/>
      <c r="PSZ1" s="305"/>
      <c r="PTA1" s="305"/>
      <c r="PTB1" s="305"/>
      <c r="PTC1" s="305"/>
      <c r="PTD1" s="305"/>
      <c r="PTE1" s="305"/>
      <c r="PTF1" s="305"/>
      <c r="PTG1" s="305"/>
      <c r="PTH1" s="305"/>
      <c r="PTI1" s="305"/>
      <c r="PTJ1" s="305"/>
      <c r="PTK1" s="305"/>
      <c r="PTL1" s="305"/>
      <c r="PTM1" s="305"/>
      <c r="PTN1" s="305"/>
      <c r="PTO1" s="305"/>
      <c r="PTP1" s="305"/>
      <c r="PTQ1" s="305"/>
      <c r="PTR1" s="305"/>
      <c r="PTS1" s="305"/>
      <c r="PTT1" s="305"/>
      <c r="PTU1" s="305"/>
      <c r="PTV1" s="305"/>
      <c r="PTW1" s="305"/>
      <c r="PTX1" s="305"/>
      <c r="PTY1" s="305"/>
      <c r="PTZ1" s="305"/>
      <c r="PUA1" s="305"/>
      <c r="PUB1" s="305"/>
      <c r="PUC1" s="305"/>
      <c r="PUD1" s="305"/>
      <c r="PUE1" s="305"/>
      <c r="PUF1" s="305"/>
      <c r="PUG1" s="305"/>
      <c r="PUH1" s="305"/>
      <c r="PUI1" s="305"/>
      <c r="PUJ1" s="305"/>
      <c r="PUK1" s="305"/>
      <c r="PUL1" s="305"/>
      <c r="PUM1" s="305"/>
      <c r="PUN1" s="305"/>
      <c r="PUO1" s="305"/>
      <c r="PUP1" s="305"/>
      <c r="PUQ1" s="305"/>
      <c r="PUR1" s="305"/>
      <c r="PUS1" s="305"/>
      <c r="PUT1" s="305"/>
      <c r="PUU1" s="305"/>
      <c r="PUV1" s="305"/>
      <c r="PUW1" s="305"/>
      <c r="PUX1" s="305"/>
      <c r="PUY1" s="305"/>
      <c r="PUZ1" s="305"/>
      <c r="PVA1" s="305"/>
      <c r="PVB1" s="305"/>
      <c r="PVC1" s="305"/>
      <c r="PVD1" s="305"/>
      <c r="PVE1" s="305"/>
      <c r="PVF1" s="305"/>
      <c r="PVG1" s="305"/>
      <c r="PVH1" s="305"/>
      <c r="PVI1" s="305"/>
      <c r="PVJ1" s="305"/>
      <c r="PVK1" s="305"/>
      <c r="PVL1" s="305"/>
      <c r="PVM1" s="305"/>
      <c r="PVN1" s="305"/>
      <c r="PVO1" s="305"/>
      <c r="PVP1" s="305"/>
      <c r="PVQ1" s="305"/>
      <c r="PVR1" s="305"/>
      <c r="PVS1" s="305"/>
      <c r="PVT1" s="305"/>
      <c r="PVU1" s="305"/>
      <c r="PVV1" s="305"/>
      <c r="PVW1" s="305"/>
      <c r="PVX1" s="305"/>
      <c r="PVY1" s="305"/>
      <c r="PVZ1" s="305"/>
      <c r="PWA1" s="305"/>
      <c r="PWB1" s="305"/>
      <c r="PWC1" s="305"/>
      <c r="PWD1" s="305"/>
      <c r="PWE1" s="305"/>
      <c r="PWF1" s="305"/>
      <c r="PWG1" s="305"/>
      <c r="PWH1" s="305"/>
      <c r="PWI1" s="305"/>
      <c r="PWJ1" s="305"/>
      <c r="PWK1" s="305"/>
      <c r="PWL1" s="305"/>
      <c r="PWM1" s="305"/>
      <c r="PWN1" s="305"/>
      <c r="PWO1" s="305"/>
      <c r="PWP1" s="305"/>
      <c r="PWQ1" s="305"/>
      <c r="PWR1" s="305"/>
      <c r="PWS1" s="305"/>
      <c r="PWT1" s="305"/>
      <c r="PWU1" s="305"/>
      <c r="PWV1" s="305"/>
      <c r="PWW1" s="305"/>
      <c r="PWX1" s="305"/>
      <c r="PWY1" s="305"/>
      <c r="PWZ1" s="305"/>
      <c r="PXA1" s="305"/>
      <c r="PXB1" s="305"/>
      <c r="PXC1" s="305"/>
      <c r="PXD1" s="305"/>
      <c r="PXE1" s="305"/>
      <c r="PXF1" s="305"/>
      <c r="PXG1" s="305"/>
      <c r="PXH1" s="305"/>
      <c r="PXI1" s="305"/>
      <c r="PXJ1" s="305"/>
      <c r="PXK1" s="305"/>
      <c r="PXL1" s="305"/>
      <c r="PXM1" s="305"/>
      <c r="PXN1" s="305"/>
      <c r="PXO1" s="305"/>
      <c r="PXP1" s="305"/>
      <c r="PXQ1" s="305"/>
      <c r="PXR1" s="305"/>
      <c r="PXS1" s="305"/>
      <c r="PXT1" s="305"/>
      <c r="PXU1" s="305"/>
      <c r="PXV1" s="305"/>
      <c r="PXW1" s="305"/>
      <c r="PXX1" s="305"/>
      <c r="PXY1" s="305"/>
      <c r="PXZ1" s="305"/>
      <c r="PYA1" s="305"/>
      <c r="PYB1" s="305"/>
      <c r="PYC1" s="305"/>
      <c r="PYD1" s="305"/>
      <c r="PYE1" s="305"/>
      <c r="PYF1" s="305"/>
      <c r="PYG1" s="305"/>
      <c r="PYH1" s="305"/>
      <c r="PYI1" s="305"/>
      <c r="PYJ1" s="305"/>
      <c r="PYK1" s="305"/>
      <c r="PYL1" s="305"/>
      <c r="PYM1" s="305"/>
      <c r="PYN1" s="305"/>
      <c r="PYO1" s="305"/>
      <c r="PYP1" s="305"/>
      <c r="PYQ1" s="305"/>
      <c r="PYR1" s="305"/>
      <c r="PYS1" s="305"/>
      <c r="PYT1" s="305"/>
      <c r="PYU1" s="305"/>
      <c r="PYV1" s="305"/>
      <c r="PYW1" s="305"/>
      <c r="PYX1" s="305"/>
      <c r="PYY1" s="305"/>
      <c r="PYZ1" s="305"/>
      <c r="PZA1" s="305"/>
      <c r="PZB1" s="305"/>
      <c r="PZC1" s="305"/>
      <c r="PZD1" s="305"/>
      <c r="PZE1" s="305"/>
      <c r="PZF1" s="305"/>
      <c r="PZG1" s="305"/>
      <c r="PZH1" s="305"/>
      <c r="PZI1" s="305"/>
      <c r="PZJ1" s="305"/>
      <c r="PZK1" s="305"/>
      <c r="PZL1" s="305"/>
      <c r="PZM1" s="305"/>
      <c r="PZN1" s="305"/>
      <c r="PZO1" s="305"/>
      <c r="PZP1" s="305"/>
      <c r="PZQ1" s="305"/>
      <c r="PZR1" s="305"/>
      <c r="PZS1" s="305"/>
      <c r="PZT1" s="305"/>
      <c r="PZU1" s="305"/>
      <c r="PZV1" s="305"/>
      <c r="PZW1" s="305"/>
      <c r="PZX1" s="305"/>
      <c r="PZY1" s="305"/>
      <c r="PZZ1" s="305"/>
      <c r="QAA1" s="305"/>
      <c r="QAB1" s="305"/>
      <c r="QAC1" s="305"/>
      <c r="QAD1" s="305"/>
      <c r="QAE1" s="305"/>
      <c r="QAF1" s="305"/>
      <c r="QAG1" s="305"/>
      <c r="QAH1" s="305"/>
      <c r="QAI1" s="305"/>
      <c r="QAJ1" s="305"/>
      <c r="QAK1" s="305"/>
      <c r="QAL1" s="305"/>
      <c r="QAM1" s="305"/>
      <c r="QAN1" s="305"/>
      <c r="QAO1" s="305"/>
      <c r="QAP1" s="305"/>
      <c r="QAQ1" s="305"/>
      <c r="QAR1" s="305"/>
      <c r="QAS1" s="305"/>
      <c r="QAT1" s="305"/>
      <c r="QAU1" s="305"/>
      <c r="QAV1" s="305"/>
      <c r="QAW1" s="305"/>
      <c r="QAX1" s="305"/>
      <c r="QAY1" s="305"/>
      <c r="QAZ1" s="305"/>
      <c r="QBA1" s="305"/>
      <c r="QBB1" s="305"/>
      <c r="QBC1" s="305"/>
      <c r="QBD1" s="305"/>
      <c r="QBE1" s="305"/>
      <c r="QBF1" s="305"/>
      <c r="QBG1" s="305"/>
      <c r="QBH1" s="305"/>
      <c r="QBI1" s="305"/>
      <c r="QBJ1" s="305"/>
      <c r="QBK1" s="305"/>
      <c r="QBL1" s="305"/>
      <c r="QBM1" s="305"/>
      <c r="QBN1" s="305"/>
      <c r="QBO1" s="305"/>
      <c r="QBP1" s="305"/>
      <c r="QBQ1" s="305"/>
      <c r="QBR1" s="305"/>
      <c r="QBS1" s="305"/>
      <c r="QBT1" s="305"/>
      <c r="QBU1" s="305"/>
      <c r="QBV1" s="305"/>
      <c r="QBW1" s="305"/>
      <c r="QBX1" s="305"/>
      <c r="QBY1" s="305"/>
      <c r="QBZ1" s="305"/>
      <c r="QCA1" s="305"/>
      <c r="QCB1" s="305"/>
      <c r="QCC1" s="305"/>
      <c r="QCD1" s="305"/>
      <c r="QCE1" s="305"/>
      <c r="QCF1" s="305"/>
      <c r="QCG1" s="305"/>
      <c r="QCH1" s="305"/>
      <c r="QCI1" s="305"/>
      <c r="QCJ1" s="305"/>
      <c r="QCK1" s="305"/>
      <c r="QCL1" s="305"/>
      <c r="QCM1" s="305"/>
      <c r="QCN1" s="305"/>
      <c r="QCO1" s="305"/>
      <c r="QCP1" s="305"/>
      <c r="QCQ1" s="305"/>
      <c r="QCR1" s="305"/>
      <c r="QCS1" s="305"/>
      <c r="QCT1" s="305"/>
      <c r="QCU1" s="305"/>
      <c r="QCV1" s="305"/>
      <c r="QCW1" s="305"/>
      <c r="QCX1" s="305"/>
      <c r="QCY1" s="305"/>
      <c r="QCZ1" s="305"/>
      <c r="QDA1" s="305"/>
      <c r="QDB1" s="305"/>
      <c r="QDC1" s="305"/>
      <c r="QDD1" s="305"/>
      <c r="QDE1" s="305"/>
      <c r="QDF1" s="305"/>
      <c r="QDG1" s="305"/>
      <c r="QDH1" s="305"/>
      <c r="QDI1" s="305"/>
      <c r="QDJ1" s="305"/>
      <c r="QDK1" s="305"/>
      <c r="QDL1" s="305"/>
      <c r="QDM1" s="305"/>
      <c r="QDN1" s="305"/>
      <c r="QDO1" s="305"/>
      <c r="QDP1" s="305"/>
      <c r="QDQ1" s="305"/>
      <c r="QDR1" s="305"/>
      <c r="QDS1" s="305"/>
      <c r="QDT1" s="305"/>
      <c r="QDU1" s="305"/>
      <c r="QDV1" s="305"/>
      <c r="QDW1" s="305"/>
      <c r="QDX1" s="305"/>
      <c r="QDY1" s="305"/>
      <c r="QDZ1" s="305"/>
      <c r="QEA1" s="305"/>
      <c r="QEB1" s="305"/>
      <c r="QEC1" s="305"/>
      <c r="QED1" s="305"/>
      <c r="QEE1" s="305"/>
      <c r="QEF1" s="305"/>
      <c r="QEG1" s="305"/>
      <c r="QEH1" s="305"/>
      <c r="QEI1" s="305"/>
      <c r="QEJ1" s="305"/>
      <c r="QEK1" s="305"/>
      <c r="QEL1" s="305"/>
      <c r="QEM1" s="305"/>
      <c r="QEN1" s="305"/>
      <c r="QEO1" s="305"/>
      <c r="QEP1" s="305"/>
      <c r="QEQ1" s="305"/>
      <c r="QER1" s="305"/>
      <c r="QES1" s="305"/>
      <c r="QET1" s="305"/>
      <c r="QEU1" s="305"/>
      <c r="QEV1" s="305"/>
      <c r="QEW1" s="305"/>
      <c r="QEX1" s="305"/>
      <c r="QEY1" s="305"/>
      <c r="QEZ1" s="305"/>
      <c r="QFA1" s="305"/>
      <c r="QFB1" s="305"/>
      <c r="QFC1" s="305"/>
      <c r="QFD1" s="305"/>
      <c r="QFE1" s="305"/>
      <c r="QFF1" s="305"/>
      <c r="QFG1" s="305"/>
      <c r="QFH1" s="305"/>
      <c r="QFI1" s="305"/>
      <c r="QFJ1" s="305"/>
      <c r="QFK1" s="305"/>
      <c r="QFL1" s="305"/>
      <c r="QFM1" s="305"/>
      <c r="QFN1" s="305"/>
      <c r="QFO1" s="305"/>
      <c r="QFP1" s="305"/>
      <c r="QFQ1" s="305"/>
      <c r="QFR1" s="305"/>
      <c r="QFS1" s="305"/>
      <c r="QFT1" s="305"/>
      <c r="QFU1" s="305"/>
      <c r="QFV1" s="305"/>
      <c r="QFW1" s="305"/>
      <c r="QFX1" s="305"/>
      <c r="QFY1" s="305"/>
      <c r="QFZ1" s="305"/>
      <c r="QGA1" s="305"/>
      <c r="QGB1" s="305"/>
      <c r="QGC1" s="305"/>
      <c r="QGD1" s="305"/>
      <c r="QGE1" s="305"/>
      <c r="QGF1" s="305"/>
      <c r="QGG1" s="305"/>
      <c r="QGH1" s="305"/>
      <c r="QGI1" s="305"/>
      <c r="QGJ1" s="305"/>
      <c r="QGK1" s="305"/>
      <c r="QGL1" s="305"/>
      <c r="QGM1" s="305"/>
      <c r="QGN1" s="305"/>
      <c r="QGO1" s="305"/>
      <c r="QGP1" s="305"/>
      <c r="QGQ1" s="305"/>
      <c r="QGR1" s="305"/>
      <c r="QGS1" s="305"/>
      <c r="QGT1" s="305"/>
      <c r="QGU1" s="305"/>
      <c r="QGV1" s="305"/>
      <c r="QGW1" s="305"/>
      <c r="QGX1" s="305"/>
      <c r="QGY1" s="305"/>
      <c r="QGZ1" s="305"/>
      <c r="QHA1" s="305"/>
      <c r="QHB1" s="305"/>
      <c r="QHC1" s="305"/>
      <c r="QHD1" s="305"/>
      <c r="QHE1" s="305"/>
      <c r="QHF1" s="305"/>
      <c r="QHG1" s="305"/>
      <c r="QHH1" s="305"/>
      <c r="QHI1" s="305"/>
      <c r="QHJ1" s="305"/>
      <c r="QHK1" s="305"/>
      <c r="QHL1" s="305"/>
      <c r="QHM1" s="305"/>
      <c r="QHN1" s="305"/>
      <c r="QHO1" s="305"/>
      <c r="QHP1" s="305"/>
      <c r="QHQ1" s="305"/>
      <c r="QHR1" s="305"/>
      <c r="QHS1" s="305"/>
      <c r="QHT1" s="305"/>
      <c r="QHU1" s="305"/>
      <c r="QHV1" s="305"/>
      <c r="QHW1" s="305"/>
      <c r="QHX1" s="305"/>
      <c r="QHY1" s="305"/>
      <c r="QHZ1" s="305"/>
      <c r="QIA1" s="305"/>
      <c r="QIB1" s="305"/>
      <c r="QIC1" s="305"/>
      <c r="QID1" s="305"/>
      <c r="QIE1" s="305"/>
      <c r="QIF1" s="305"/>
      <c r="QIG1" s="305"/>
      <c r="QIH1" s="305"/>
      <c r="QII1" s="305"/>
      <c r="QIJ1" s="305"/>
      <c r="QIK1" s="305"/>
      <c r="QIL1" s="305"/>
      <c r="QIM1" s="305"/>
      <c r="QIN1" s="305"/>
      <c r="QIO1" s="305"/>
      <c r="QIP1" s="305"/>
      <c r="QIQ1" s="305"/>
      <c r="QIR1" s="305"/>
      <c r="QIS1" s="305"/>
      <c r="QIT1" s="305"/>
      <c r="QIU1" s="305"/>
      <c r="QIV1" s="305"/>
      <c r="QIW1" s="305"/>
      <c r="QIX1" s="305"/>
      <c r="QIY1" s="305"/>
      <c r="QIZ1" s="305"/>
      <c r="QJA1" s="305"/>
      <c r="QJB1" s="305"/>
      <c r="QJC1" s="305"/>
      <c r="QJD1" s="305"/>
      <c r="QJE1" s="305"/>
      <c r="QJF1" s="305"/>
      <c r="QJG1" s="305"/>
      <c r="QJH1" s="305"/>
      <c r="QJI1" s="305"/>
      <c r="QJJ1" s="305"/>
      <c r="QJK1" s="305"/>
      <c r="QJL1" s="305"/>
      <c r="QJM1" s="305"/>
      <c r="QJN1" s="305"/>
      <c r="QJO1" s="305"/>
      <c r="QJP1" s="305"/>
      <c r="QJQ1" s="305"/>
      <c r="QJR1" s="305"/>
      <c r="QJS1" s="305"/>
      <c r="QJT1" s="305"/>
      <c r="QJU1" s="305"/>
      <c r="QJV1" s="305"/>
      <c r="QJW1" s="305"/>
      <c r="QJX1" s="305"/>
      <c r="QJY1" s="305"/>
      <c r="QJZ1" s="305"/>
      <c r="QKA1" s="305"/>
      <c r="QKB1" s="305"/>
      <c r="QKC1" s="305"/>
      <c r="QKD1" s="305"/>
      <c r="QKE1" s="305"/>
      <c r="QKF1" s="305"/>
      <c r="QKG1" s="305"/>
      <c r="QKH1" s="305"/>
      <c r="QKI1" s="305"/>
      <c r="QKJ1" s="305"/>
      <c r="QKK1" s="305"/>
      <c r="QKL1" s="305"/>
      <c r="QKM1" s="305"/>
      <c r="QKN1" s="305"/>
      <c r="QKO1" s="305"/>
      <c r="QKP1" s="305"/>
      <c r="QKQ1" s="305"/>
      <c r="QKR1" s="305"/>
      <c r="QKS1" s="305"/>
      <c r="QKT1" s="305"/>
      <c r="QKU1" s="305"/>
      <c r="QKV1" s="305"/>
      <c r="QKW1" s="305"/>
      <c r="QKX1" s="305"/>
      <c r="QKY1" s="305"/>
      <c r="QKZ1" s="305"/>
      <c r="QLA1" s="305"/>
      <c r="QLB1" s="305"/>
      <c r="QLC1" s="305"/>
      <c r="QLD1" s="305"/>
      <c r="QLE1" s="305"/>
      <c r="QLF1" s="305"/>
      <c r="QLG1" s="305"/>
      <c r="QLH1" s="305"/>
      <c r="QLI1" s="305"/>
      <c r="QLJ1" s="305"/>
      <c r="QLK1" s="305"/>
      <c r="QLL1" s="305"/>
      <c r="QLM1" s="305"/>
      <c r="QLN1" s="305"/>
      <c r="QLO1" s="305"/>
      <c r="QLP1" s="305"/>
      <c r="QLQ1" s="305"/>
      <c r="QLR1" s="305"/>
      <c r="QLS1" s="305"/>
      <c r="QLT1" s="305"/>
      <c r="QLU1" s="305"/>
      <c r="QLV1" s="305"/>
      <c r="QLW1" s="305"/>
      <c r="QLX1" s="305"/>
      <c r="QLY1" s="305"/>
      <c r="QLZ1" s="305"/>
      <c r="QMA1" s="305"/>
      <c r="QMB1" s="305"/>
      <c r="QMC1" s="305"/>
      <c r="QMD1" s="305"/>
      <c r="QME1" s="305"/>
      <c r="QMF1" s="305"/>
      <c r="QMG1" s="305"/>
      <c r="QMH1" s="305"/>
      <c r="QMI1" s="305"/>
      <c r="QMJ1" s="305"/>
      <c r="QMK1" s="305"/>
      <c r="QML1" s="305"/>
      <c r="QMM1" s="305"/>
      <c r="QMN1" s="305"/>
      <c r="QMO1" s="305"/>
      <c r="QMP1" s="305"/>
      <c r="QMQ1" s="305"/>
      <c r="QMR1" s="305"/>
      <c r="QMS1" s="305"/>
      <c r="QMT1" s="305"/>
      <c r="QMU1" s="305"/>
      <c r="QMV1" s="305"/>
      <c r="QMW1" s="305"/>
      <c r="QMX1" s="305"/>
      <c r="QMY1" s="305"/>
      <c r="QMZ1" s="305"/>
      <c r="QNA1" s="305"/>
      <c r="QNB1" s="305"/>
      <c r="QNC1" s="305"/>
      <c r="QND1" s="305"/>
      <c r="QNE1" s="305"/>
      <c r="QNF1" s="305"/>
      <c r="QNG1" s="305"/>
      <c r="QNH1" s="305"/>
      <c r="QNI1" s="305"/>
      <c r="QNJ1" s="305"/>
      <c r="QNK1" s="305"/>
      <c r="QNL1" s="305"/>
      <c r="QNM1" s="305"/>
      <c r="QNN1" s="305"/>
      <c r="QNO1" s="305"/>
      <c r="QNP1" s="305"/>
      <c r="QNQ1" s="305"/>
      <c r="QNR1" s="305"/>
      <c r="QNS1" s="305"/>
      <c r="QNT1" s="305"/>
      <c r="QNU1" s="305"/>
      <c r="QNV1" s="305"/>
      <c r="QNW1" s="305"/>
      <c r="QNX1" s="305"/>
      <c r="QNY1" s="305"/>
      <c r="QNZ1" s="305"/>
      <c r="QOA1" s="305"/>
      <c r="QOB1" s="305"/>
      <c r="QOC1" s="305"/>
      <c r="QOD1" s="305"/>
      <c r="QOE1" s="305"/>
      <c r="QOF1" s="305"/>
      <c r="QOG1" s="305"/>
      <c r="QOH1" s="305"/>
      <c r="QOI1" s="305"/>
      <c r="QOJ1" s="305"/>
      <c r="QOK1" s="305"/>
      <c r="QOL1" s="305"/>
      <c r="QOM1" s="305"/>
      <c r="QON1" s="305"/>
      <c r="QOO1" s="305"/>
      <c r="QOP1" s="305"/>
      <c r="QOQ1" s="305"/>
      <c r="QOR1" s="305"/>
      <c r="QOS1" s="305"/>
      <c r="QOT1" s="305"/>
      <c r="QOU1" s="305"/>
      <c r="QOV1" s="305"/>
      <c r="QOW1" s="305"/>
      <c r="QOX1" s="305"/>
      <c r="QOY1" s="305"/>
      <c r="QOZ1" s="305"/>
      <c r="QPA1" s="305"/>
      <c r="QPB1" s="305"/>
      <c r="QPC1" s="305"/>
      <c r="QPD1" s="305"/>
      <c r="QPE1" s="305"/>
      <c r="QPF1" s="305"/>
      <c r="QPG1" s="305"/>
      <c r="QPH1" s="305"/>
      <c r="QPI1" s="305"/>
      <c r="QPJ1" s="305"/>
      <c r="QPK1" s="305"/>
      <c r="QPL1" s="305"/>
      <c r="QPM1" s="305"/>
      <c r="QPN1" s="305"/>
      <c r="QPO1" s="305"/>
      <c r="QPP1" s="305"/>
      <c r="QPQ1" s="305"/>
      <c r="QPR1" s="305"/>
      <c r="QPS1" s="305"/>
      <c r="QPT1" s="305"/>
      <c r="QPU1" s="305"/>
      <c r="QPV1" s="305"/>
      <c r="QPW1" s="305"/>
      <c r="QPX1" s="305"/>
      <c r="QPY1" s="305"/>
      <c r="QPZ1" s="305"/>
      <c r="QQA1" s="305"/>
      <c r="QQB1" s="305"/>
      <c r="QQC1" s="305"/>
      <c r="QQD1" s="305"/>
      <c r="QQE1" s="305"/>
      <c r="QQF1" s="305"/>
      <c r="QQG1" s="305"/>
      <c r="QQH1" s="305"/>
      <c r="QQI1" s="305"/>
      <c r="QQJ1" s="305"/>
      <c r="QQK1" s="305"/>
      <c r="QQL1" s="305"/>
      <c r="QQM1" s="305"/>
      <c r="QQN1" s="305"/>
      <c r="QQO1" s="305"/>
      <c r="QQP1" s="305"/>
      <c r="QQQ1" s="305"/>
      <c r="QQR1" s="305"/>
      <c r="QQS1" s="305"/>
      <c r="QQT1" s="305"/>
      <c r="QQU1" s="305"/>
      <c r="QQV1" s="305"/>
      <c r="QQW1" s="305"/>
      <c r="QQX1" s="305"/>
      <c r="QQY1" s="305"/>
      <c r="QQZ1" s="305"/>
      <c r="QRA1" s="305"/>
      <c r="QRB1" s="305"/>
      <c r="QRC1" s="305"/>
      <c r="QRD1" s="305"/>
      <c r="QRE1" s="305"/>
      <c r="QRF1" s="305"/>
      <c r="QRG1" s="305"/>
      <c r="QRH1" s="305"/>
      <c r="QRI1" s="305"/>
      <c r="QRJ1" s="305"/>
      <c r="QRK1" s="305"/>
      <c r="QRL1" s="305"/>
      <c r="QRM1" s="305"/>
      <c r="QRN1" s="305"/>
      <c r="QRO1" s="305"/>
      <c r="QRP1" s="305"/>
      <c r="QRQ1" s="305"/>
      <c r="QRR1" s="305"/>
      <c r="QRS1" s="305"/>
      <c r="QRT1" s="305"/>
      <c r="QRU1" s="305"/>
      <c r="QRV1" s="305"/>
      <c r="QRW1" s="305"/>
      <c r="QRX1" s="305"/>
      <c r="QRY1" s="305"/>
      <c r="QRZ1" s="305"/>
      <c r="QSA1" s="305"/>
      <c r="QSB1" s="305"/>
      <c r="QSC1" s="305"/>
      <c r="QSD1" s="305"/>
      <c r="QSE1" s="305"/>
      <c r="QSF1" s="305"/>
      <c r="QSG1" s="305"/>
      <c r="QSH1" s="305"/>
      <c r="QSI1" s="305"/>
      <c r="QSJ1" s="305"/>
      <c r="QSK1" s="305"/>
      <c r="QSL1" s="305"/>
      <c r="QSM1" s="305"/>
      <c r="QSN1" s="305"/>
      <c r="QSO1" s="305"/>
      <c r="QSP1" s="305"/>
      <c r="QSQ1" s="305"/>
      <c r="QSR1" s="305"/>
      <c r="QSS1" s="305"/>
      <c r="QST1" s="305"/>
      <c r="QSU1" s="305"/>
      <c r="QSV1" s="305"/>
      <c r="QSW1" s="305"/>
      <c r="QSX1" s="305"/>
      <c r="QSY1" s="305"/>
      <c r="QSZ1" s="305"/>
      <c r="QTA1" s="305"/>
      <c r="QTB1" s="305"/>
      <c r="QTC1" s="305"/>
      <c r="QTD1" s="305"/>
      <c r="QTE1" s="305"/>
      <c r="QTF1" s="305"/>
      <c r="QTG1" s="305"/>
      <c r="QTH1" s="305"/>
      <c r="QTI1" s="305"/>
      <c r="QTJ1" s="305"/>
      <c r="QTK1" s="305"/>
      <c r="QTL1" s="305"/>
      <c r="QTM1" s="305"/>
      <c r="QTN1" s="305"/>
      <c r="QTO1" s="305"/>
      <c r="QTP1" s="305"/>
      <c r="QTQ1" s="305"/>
      <c r="QTR1" s="305"/>
      <c r="QTS1" s="305"/>
      <c r="QTT1" s="305"/>
      <c r="QTU1" s="305"/>
      <c r="QTV1" s="305"/>
      <c r="QTW1" s="305"/>
      <c r="QTX1" s="305"/>
      <c r="QTY1" s="305"/>
      <c r="QTZ1" s="305"/>
      <c r="QUA1" s="305"/>
      <c r="QUB1" s="305"/>
      <c r="QUC1" s="305"/>
      <c r="QUD1" s="305"/>
      <c r="QUE1" s="305"/>
      <c r="QUF1" s="305"/>
      <c r="QUG1" s="305"/>
      <c r="QUH1" s="305"/>
      <c r="QUI1" s="305"/>
      <c r="QUJ1" s="305"/>
      <c r="QUK1" s="305"/>
      <c r="QUL1" s="305"/>
      <c r="QUM1" s="305"/>
      <c r="QUN1" s="305"/>
      <c r="QUO1" s="305"/>
      <c r="QUP1" s="305"/>
      <c r="QUQ1" s="305"/>
      <c r="QUR1" s="305"/>
      <c r="QUS1" s="305"/>
      <c r="QUT1" s="305"/>
      <c r="QUU1" s="305"/>
      <c r="QUV1" s="305"/>
      <c r="QUW1" s="305"/>
      <c r="QUX1" s="305"/>
      <c r="QUY1" s="305"/>
      <c r="QUZ1" s="305"/>
      <c r="QVA1" s="305"/>
      <c r="QVB1" s="305"/>
      <c r="QVC1" s="305"/>
      <c r="QVD1" s="305"/>
      <c r="QVE1" s="305"/>
      <c r="QVF1" s="305"/>
      <c r="QVG1" s="305"/>
      <c r="QVH1" s="305"/>
      <c r="QVI1" s="305"/>
      <c r="QVJ1" s="305"/>
      <c r="QVK1" s="305"/>
      <c r="QVL1" s="305"/>
      <c r="QVM1" s="305"/>
      <c r="QVN1" s="305"/>
      <c r="QVO1" s="305"/>
      <c r="QVP1" s="305"/>
      <c r="QVQ1" s="305"/>
      <c r="QVR1" s="305"/>
      <c r="QVS1" s="305"/>
      <c r="QVT1" s="305"/>
      <c r="QVU1" s="305"/>
      <c r="QVV1" s="305"/>
      <c r="QVW1" s="305"/>
      <c r="QVX1" s="305"/>
      <c r="QVY1" s="305"/>
      <c r="QVZ1" s="305"/>
      <c r="QWA1" s="305"/>
      <c r="QWB1" s="305"/>
      <c r="QWC1" s="305"/>
      <c r="QWD1" s="305"/>
      <c r="QWE1" s="305"/>
      <c r="QWF1" s="305"/>
      <c r="QWG1" s="305"/>
      <c r="QWH1" s="305"/>
      <c r="QWI1" s="305"/>
      <c r="QWJ1" s="305"/>
      <c r="QWK1" s="305"/>
      <c r="QWL1" s="305"/>
      <c r="QWM1" s="305"/>
      <c r="QWN1" s="305"/>
      <c r="QWO1" s="305"/>
      <c r="QWP1" s="305"/>
      <c r="QWQ1" s="305"/>
      <c r="QWR1" s="305"/>
      <c r="QWS1" s="305"/>
      <c r="QWT1" s="305"/>
      <c r="QWU1" s="305"/>
      <c r="QWV1" s="305"/>
      <c r="QWW1" s="305"/>
      <c r="QWX1" s="305"/>
      <c r="QWY1" s="305"/>
      <c r="QWZ1" s="305"/>
      <c r="QXA1" s="305"/>
      <c r="QXB1" s="305"/>
      <c r="QXC1" s="305"/>
      <c r="QXD1" s="305"/>
      <c r="QXE1" s="305"/>
      <c r="QXF1" s="305"/>
      <c r="QXG1" s="305"/>
      <c r="QXH1" s="305"/>
      <c r="QXI1" s="305"/>
      <c r="QXJ1" s="305"/>
      <c r="QXK1" s="305"/>
      <c r="QXL1" s="305"/>
      <c r="QXM1" s="305"/>
      <c r="QXN1" s="305"/>
      <c r="QXO1" s="305"/>
      <c r="QXP1" s="305"/>
      <c r="QXQ1" s="305"/>
      <c r="QXR1" s="305"/>
      <c r="QXS1" s="305"/>
      <c r="QXT1" s="305"/>
      <c r="QXU1" s="305"/>
      <c r="QXV1" s="305"/>
      <c r="QXW1" s="305"/>
      <c r="QXX1" s="305"/>
      <c r="QXY1" s="305"/>
      <c r="QXZ1" s="305"/>
      <c r="QYA1" s="305"/>
      <c r="QYB1" s="305"/>
      <c r="QYC1" s="305"/>
      <c r="QYD1" s="305"/>
      <c r="QYE1" s="305"/>
      <c r="QYF1" s="305"/>
      <c r="QYG1" s="305"/>
      <c r="QYH1" s="305"/>
      <c r="QYI1" s="305"/>
      <c r="QYJ1" s="305"/>
      <c r="QYK1" s="305"/>
      <c r="QYL1" s="305"/>
      <c r="QYM1" s="305"/>
      <c r="QYN1" s="305"/>
      <c r="QYO1" s="305"/>
      <c r="QYP1" s="305"/>
      <c r="QYQ1" s="305"/>
      <c r="QYR1" s="305"/>
      <c r="QYS1" s="305"/>
      <c r="QYT1" s="305"/>
      <c r="QYU1" s="305"/>
      <c r="QYV1" s="305"/>
      <c r="QYW1" s="305"/>
      <c r="QYX1" s="305"/>
      <c r="QYY1" s="305"/>
      <c r="QYZ1" s="305"/>
      <c r="QZA1" s="305"/>
      <c r="QZB1" s="305"/>
      <c r="QZC1" s="305"/>
      <c r="QZD1" s="305"/>
      <c r="QZE1" s="305"/>
      <c r="QZF1" s="305"/>
      <c r="QZG1" s="305"/>
      <c r="QZH1" s="305"/>
      <c r="QZI1" s="305"/>
      <c r="QZJ1" s="305"/>
      <c r="QZK1" s="305"/>
      <c r="QZL1" s="305"/>
      <c r="QZM1" s="305"/>
      <c r="QZN1" s="305"/>
      <c r="QZO1" s="305"/>
      <c r="QZP1" s="305"/>
      <c r="QZQ1" s="305"/>
      <c r="QZR1" s="305"/>
      <c r="QZS1" s="305"/>
      <c r="QZT1" s="305"/>
      <c r="QZU1" s="305"/>
      <c r="QZV1" s="305"/>
      <c r="QZW1" s="305"/>
      <c r="QZX1" s="305"/>
      <c r="QZY1" s="305"/>
      <c r="QZZ1" s="305"/>
      <c r="RAA1" s="305"/>
      <c r="RAB1" s="305"/>
      <c r="RAC1" s="305"/>
      <c r="RAD1" s="305"/>
      <c r="RAE1" s="305"/>
      <c r="RAF1" s="305"/>
      <c r="RAG1" s="305"/>
      <c r="RAH1" s="305"/>
      <c r="RAI1" s="305"/>
      <c r="RAJ1" s="305"/>
      <c r="RAK1" s="305"/>
      <c r="RAL1" s="305"/>
      <c r="RAM1" s="305"/>
      <c r="RAN1" s="305"/>
      <c r="RAO1" s="305"/>
      <c r="RAP1" s="305"/>
      <c r="RAQ1" s="305"/>
      <c r="RAR1" s="305"/>
      <c r="RAS1" s="305"/>
      <c r="RAT1" s="305"/>
      <c r="RAU1" s="305"/>
      <c r="RAV1" s="305"/>
      <c r="RAW1" s="305"/>
      <c r="RAX1" s="305"/>
      <c r="RAY1" s="305"/>
      <c r="RAZ1" s="305"/>
      <c r="RBA1" s="305"/>
      <c r="RBB1" s="305"/>
      <c r="RBC1" s="305"/>
      <c r="RBD1" s="305"/>
      <c r="RBE1" s="305"/>
      <c r="RBF1" s="305"/>
      <c r="RBG1" s="305"/>
      <c r="RBH1" s="305"/>
      <c r="RBI1" s="305"/>
      <c r="RBJ1" s="305"/>
      <c r="RBK1" s="305"/>
      <c r="RBL1" s="305"/>
      <c r="RBM1" s="305"/>
      <c r="RBN1" s="305"/>
      <c r="RBO1" s="305"/>
      <c r="RBP1" s="305"/>
      <c r="RBQ1" s="305"/>
      <c r="RBR1" s="305"/>
      <c r="RBS1" s="305"/>
      <c r="RBT1" s="305"/>
      <c r="RBU1" s="305"/>
      <c r="RBV1" s="305"/>
      <c r="RBW1" s="305"/>
      <c r="RBX1" s="305"/>
      <c r="RBY1" s="305"/>
      <c r="RBZ1" s="305"/>
      <c r="RCA1" s="305"/>
      <c r="RCB1" s="305"/>
      <c r="RCC1" s="305"/>
      <c r="RCD1" s="305"/>
      <c r="RCE1" s="305"/>
      <c r="RCF1" s="305"/>
      <c r="RCG1" s="305"/>
      <c r="RCH1" s="305"/>
      <c r="RCI1" s="305"/>
      <c r="RCJ1" s="305"/>
      <c r="RCK1" s="305"/>
      <c r="RCL1" s="305"/>
      <c r="RCM1" s="305"/>
      <c r="RCN1" s="305"/>
      <c r="RCO1" s="305"/>
      <c r="RCP1" s="305"/>
      <c r="RCQ1" s="305"/>
      <c r="RCR1" s="305"/>
      <c r="RCS1" s="305"/>
      <c r="RCT1" s="305"/>
      <c r="RCU1" s="305"/>
      <c r="RCV1" s="305"/>
      <c r="RCW1" s="305"/>
      <c r="RCX1" s="305"/>
      <c r="RCY1" s="305"/>
      <c r="RCZ1" s="305"/>
      <c r="RDA1" s="305"/>
      <c r="RDB1" s="305"/>
      <c r="RDC1" s="305"/>
      <c r="RDD1" s="305"/>
      <c r="RDE1" s="305"/>
      <c r="RDF1" s="305"/>
      <c r="RDG1" s="305"/>
      <c r="RDH1" s="305"/>
      <c r="RDI1" s="305"/>
      <c r="RDJ1" s="305"/>
      <c r="RDK1" s="305"/>
      <c r="RDL1" s="305"/>
      <c r="RDM1" s="305"/>
      <c r="RDN1" s="305"/>
      <c r="RDO1" s="305"/>
      <c r="RDP1" s="305"/>
      <c r="RDQ1" s="305"/>
      <c r="RDR1" s="305"/>
      <c r="RDS1" s="305"/>
      <c r="RDT1" s="305"/>
      <c r="RDU1" s="305"/>
      <c r="RDV1" s="305"/>
      <c r="RDW1" s="305"/>
      <c r="RDX1" s="305"/>
      <c r="RDY1" s="305"/>
      <c r="RDZ1" s="305"/>
      <c r="REA1" s="305"/>
      <c r="REB1" s="305"/>
      <c r="REC1" s="305"/>
      <c r="RED1" s="305"/>
      <c r="REE1" s="305"/>
      <c r="REF1" s="305"/>
      <c r="REG1" s="305"/>
      <c r="REH1" s="305"/>
      <c r="REI1" s="305"/>
      <c r="REJ1" s="305"/>
      <c r="REK1" s="305"/>
      <c r="REL1" s="305"/>
      <c r="REM1" s="305"/>
      <c r="REN1" s="305"/>
      <c r="REO1" s="305"/>
      <c r="REP1" s="305"/>
      <c r="REQ1" s="305"/>
      <c r="RER1" s="305"/>
      <c r="RES1" s="305"/>
      <c r="RET1" s="305"/>
      <c r="REU1" s="305"/>
      <c r="REV1" s="305"/>
      <c r="REW1" s="305"/>
      <c r="REX1" s="305"/>
      <c r="REY1" s="305"/>
      <c r="REZ1" s="305"/>
      <c r="RFA1" s="305"/>
      <c r="RFB1" s="305"/>
      <c r="RFC1" s="305"/>
      <c r="RFD1" s="305"/>
      <c r="RFE1" s="305"/>
      <c r="RFF1" s="305"/>
      <c r="RFG1" s="305"/>
      <c r="RFH1" s="305"/>
      <c r="RFI1" s="305"/>
      <c r="RFJ1" s="305"/>
      <c r="RFK1" s="305"/>
      <c r="RFL1" s="305"/>
      <c r="RFM1" s="305"/>
      <c r="RFN1" s="305"/>
      <c r="RFO1" s="305"/>
      <c r="RFP1" s="305"/>
      <c r="RFQ1" s="305"/>
      <c r="RFR1" s="305"/>
      <c r="RFS1" s="305"/>
      <c r="RFT1" s="305"/>
      <c r="RFU1" s="305"/>
      <c r="RFV1" s="305"/>
      <c r="RFW1" s="305"/>
      <c r="RFX1" s="305"/>
      <c r="RFY1" s="305"/>
      <c r="RFZ1" s="305"/>
      <c r="RGA1" s="305"/>
      <c r="RGB1" s="305"/>
      <c r="RGC1" s="305"/>
      <c r="RGD1" s="305"/>
      <c r="RGE1" s="305"/>
      <c r="RGF1" s="305"/>
      <c r="RGG1" s="305"/>
      <c r="RGH1" s="305"/>
      <c r="RGI1" s="305"/>
      <c r="RGJ1" s="305"/>
      <c r="RGK1" s="305"/>
      <c r="RGL1" s="305"/>
      <c r="RGM1" s="305"/>
      <c r="RGN1" s="305"/>
      <c r="RGO1" s="305"/>
      <c r="RGP1" s="305"/>
      <c r="RGQ1" s="305"/>
      <c r="RGR1" s="305"/>
      <c r="RGS1" s="305"/>
      <c r="RGT1" s="305"/>
      <c r="RGU1" s="305"/>
      <c r="RGV1" s="305"/>
      <c r="RGW1" s="305"/>
      <c r="RGX1" s="305"/>
      <c r="RGY1" s="305"/>
      <c r="RGZ1" s="305"/>
      <c r="RHA1" s="305"/>
      <c r="RHB1" s="305"/>
      <c r="RHC1" s="305"/>
      <c r="RHD1" s="305"/>
      <c r="RHE1" s="305"/>
      <c r="RHF1" s="305"/>
      <c r="RHG1" s="305"/>
      <c r="RHH1" s="305"/>
      <c r="RHI1" s="305"/>
      <c r="RHJ1" s="305"/>
      <c r="RHK1" s="305"/>
      <c r="RHL1" s="305"/>
      <c r="RHM1" s="305"/>
      <c r="RHN1" s="305"/>
      <c r="RHO1" s="305"/>
      <c r="RHP1" s="305"/>
      <c r="RHQ1" s="305"/>
      <c r="RHR1" s="305"/>
      <c r="RHS1" s="305"/>
      <c r="RHT1" s="305"/>
      <c r="RHU1" s="305"/>
      <c r="RHV1" s="305"/>
      <c r="RHW1" s="305"/>
      <c r="RHX1" s="305"/>
      <c r="RHY1" s="305"/>
      <c r="RHZ1" s="305"/>
      <c r="RIA1" s="305"/>
      <c r="RIB1" s="305"/>
      <c r="RIC1" s="305"/>
      <c r="RID1" s="305"/>
      <c r="RIE1" s="305"/>
      <c r="RIF1" s="305"/>
      <c r="RIG1" s="305"/>
      <c r="RIH1" s="305"/>
      <c r="RII1" s="305"/>
      <c r="RIJ1" s="305"/>
      <c r="RIK1" s="305"/>
      <c r="RIL1" s="305"/>
      <c r="RIM1" s="305"/>
      <c r="RIN1" s="305"/>
      <c r="RIO1" s="305"/>
      <c r="RIP1" s="305"/>
      <c r="RIQ1" s="305"/>
      <c r="RIR1" s="305"/>
      <c r="RIS1" s="305"/>
      <c r="RIT1" s="305"/>
      <c r="RIU1" s="305"/>
      <c r="RIV1" s="305"/>
      <c r="RIW1" s="305"/>
      <c r="RIX1" s="305"/>
      <c r="RIY1" s="305"/>
      <c r="RIZ1" s="305"/>
      <c r="RJA1" s="305"/>
      <c r="RJB1" s="305"/>
      <c r="RJC1" s="305"/>
      <c r="RJD1" s="305"/>
      <c r="RJE1" s="305"/>
      <c r="RJF1" s="305"/>
      <c r="RJG1" s="305"/>
      <c r="RJH1" s="305"/>
      <c r="RJI1" s="305"/>
      <c r="RJJ1" s="305"/>
      <c r="RJK1" s="305"/>
      <c r="RJL1" s="305"/>
      <c r="RJM1" s="305"/>
      <c r="RJN1" s="305"/>
      <c r="RJO1" s="305"/>
      <c r="RJP1" s="305"/>
      <c r="RJQ1" s="305"/>
      <c r="RJR1" s="305"/>
      <c r="RJS1" s="305"/>
      <c r="RJT1" s="305"/>
      <c r="RJU1" s="305"/>
      <c r="RJV1" s="305"/>
      <c r="RJW1" s="305"/>
      <c r="RJX1" s="305"/>
      <c r="RJY1" s="305"/>
      <c r="RJZ1" s="305"/>
      <c r="RKA1" s="305"/>
      <c r="RKB1" s="305"/>
      <c r="RKC1" s="305"/>
      <c r="RKD1" s="305"/>
      <c r="RKE1" s="305"/>
      <c r="RKF1" s="305"/>
      <c r="RKG1" s="305"/>
      <c r="RKH1" s="305"/>
      <c r="RKI1" s="305"/>
      <c r="RKJ1" s="305"/>
      <c r="RKK1" s="305"/>
      <c r="RKL1" s="305"/>
      <c r="RKM1" s="305"/>
      <c r="RKN1" s="305"/>
      <c r="RKO1" s="305"/>
      <c r="RKP1" s="305"/>
      <c r="RKQ1" s="305"/>
      <c r="RKR1" s="305"/>
      <c r="RKS1" s="305"/>
      <c r="RKT1" s="305"/>
      <c r="RKU1" s="305"/>
      <c r="RKV1" s="305"/>
      <c r="RKW1" s="305"/>
      <c r="RKX1" s="305"/>
      <c r="RKY1" s="305"/>
      <c r="RKZ1" s="305"/>
      <c r="RLA1" s="305"/>
      <c r="RLB1" s="305"/>
      <c r="RLC1" s="305"/>
      <c r="RLD1" s="305"/>
      <c r="RLE1" s="305"/>
      <c r="RLF1" s="305"/>
      <c r="RLG1" s="305"/>
      <c r="RLH1" s="305"/>
      <c r="RLI1" s="305"/>
      <c r="RLJ1" s="305"/>
      <c r="RLK1" s="305"/>
      <c r="RLL1" s="305"/>
      <c r="RLM1" s="305"/>
      <c r="RLN1" s="305"/>
      <c r="RLO1" s="305"/>
      <c r="RLP1" s="305"/>
      <c r="RLQ1" s="305"/>
      <c r="RLR1" s="305"/>
      <c r="RLS1" s="305"/>
      <c r="RLT1" s="305"/>
      <c r="RLU1" s="305"/>
      <c r="RLV1" s="305"/>
      <c r="RLW1" s="305"/>
      <c r="RLX1" s="305"/>
      <c r="RLY1" s="305"/>
      <c r="RLZ1" s="305"/>
      <c r="RMA1" s="305"/>
      <c r="RMB1" s="305"/>
      <c r="RMC1" s="305"/>
      <c r="RMD1" s="305"/>
      <c r="RME1" s="305"/>
      <c r="RMF1" s="305"/>
      <c r="RMG1" s="305"/>
      <c r="RMH1" s="305"/>
      <c r="RMI1" s="305"/>
      <c r="RMJ1" s="305"/>
      <c r="RMK1" s="305"/>
      <c r="RML1" s="305"/>
      <c r="RMM1" s="305"/>
      <c r="RMN1" s="305"/>
      <c r="RMO1" s="305"/>
      <c r="RMP1" s="305"/>
      <c r="RMQ1" s="305"/>
      <c r="RMR1" s="305"/>
      <c r="RMS1" s="305"/>
      <c r="RMT1" s="305"/>
      <c r="RMU1" s="305"/>
      <c r="RMV1" s="305"/>
      <c r="RMW1" s="305"/>
      <c r="RMX1" s="305"/>
      <c r="RMY1" s="305"/>
      <c r="RMZ1" s="305"/>
      <c r="RNA1" s="305"/>
      <c r="RNB1" s="305"/>
      <c r="RNC1" s="305"/>
      <c r="RND1" s="305"/>
      <c r="RNE1" s="305"/>
      <c r="RNF1" s="305"/>
      <c r="RNG1" s="305"/>
      <c r="RNH1" s="305"/>
      <c r="RNI1" s="305"/>
      <c r="RNJ1" s="305"/>
      <c r="RNK1" s="305"/>
      <c r="RNL1" s="305"/>
      <c r="RNM1" s="305"/>
      <c r="RNN1" s="305"/>
      <c r="RNO1" s="305"/>
      <c r="RNP1" s="305"/>
      <c r="RNQ1" s="305"/>
      <c r="RNR1" s="305"/>
      <c r="RNS1" s="305"/>
      <c r="RNT1" s="305"/>
      <c r="RNU1" s="305"/>
      <c r="RNV1" s="305"/>
      <c r="RNW1" s="305"/>
      <c r="RNX1" s="305"/>
      <c r="RNY1" s="305"/>
      <c r="RNZ1" s="305"/>
      <c r="ROA1" s="305"/>
      <c r="ROB1" s="305"/>
      <c r="ROC1" s="305"/>
      <c r="ROD1" s="305"/>
      <c r="ROE1" s="305"/>
      <c r="ROF1" s="305"/>
      <c r="ROG1" s="305"/>
      <c r="ROH1" s="305"/>
      <c r="ROI1" s="305"/>
      <c r="ROJ1" s="305"/>
      <c r="ROK1" s="305"/>
      <c r="ROL1" s="305"/>
      <c r="ROM1" s="305"/>
      <c r="RON1" s="305"/>
      <c r="ROO1" s="305"/>
      <c r="ROP1" s="305"/>
      <c r="ROQ1" s="305"/>
      <c r="ROR1" s="305"/>
      <c r="ROS1" s="305"/>
      <c r="ROT1" s="305"/>
      <c r="ROU1" s="305"/>
      <c r="ROV1" s="305"/>
      <c r="ROW1" s="305"/>
      <c r="ROX1" s="305"/>
      <c r="ROY1" s="305"/>
      <c r="ROZ1" s="305"/>
      <c r="RPA1" s="305"/>
      <c r="RPB1" s="305"/>
      <c r="RPC1" s="305"/>
      <c r="RPD1" s="305"/>
      <c r="RPE1" s="305"/>
      <c r="RPF1" s="305"/>
      <c r="RPG1" s="305"/>
      <c r="RPH1" s="305"/>
      <c r="RPI1" s="305"/>
      <c r="RPJ1" s="305"/>
      <c r="RPK1" s="305"/>
      <c r="RPL1" s="305"/>
      <c r="RPM1" s="305"/>
      <c r="RPN1" s="305"/>
      <c r="RPO1" s="305"/>
      <c r="RPP1" s="305"/>
      <c r="RPQ1" s="305"/>
      <c r="RPR1" s="305"/>
      <c r="RPS1" s="305"/>
      <c r="RPT1" s="305"/>
      <c r="RPU1" s="305"/>
      <c r="RPV1" s="305"/>
      <c r="RPW1" s="305"/>
      <c r="RPX1" s="305"/>
      <c r="RPY1" s="305"/>
      <c r="RPZ1" s="305"/>
      <c r="RQA1" s="305"/>
      <c r="RQB1" s="305"/>
      <c r="RQC1" s="305"/>
      <c r="RQD1" s="305"/>
      <c r="RQE1" s="305"/>
      <c r="RQF1" s="305"/>
      <c r="RQG1" s="305"/>
      <c r="RQH1" s="305"/>
      <c r="RQI1" s="305"/>
      <c r="RQJ1" s="305"/>
      <c r="RQK1" s="305"/>
      <c r="RQL1" s="305"/>
      <c r="RQM1" s="305"/>
      <c r="RQN1" s="305"/>
      <c r="RQO1" s="305"/>
      <c r="RQP1" s="305"/>
      <c r="RQQ1" s="305"/>
      <c r="RQR1" s="305"/>
      <c r="RQS1" s="305"/>
      <c r="RQT1" s="305"/>
      <c r="RQU1" s="305"/>
      <c r="RQV1" s="305"/>
      <c r="RQW1" s="305"/>
      <c r="RQX1" s="305"/>
      <c r="RQY1" s="305"/>
      <c r="RQZ1" s="305"/>
      <c r="RRA1" s="305"/>
      <c r="RRB1" s="305"/>
      <c r="RRC1" s="305"/>
      <c r="RRD1" s="305"/>
      <c r="RRE1" s="305"/>
      <c r="RRF1" s="305"/>
      <c r="RRG1" s="305"/>
      <c r="RRH1" s="305"/>
      <c r="RRI1" s="305"/>
      <c r="RRJ1" s="305"/>
      <c r="RRK1" s="305"/>
      <c r="RRL1" s="305"/>
      <c r="RRM1" s="305"/>
      <c r="RRN1" s="305"/>
      <c r="RRO1" s="305"/>
      <c r="RRP1" s="305"/>
      <c r="RRQ1" s="305"/>
      <c r="RRR1" s="305"/>
      <c r="RRS1" s="305"/>
      <c r="RRT1" s="305"/>
      <c r="RRU1" s="305"/>
      <c r="RRV1" s="305"/>
      <c r="RRW1" s="305"/>
      <c r="RRX1" s="305"/>
      <c r="RRY1" s="305"/>
      <c r="RRZ1" s="305"/>
      <c r="RSA1" s="305"/>
      <c r="RSB1" s="305"/>
      <c r="RSC1" s="305"/>
      <c r="RSD1" s="305"/>
      <c r="RSE1" s="305"/>
      <c r="RSF1" s="305"/>
      <c r="RSG1" s="305"/>
      <c r="RSH1" s="305"/>
      <c r="RSI1" s="305"/>
      <c r="RSJ1" s="305"/>
      <c r="RSK1" s="305"/>
      <c r="RSL1" s="305"/>
      <c r="RSM1" s="305"/>
      <c r="RSN1" s="305"/>
      <c r="RSO1" s="305"/>
      <c r="RSP1" s="305"/>
      <c r="RSQ1" s="305"/>
      <c r="RSR1" s="305"/>
      <c r="RSS1" s="305"/>
      <c r="RST1" s="305"/>
      <c r="RSU1" s="305"/>
      <c r="RSV1" s="305"/>
      <c r="RSW1" s="305"/>
      <c r="RSX1" s="305"/>
      <c r="RSY1" s="305"/>
      <c r="RSZ1" s="305"/>
      <c r="RTA1" s="305"/>
      <c r="RTB1" s="305"/>
      <c r="RTC1" s="305"/>
      <c r="RTD1" s="305"/>
      <c r="RTE1" s="305"/>
      <c r="RTF1" s="305"/>
      <c r="RTG1" s="305"/>
      <c r="RTH1" s="305"/>
      <c r="RTI1" s="305"/>
      <c r="RTJ1" s="305"/>
      <c r="RTK1" s="305"/>
      <c r="RTL1" s="305"/>
      <c r="RTM1" s="305"/>
      <c r="RTN1" s="305"/>
      <c r="RTO1" s="305"/>
      <c r="RTP1" s="305"/>
      <c r="RTQ1" s="305"/>
      <c r="RTR1" s="305"/>
      <c r="RTS1" s="305"/>
      <c r="RTT1" s="305"/>
      <c r="RTU1" s="305"/>
      <c r="RTV1" s="305"/>
      <c r="RTW1" s="305"/>
      <c r="RTX1" s="305"/>
      <c r="RTY1" s="305"/>
      <c r="RTZ1" s="305"/>
      <c r="RUA1" s="305"/>
      <c r="RUB1" s="305"/>
      <c r="RUC1" s="305"/>
      <c r="RUD1" s="305"/>
      <c r="RUE1" s="305"/>
      <c r="RUF1" s="305"/>
      <c r="RUG1" s="305"/>
      <c r="RUH1" s="305"/>
      <c r="RUI1" s="305"/>
      <c r="RUJ1" s="305"/>
      <c r="RUK1" s="305"/>
      <c r="RUL1" s="305"/>
      <c r="RUM1" s="305"/>
      <c r="RUN1" s="305"/>
      <c r="RUO1" s="305"/>
      <c r="RUP1" s="305"/>
      <c r="RUQ1" s="305"/>
      <c r="RUR1" s="305"/>
      <c r="RUS1" s="305"/>
      <c r="RUT1" s="305"/>
      <c r="RUU1" s="305"/>
      <c r="RUV1" s="305"/>
      <c r="RUW1" s="305"/>
      <c r="RUX1" s="305"/>
      <c r="RUY1" s="305"/>
      <c r="RUZ1" s="305"/>
      <c r="RVA1" s="305"/>
      <c r="RVB1" s="305"/>
      <c r="RVC1" s="305"/>
      <c r="RVD1" s="305"/>
      <c r="RVE1" s="305"/>
      <c r="RVF1" s="305"/>
      <c r="RVG1" s="305"/>
      <c r="RVH1" s="305"/>
      <c r="RVI1" s="305"/>
      <c r="RVJ1" s="305"/>
      <c r="RVK1" s="305"/>
      <c r="RVL1" s="305"/>
      <c r="RVM1" s="305"/>
      <c r="RVN1" s="305"/>
      <c r="RVO1" s="305"/>
      <c r="RVP1" s="305"/>
      <c r="RVQ1" s="305"/>
      <c r="RVR1" s="305"/>
      <c r="RVS1" s="305"/>
      <c r="RVT1" s="305"/>
      <c r="RVU1" s="305"/>
      <c r="RVV1" s="305"/>
      <c r="RVW1" s="305"/>
      <c r="RVX1" s="305"/>
      <c r="RVY1" s="305"/>
      <c r="RVZ1" s="305"/>
      <c r="RWA1" s="305"/>
      <c r="RWB1" s="305"/>
      <c r="RWC1" s="305"/>
      <c r="RWD1" s="305"/>
      <c r="RWE1" s="305"/>
      <c r="RWF1" s="305"/>
      <c r="RWG1" s="305"/>
      <c r="RWH1" s="305"/>
      <c r="RWI1" s="305"/>
      <c r="RWJ1" s="305"/>
      <c r="RWK1" s="305"/>
      <c r="RWL1" s="305"/>
      <c r="RWM1" s="305"/>
      <c r="RWN1" s="305"/>
      <c r="RWO1" s="305"/>
      <c r="RWP1" s="305"/>
      <c r="RWQ1" s="305"/>
      <c r="RWR1" s="305"/>
      <c r="RWS1" s="305"/>
      <c r="RWT1" s="305"/>
      <c r="RWU1" s="305"/>
      <c r="RWV1" s="305"/>
      <c r="RWW1" s="305"/>
      <c r="RWX1" s="305"/>
      <c r="RWY1" s="305"/>
      <c r="RWZ1" s="305"/>
      <c r="RXA1" s="305"/>
      <c r="RXB1" s="305"/>
      <c r="RXC1" s="305"/>
      <c r="RXD1" s="305"/>
      <c r="RXE1" s="305"/>
      <c r="RXF1" s="305"/>
      <c r="RXG1" s="305"/>
      <c r="RXH1" s="305"/>
      <c r="RXI1" s="305"/>
      <c r="RXJ1" s="305"/>
      <c r="RXK1" s="305"/>
      <c r="RXL1" s="305"/>
      <c r="RXM1" s="305"/>
      <c r="RXN1" s="305"/>
      <c r="RXO1" s="305"/>
      <c r="RXP1" s="305"/>
      <c r="RXQ1" s="305"/>
      <c r="RXR1" s="305"/>
      <c r="RXS1" s="305"/>
      <c r="RXT1" s="305"/>
      <c r="RXU1" s="305"/>
      <c r="RXV1" s="305"/>
      <c r="RXW1" s="305"/>
      <c r="RXX1" s="305"/>
      <c r="RXY1" s="305"/>
      <c r="RXZ1" s="305"/>
      <c r="RYA1" s="305"/>
      <c r="RYB1" s="305"/>
      <c r="RYC1" s="305"/>
      <c r="RYD1" s="305"/>
      <c r="RYE1" s="305"/>
      <c r="RYF1" s="305"/>
      <c r="RYG1" s="305"/>
      <c r="RYH1" s="305"/>
      <c r="RYI1" s="305"/>
      <c r="RYJ1" s="305"/>
      <c r="RYK1" s="305"/>
      <c r="RYL1" s="305"/>
      <c r="RYM1" s="305"/>
      <c r="RYN1" s="305"/>
      <c r="RYO1" s="305"/>
      <c r="RYP1" s="305"/>
      <c r="RYQ1" s="305"/>
      <c r="RYR1" s="305"/>
      <c r="RYS1" s="305"/>
      <c r="RYT1" s="305"/>
      <c r="RYU1" s="305"/>
      <c r="RYV1" s="305"/>
      <c r="RYW1" s="305"/>
      <c r="RYX1" s="305"/>
      <c r="RYY1" s="305"/>
      <c r="RYZ1" s="305"/>
      <c r="RZA1" s="305"/>
      <c r="RZB1" s="305"/>
      <c r="RZC1" s="305"/>
      <c r="RZD1" s="305"/>
      <c r="RZE1" s="305"/>
      <c r="RZF1" s="305"/>
      <c r="RZG1" s="305"/>
      <c r="RZH1" s="305"/>
      <c r="RZI1" s="305"/>
      <c r="RZJ1" s="305"/>
      <c r="RZK1" s="305"/>
      <c r="RZL1" s="305"/>
      <c r="RZM1" s="305"/>
      <c r="RZN1" s="305"/>
      <c r="RZO1" s="305"/>
      <c r="RZP1" s="305"/>
      <c r="RZQ1" s="305"/>
      <c r="RZR1" s="305"/>
      <c r="RZS1" s="305"/>
      <c r="RZT1" s="305"/>
      <c r="RZU1" s="305"/>
      <c r="RZV1" s="305"/>
      <c r="RZW1" s="305"/>
      <c r="RZX1" s="305"/>
      <c r="RZY1" s="305"/>
      <c r="RZZ1" s="305"/>
      <c r="SAA1" s="305"/>
      <c r="SAB1" s="305"/>
      <c r="SAC1" s="305"/>
      <c r="SAD1" s="305"/>
      <c r="SAE1" s="305"/>
      <c r="SAF1" s="305"/>
      <c r="SAG1" s="305"/>
      <c r="SAH1" s="305"/>
      <c r="SAI1" s="305"/>
      <c r="SAJ1" s="305"/>
      <c r="SAK1" s="305"/>
      <c r="SAL1" s="305"/>
      <c r="SAM1" s="305"/>
      <c r="SAN1" s="305"/>
      <c r="SAO1" s="305"/>
      <c r="SAP1" s="305"/>
      <c r="SAQ1" s="305"/>
      <c r="SAR1" s="305"/>
      <c r="SAS1" s="305"/>
      <c r="SAT1" s="305"/>
      <c r="SAU1" s="305"/>
      <c r="SAV1" s="305"/>
      <c r="SAW1" s="305"/>
      <c r="SAX1" s="305"/>
      <c r="SAY1" s="305"/>
      <c r="SAZ1" s="305"/>
      <c r="SBA1" s="305"/>
      <c r="SBB1" s="305"/>
      <c r="SBC1" s="305"/>
      <c r="SBD1" s="305"/>
      <c r="SBE1" s="305"/>
      <c r="SBF1" s="305"/>
      <c r="SBG1" s="305"/>
      <c r="SBH1" s="305"/>
      <c r="SBI1" s="305"/>
      <c r="SBJ1" s="305"/>
      <c r="SBK1" s="305"/>
      <c r="SBL1" s="305"/>
      <c r="SBM1" s="305"/>
      <c r="SBN1" s="305"/>
      <c r="SBO1" s="305"/>
      <c r="SBP1" s="305"/>
      <c r="SBQ1" s="305"/>
      <c r="SBR1" s="305"/>
      <c r="SBS1" s="305"/>
      <c r="SBT1" s="305"/>
      <c r="SBU1" s="305"/>
      <c r="SBV1" s="305"/>
      <c r="SBW1" s="305"/>
      <c r="SBX1" s="305"/>
      <c r="SBY1" s="305"/>
      <c r="SBZ1" s="305"/>
      <c r="SCA1" s="305"/>
      <c r="SCB1" s="305"/>
      <c r="SCC1" s="305"/>
      <c r="SCD1" s="305"/>
      <c r="SCE1" s="305"/>
      <c r="SCF1" s="305"/>
      <c r="SCG1" s="305"/>
      <c r="SCH1" s="305"/>
      <c r="SCI1" s="305"/>
      <c r="SCJ1" s="305"/>
      <c r="SCK1" s="305"/>
      <c r="SCL1" s="305"/>
      <c r="SCM1" s="305"/>
      <c r="SCN1" s="305"/>
      <c r="SCO1" s="305"/>
      <c r="SCP1" s="305"/>
      <c r="SCQ1" s="305"/>
      <c r="SCR1" s="305"/>
      <c r="SCS1" s="305"/>
      <c r="SCT1" s="305"/>
      <c r="SCU1" s="305"/>
      <c r="SCV1" s="305"/>
      <c r="SCW1" s="305"/>
      <c r="SCX1" s="305"/>
      <c r="SCY1" s="305"/>
      <c r="SCZ1" s="305"/>
      <c r="SDA1" s="305"/>
      <c r="SDB1" s="305"/>
      <c r="SDC1" s="305"/>
      <c r="SDD1" s="305"/>
      <c r="SDE1" s="305"/>
      <c r="SDF1" s="305"/>
      <c r="SDG1" s="305"/>
      <c r="SDH1" s="305"/>
      <c r="SDI1" s="305"/>
      <c r="SDJ1" s="305"/>
      <c r="SDK1" s="305"/>
      <c r="SDL1" s="305"/>
      <c r="SDM1" s="305"/>
      <c r="SDN1" s="305"/>
      <c r="SDO1" s="305"/>
      <c r="SDP1" s="305"/>
      <c r="SDQ1" s="305"/>
      <c r="SDR1" s="305"/>
      <c r="SDS1" s="305"/>
      <c r="SDT1" s="305"/>
      <c r="SDU1" s="305"/>
      <c r="SDV1" s="305"/>
      <c r="SDW1" s="305"/>
      <c r="SDX1" s="305"/>
      <c r="SDY1" s="305"/>
      <c r="SDZ1" s="305"/>
      <c r="SEA1" s="305"/>
      <c r="SEB1" s="305"/>
      <c r="SEC1" s="305"/>
      <c r="SED1" s="305"/>
      <c r="SEE1" s="305"/>
      <c r="SEF1" s="305"/>
      <c r="SEG1" s="305"/>
      <c r="SEH1" s="305"/>
      <c r="SEI1" s="305"/>
      <c r="SEJ1" s="305"/>
      <c r="SEK1" s="305"/>
      <c r="SEL1" s="305"/>
      <c r="SEM1" s="305"/>
      <c r="SEN1" s="305"/>
      <c r="SEO1" s="305"/>
      <c r="SEP1" s="305"/>
      <c r="SEQ1" s="305"/>
      <c r="SER1" s="305"/>
      <c r="SES1" s="305"/>
      <c r="SET1" s="305"/>
      <c r="SEU1" s="305"/>
      <c r="SEV1" s="305"/>
      <c r="SEW1" s="305"/>
      <c r="SEX1" s="305"/>
      <c r="SEY1" s="305"/>
      <c r="SEZ1" s="305"/>
      <c r="SFA1" s="305"/>
      <c r="SFB1" s="305"/>
      <c r="SFC1" s="305"/>
      <c r="SFD1" s="305"/>
      <c r="SFE1" s="305"/>
      <c r="SFF1" s="305"/>
      <c r="SFG1" s="305"/>
      <c r="SFH1" s="305"/>
      <c r="SFI1" s="305"/>
      <c r="SFJ1" s="305"/>
      <c r="SFK1" s="305"/>
      <c r="SFL1" s="305"/>
      <c r="SFM1" s="305"/>
      <c r="SFN1" s="305"/>
      <c r="SFO1" s="305"/>
      <c r="SFP1" s="305"/>
      <c r="SFQ1" s="305"/>
      <c r="SFR1" s="305"/>
      <c r="SFS1" s="305"/>
      <c r="SFT1" s="305"/>
      <c r="SFU1" s="305"/>
      <c r="SFV1" s="305"/>
      <c r="SFW1" s="305"/>
      <c r="SFX1" s="305"/>
      <c r="SFY1" s="305"/>
      <c r="SFZ1" s="305"/>
      <c r="SGA1" s="305"/>
      <c r="SGB1" s="305"/>
      <c r="SGC1" s="305"/>
      <c r="SGD1" s="305"/>
      <c r="SGE1" s="305"/>
      <c r="SGF1" s="305"/>
      <c r="SGG1" s="305"/>
      <c r="SGH1" s="305"/>
      <c r="SGI1" s="305"/>
      <c r="SGJ1" s="305"/>
      <c r="SGK1" s="305"/>
      <c r="SGL1" s="305"/>
      <c r="SGM1" s="305"/>
      <c r="SGN1" s="305"/>
      <c r="SGO1" s="305"/>
      <c r="SGP1" s="305"/>
      <c r="SGQ1" s="305"/>
      <c r="SGR1" s="305"/>
      <c r="SGS1" s="305"/>
      <c r="SGT1" s="305"/>
      <c r="SGU1" s="305"/>
      <c r="SGV1" s="305"/>
      <c r="SGW1" s="305"/>
      <c r="SGX1" s="305"/>
      <c r="SGY1" s="305"/>
      <c r="SGZ1" s="305"/>
      <c r="SHA1" s="305"/>
      <c r="SHB1" s="305"/>
      <c r="SHC1" s="305"/>
      <c r="SHD1" s="305"/>
      <c r="SHE1" s="305"/>
      <c r="SHF1" s="305"/>
      <c r="SHG1" s="305"/>
      <c r="SHH1" s="305"/>
      <c r="SHI1" s="305"/>
      <c r="SHJ1" s="305"/>
      <c r="SHK1" s="305"/>
      <c r="SHL1" s="305"/>
      <c r="SHM1" s="305"/>
      <c r="SHN1" s="305"/>
      <c r="SHO1" s="305"/>
      <c r="SHP1" s="305"/>
      <c r="SHQ1" s="305"/>
      <c r="SHR1" s="305"/>
      <c r="SHS1" s="305"/>
      <c r="SHT1" s="305"/>
      <c r="SHU1" s="305"/>
      <c r="SHV1" s="305"/>
      <c r="SHW1" s="305"/>
      <c r="SHX1" s="305"/>
      <c r="SHY1" s="305"/>
      <c r="SHZ1" s="305"/>
      <c r="SIA1" s="305"/>
      <c r="SIB1" s="305"/>
      <c r="SIC1" s="305"/>
      <c r="SID1" s="305"/>
      <c r="SIE1" s="305"/>
      <c r="SIF1" s="305"/>
      <c r="SIG1" s="305"/>
      <c r="SIH1" s="305"/>
      <c r="SII1" s="305"/>
      <c r="SIJ1" s="305"/>
      <c r="SIK1" s="305"/>
      <c r="SIL1" s="305"/>
      <c r="SIM1" s="305"/>
      <c r="SIN1" s="305"/>
      <c r="SIO1" s="305"/>
      <c r="SIP1" s="305"/>
      <c r="SIQ1" s="305"/>
      <c r="SIR1" s="305"/>
      <c r="SIS1" s="305"/>
      <c r="SIT1" s="305"/>
      <c r="SIU1" s="305"/>
      <c r="SIV1" s="305"/>
      <c r="SIW1" s="305"/>
      <c r="SIX1" s="305"/>
      <c r="SIY1" s="305"/>
      <c r="SIZ1" s="305"/>
      <c r="SJA1" s="305"/>
      <c r="SJB1" s="305"/>
      <c r="SJC1" s="305"/>
      <c r="SJD1" s="305"/>
      <c r="SJE1" s="305"/>
      <c r="SJF1" s="305"/>
      <c r="SJG1" s="305"/>
      <c r="SJH1" s="305"/>
      <c r="SJI1" s="305"/>
      <c r="SJJ1" s="305"/>
      <c r="SJK1" s="305"/>
      <c r="SJL1" s="305"/>
      <c r="SJM1" s="305"/>
      <c r="SJN1" s="305"/>
      <c r="SJO1" s="305"/>
      <c r="SJP1" s="305"/>
      <c r="SJQ1" s="305"/>
      <c r="SJR1" s="305"/>
      <c r="SJS1" s="305"/>
      <c r="SJT1" s="305"/>
      <c r="SJU1" s="305"/>
      <c r="SJV1" s="305"/>
      <c r="SJW1" s="305"/>
      <c r="SJX1" s="305"/>
      <c r="SJY1" s="305"/>
      <c r="SJZ1" s="305"/>
      <c r="SKA1" s="305"/>
      <c r="SKB1" s="305"/>
      <c r="SKC1" s="305"/>
      <c r="SKD1" s="305"/>
      <c r="SKE1" s="305"/>
      <c r="SKF1" s="305"/>
      <c r="SKG1" s="305"/>
      <c r="SKH1" s="305"/>
      <c r="SKI1" s="305"/>
      <c r="SKJ1" s="305"/>
      <c r="SKK1" s="305"/>
      <c r="SKL1" s="305"/>
      <c r="SKM1" s="305"/>
      <c r="SKN1" s="305"/>
      <c r="SKO1" s="305"/>
      <c r="SKP1" s="305"/>
      <c r="SKQ1" s="305"/>
      <c r="SKR1" s="305"/>
      <c r="SKS1" s="305"/>
      <c r="SKT1" s="305"/>
      <c r="SKU1" s="305"/>
      <c r="SKV1" s="305"/>
      <c r="SKW1" s="305"/>
      <c r="SKX1" s="305"/>
      <c r="SKY1" s="305"/>
      <c r="SKZ1" s="305"/>
      <c r="SLA1" s="305"/>
      <c r="SLB1" s="305"/>
      <c r="SLC1" s="305"/>
      <c r="SLD1" s="305"/>
      <c r="SLE1" s="305"/>
      <c r="SLF1" s="305"/>
      <c r="SLG1" s="305"/>
      <c r="SLH1" s="305"/>
      <c r="SLI1" s="305"/>
      <c r="SLJ1" s="305"/>
      <c r="SLK1" s="305"/>
      <c r="SLL1" s="305"/>
      <c r="SLM1" s="305"/>
      <c r="SLN1" s="305"/>
      <c r="SLO1" s="305"/>
      <c r="SLP1" s="305"/>
      <c r="SLQ1" s="305"/>
      <c r="SLR1" s="305"/>
      <c r="SLS1" s="305"/>
      <c r="SLT1" s="305"/>
      <c r="SLU1" s="305"/>
      <c r="SLV1" s="305"/>
      <c r="SLW1" s="305"/>
      <c r="SLX1" s="305"/>
      <c r="SLY1" s="305"/>
      <c r="SLZ1" s="305"/>
      <c r="SMA1" s="305"/>
      <c r="SMB1" s="305"/>
      <c r="SMC1" s="305"/>
      <c r="SMD1" s="305"/>
      <c r="SME1" s="305"/>
      <c r="SMF1" s="305"/>
      <c r="SMG1" s="305"/>
      <c r="SMH1" s="305"/>
      <c r="SMI1" s="305"/>
      <c r="SMJ1" s="305"/>
      <c r="SMK1" s="305"/>
      <c r="SML1" s="305"/>
      <c r="SMM1" s="305"/>
      <c r="SMN1" s="305"/>
      <c r="SMO1" s="305"/>
      <c r="SMP1" s="305"/>
      <c r="SMQ1" s="305"/>
      <c r="SMR1" s="305"/>
      <c r="SMS1" s="305"/>
      <c r="SMT1" s="305"/>
      <c r="SMU1" s="305"/>
      <c r="SMV1" s="305"/>
      <c r="SMW1" s="305"/>
      <c r="SMX1" s="305"/>
      <c r="SMY1" s="305"/>
      <c r="SMZ1" s="305"/>
      <c r="SNA1" s="305"/>
      <c r="SNB1" s="305"/>
      <c r="SNC1" s="305"/>
      <c r="SND1" s="305"/>
      <c r="SNE1" s="305"/>
      <c r="SNF1" s="305"/>
      <c r="SNG1" s="305"/>
      <c r="SNH1" s="305"/>
      <c r="SNI1" s="305"/>
      <c r="SNJ1" s="305"/>
      <c r="SNK1" s="305"/>
      <c r="SNL1" s="305"/>
      <c r="SNM1" s="305"/>
      <c r="SNN1" s="305"/>
      <c r="SNO1" s="305"/>
      <c r="SNP1" s="305"/>
      <c r="SNQ1" s="305"/>
      <c r="SNR1" s="305"/>
      <c r="SNS1" s="305"/>
      <c r="SNT1" s="305"/>
      <c r="SNU1" s="305"/>
      <c r="SNV1" s="305"/>
      <c r="SNW1" s="305"/>
      <c r="SNX1" s="305"/>
      <c r="SNY1" s="305"/>
      <c r="SNZ1" s="305"/>
      <c r="SOA1" s="305"/>
      <c r="SOB1" s="305"/>
      <c r="SOC1" s="305"/>
      <c r="SOD1" s="305"/>
      <c r="SOE1" s="305"/>
      <c r="SOF1" s="305"/>
      <c r="SOG1" s="305"/>
      <c r="SOH1" s="305"/>
      <c r="SOI1" s="305"/>
      <c r="SOJ1" s="305"/>
      <c r="SOK1" s="305"/>
      <c r="SOL1" s="305"/>
      <c r="SOM1" s="305"/>
      <c r="SON1" s="305"/>
      <c r="SOO1" s="305"/>
      <c r="SOP1" s="305"/>
      <c r="SOQ1" s="305"/>
      <c r="SOR1" s="305"/>
      <c r="SOS1" s="305"/>
      <c r="SOT1" s="305"/>
      <c r="SOU1" s="305"/>
      <c r="SOV1" s="305"/>
      <c r="SOW1" s="305"/>
      <c r="SOX1" s="305"/>
      <c r="SOY1" s="305"/>
      <c r="SOZ1" s="305"/>
      <c r="SPA1" s="305"/>
      <c r="SPB1" s="305"/>
      <c r="SPC1" s="305"/>
      <c r="SPD1" s="305"/>
      <c r="SPE1" s="305"/>
      <c r="SPF1" s="305"/>
      <c r="SPG1" s="305"/>
      <c r="SPH1" s="305"/>
      <c r="SPI1" s="305"/>
      <c r="SPJ1" s="305"/>
      <c r="SPK1" s="305"/>
      <c r="SPL1" s="305"/>
      <c r="SPM1" s="305"/>
      <c r="SPN1" s="305"/>
      <c r="SPO1" s="305"/>
      <c r="SPP1" s="305"/>
      <c r="SPQ1" s="305"/>
      <c r="SPR1" s="305"/>
      <c r="SPS1" s="305"/>
      <c r="SPT1" s="305"/>
      <c r="SPU1" s="305"/>
      <c r="SPV1" s="305"/>
      <c r="SPW1" s="305"/>
      <c r="SPX1" s="305"/>
      <c r="SPY1" s="305"/>
      <c r="SPZ1" s="305"/>
      <c r="SQA1" s="305"/>
      <c r="SQB1" s="305"/>
      <c r="SQC1" s="305"/>
      <c r="SQD1" s="305"/>
      <c r="SQE1" s="305"/>
      <c r="SQF1" s="305"/>
      <c r="SQG1" s="305"/>
      <c r="SQH1" s="305"/>
      <c r="SQI1" s="305"/>
      <c r="SQJ1" s="305"/>
      <c r="SQK1" s="305"/>
      <c r="SQL1" s="305"/>
      <c r="SQM1" s="305"/>
      <c r="SQN1" s="305"/>
      <c r="SQO1" s="305"/>
      <c r="SQP1" s="305"/>
      <c r="SQQ1" s="305"/>
      <c r="SQR1" s="305"/>
      <c r="SQS1" s="305"/>
      <c r="SQT1" s="305"/>
      <c r="SQU1" s="305"/>
      <c r="SQV1" s="305"/>
      <c r="SQW1" s="305"/>
      <c r="SQX1" s="305"/>
      <c r="SQY1" s="305"/>
      <c r="SQZ1" s="305"/>
      <c r="SRA1" s="305"/>
      <c r="SRB1" s="305"/>
      <c r="SRC1" s="305"/>
      <c r="SRD1" s="305"/>
      <c r="SRE1" s="305"/>
      <c r="SRF1" s="305"/>
      <c r="SRG1" s="305"/>
      <c r="SRH1" s="305"/>
      <c r="SRI1" s="305"/>
      <c r="SRJ1" s="305"/>
      <c r="SRK1" s="305"/>
      <c r="SRL1" s="305"/>
      <c r="SRM1" s="305"/>
      <c r="SRN1" s="305"/>
      <c r="SRO1" s="305"/>
      <c r="SRP1" s="305"/>
      <c r="SRQ1" s="305"/>
      <c r="SRR1" s="305"/>
      <c r="SRS1" s="305"/>
      <c r="SRT1" s="305"/>
      <c r="SRU1" s="305"/>
      <c r="SRV1" s="305"/>
      <c r="SRW1" s="305"/>
      <c r="SRX1" s="305"/>
      <c r="SRY1" s="305"/>
      <c r="SRZ1" s="305"/>
      <c r="SSA1" s="305"/>
      <c r="SSB1" s="305"/>
      <c r="SSC1" s="305"/>
      <c r="SSD1" s="305"/>
      <c r="SSE1" s="305"/>
      <c r="SSF1" s="305"/>
      <c r="SSG1" s="305"/>
      <c r="SSH1" s="305"/>
      <c r="SSI1" s="305"/>
      <c r="SSJ1" s="305"/>
      <c r="SSK1" s="305"/>
      <c r="SSL1" s="305"/>
      <c r="SSM1" s="305"/>
      <c r="SSN1" s="305"/>
      <c r="SSO1" s="305"/>
      <c r="SSP1" s="305"/>
      <c r="SSQ1" s="305"/>
      <c r="SSR1" s="305"/>
      <c r="SSS1" s="305"/>
      <c r="SST1" s="305"/>
      <c r="SSU1" s="305"/>
      <c r="SSV1" s="305"/>
      <c r="SSW1" s="305"/>
      <c r="SSX1" s="305"/>
      <c r="SSY1" s="305"/>
      <c r="SSZ1" s="305"/>
      <c r="STA1" s="305"/>
      <c r="STB1" s="305"/>
      <c r="STC1" s="305"/>
      <c r="STD1" s="305"/>
      <c r="STE1" s="305"/>
      <c r="STF1" s="305"/>
      <c r="STG1" s="305"/>
      <c r="STH1" s="305"/>
      <c r="STI1" s="305"/>
      <c r="STJ1" s="305"/>
      <c r="STK1" s="305"/>
      <c r="STL1" s="305"/>
      <c r="STM1" s="305"/>
      <c r="STN1" s="305"/>
      <c r="STO1" s="305"/>
      <c r="STP1" s="305"/>
      <c r="STQ1" s="305"/>
      <c r="STR1" s="305"/>
      <c r="STS1" s="305"/>
      <c r="STT1" s="305"/>
      <c r="STU1" s="305"/>
      <c r="STV1" s="305"/>
      <c r="STW1" s="305"/>
      <c r="STX1" s="305"/>
      <c r="STY1" s="305"/>
      <c r="STZ1" s="305"/>
      <c r="SUA1" s="305"/>
      <c r="SUB1" s="305"/>
      <c r="SUC1" s="305"/>
      <c r="SUD1" s="305"/>
      <c r="SUE1" s="305"/>
      <c r="SUF1" s="305"/>
      <c r="SUG1" s="305"/>
      <c r="SUH1" s="305"/>
      <c r="SUI1" s="305"/>
      <c r="SUJ1" s="305"/>
      <c r="SUK1" s="305"/>
      <c r="SUL1" s="305"/>
      <c r="SUM1" s="305"/>
      <c r="SUN1" s="305"/>
      <c r="SUO1" s="305"/>
      <c r="SUP1" s="305"/>
      <c r="SUQ1" s="305"/>
      <c r="SUR1" s="305"/>
      <c r="SUS1" s="305"/>
      <c r="SUT1" s="305"/>
      <c r="SUU1" s="305"/>
      <c r="SUV1" s="305"/>
      <c r="SUW1" s="305"/>
      <c r="SUX1" s="305"/>
      <c r="SUY1" s="305"/>
      <c r="SUZ1" s="305"/>
      <c r="SVA1" s="305"/>
      <c r="SVB1" s="305"/>
      <c r="SVC1" s="305"/>
      <c r="SVD1" s="305"/>
      <c r="SVE1" s="305"/>
      <c r="SVF1" s="305"/>
      <c r="SVG1" s="305"/>
      <c r="SVH1" s="305"/>
      <c r="SVI1" s="305"/>
      <c r="SVJ1" s="305"/>
      <c r="SVK1" s="305"/>
      <c r="SVL1" s="305"/>
      <c r="SVM1" s="305"/>
      <c r="SVN1" s="305"/>
      <c r="SVO1" s="305"/>
      <c r="SVP1" s="305"/>
      <c r="SVQ1" s="305"/>
      <c r="SVR1" s="305"/>
      <c r="SVS1" s="305"/>
      <c r="SVT1" s="305"/>
      <c r="SVU1" s="305"/>
      <c r="SVV1" s="305"/>
      <c r="SVW1" s="305"/>
      <c r="SVX1" s="305"/>
      <c r="SVY1" s="305"/>
      <c r="SVZ1" s="305"/>
      <c r="SWA1" s="305"/>
      <c r="SWB1" s="305"/>
      <c r="SWC1" s="305"/>
      <c r="SWD1" s="305"/>
      <c r="SWE1" s="305"/>
      <c r="SWF1" s="305"/>
      <c r="SWG1" s="305"/>
      <c r="SWH1" s="305"/>
      <c r="SWI1" s="305"/>
      <c r="SWJ1" s="305"/>
      <c r="SWK1" s="305"/>
      <c r="SWL1" s="305"/>
      <c r="SWM1" s="305"/>
      <c r="SWN1" s="305"/>
      <c r="SWO1" s="305"/>
      <c r="SWP1" s="305"/>
      <c r="SWQ1" s="305"/>
      <c r="SWR1" s="305"/>
      <c r="SWS1" s="305"/>
      <c r="SWT1" s="305"/>
      <c r="SWU1" s="305"/>
      <c r="SWV1" s="305"/>
      <c r="SWW1" s="305"/>
      <c r="SWX1" s="305"/>
      <c r="SWY1" s="305"/>
      <c r="SWZ1" s="305"/>
      <c r="SXA1" s="305"/>
      <c r="SXB1" s="305"/>
      <c r="SXC1" s="305"/>
      <c r="SXD1" s="305"/>
      <c r="SXE1" s="305"/>
      <c r="SXF1" s="305"/>
      <c r="SXG1" s="305"/>
      <c r="SXH1" s="305"/>
      <c r="SXI1" s="305"/>
      <c r="SXJ1" s="305"/>
      <c r="SXK1" s="305"/>
      <c r="SXL1" s="305"/>
      <c r="SXM1" s="305"/>
      <c r="SXN1" s="305"/>
      <c r="SXO1" s="305"/>
      <c r="SXP1" s="305"/>
      <c r="SXQ1" s="305"/>
      <c r="SXR1" s="305"/>
      <c r="SXS1" s="305"/>
      <c r="SXT1" s="305"/>
      <c r="SXU1" s="305"/>
      <c r="SXV1" s="305"/>
      <c r="SXW1" s="305"/>
      <c r="SXX1" s="305"/>
      <c r="SXY1" s="305"/>
      <c r="SXZ1" s="305"/>
      <c r="SYA1" s="305"/>
      <c r="SYB1" s="305"/>
      <c r="SYC1" s="305"/>
      <c r="SYD1" s="305"/>
      <c r="SYE1" s="305"/>
      <c r="SYF1" s="305"/>
      <c r="SYG1" s="305"/>
      <c r="SYH1" s="305"/>
      <c r="SYI1" s="305"/>
      <c r="SYJ1" s="305"/>
      <c r="SYK1" s="305"/>
      <c r="SYL1" s="305"/>
      <c r="SYM1" s="305"/>
      <c r="SYN1" s="305"/>
      <c r="SYO1" s="305"/>
      <c r="SYP1" s="305"/>
      <c r="SYQ1" s="305"/>
      <c r="SYR1" s="305"/>
      <c r="SYS1" s="305"/>
      <c r="SYT1" s="305"/>
      <c r="SYU1" s="305"/>
      <c r="SYV1" s="305"/>
      <c r="SYW1" s="305"/>
      <c r="SYX1" s="305"/>
      <c r="SYY1" s="305"/>
      <c r="SYZ1" s="305"/>
      <c r="SZA1" s="305"/>
      <c r="SZB1" s="305"/>
      <c r="SZC1" s="305"/>
      <c r="SZD1" s="305"/>
      <c r="SZE1" s="305"/>
      <c r="SZF1" s="305"/>
      <c r="SZG1" s="305"/>
      <c r="SZH1" s="305"/>
      <c r="SZI1" s="305"/>
      <c r="SZJ1" s="305"/>
      <c r="SZK1" s="305"/>
      <c r="SZL1" s="305"/>
      <c r="SZM1" s="305"/>
      <c r="SZN1" s="305"/>
      <c r="SZO1" s="305"/>
      <c r="SZP1" s="305"/>
      <c r="SZQ1" s="305"/>
      <c r="SZR1" s="305"/>
      <c r="SZS1" s="305"/>
      <c r="SZT1" s="305"/>
      <c r="SZU1" s="305"/>
      <c r="SZV1" s="305"/>
      <c r="SZW1" s="305"/>
      <c r="SZX1" s="305"/>
      <c r="SZY1" s="305"/>
      <c r="SZZ1" s="305"/>
      <c r="TAA1" s="305"/>
      <c r="TAB1" s="305"/>
      <c r="TAC1" s="305"/>
      <c r="TAD1" s="305"/>
      <c r="TAE1" s="305"/>
      <c r="TAF1" s="305"/>
      <c r="TAG1" s="305"/>
      <c r="TAH1" s="305"/>
      <c r="TAI1" s="305"/>
      <c r="TAJ1" s="305"/>
      <c r="TAK1" s="305"/>
      <c r="TAL1" s="305"/>
      <c r="TAM1" s="305"/>
      <c r="TAN1" s="305"/>
      <c r="TAO1" s="305"/>
      <c r="TAP1" s="305"/>
      <c r="TAQ1" s="305"/>
      <c r="TAR1" s="305"/>
      <c r="TAS1" s="305"/>
      <c r="TAT1" s="305"/>
      <c r="TAU1" s="305"/>
      <c r="TAV1" s="305"/>
      <c r="TAW1" s="305"/>
      <c r="TAX1" s="305"/>
      <c r="TAY1" s="305"/>
      <c r="TAZ1" s="305"/>
      <c r="TBA1" s="305"/>
      <c r="TBB1" s="305"/>
      <c r="TBC1" s="305"/>
      <c r="TBD1" s="305"/>
      <c r="TBE1" s="305"/>
      <c r="TBF1" s="305"/>
      <c r="TBG1" s="305"/>
      <c r="TBH1" s="305"/>
      <c r="TBI1" s="305"/>
      <c r="TBJ1" s="305"/>
      <c r="TBK1" s="305"/>
      <c r="TBL1" s="305"/>
      <c r="TBM1" s="305"/>
      <c r="TBN1" s="305"/>
      <c r="TBO1" s="305"/>
      <c r="TBP1" s="305"/>
      <c r="TBQ1" s="305"/>
      <c r="TBR1" s="305"/>
      <c r="TBS1" s="305"/>
      <c r="TBT1" s="305"/>
      <c r="TBU1" s="305"/>
      <c r="TBV1" s="305"/>
      <c r="TBW1" s="305"/>
      <c r="TBX1" s="305"/>
      <c r="TBY1" s="305"/>
      <c r="TBZ1" s="305"/>
      <c r="TCA1" s="305"/>
      <c r="TCB1" s="305"/>
      <c r="TCC1" s="305"/>
      <c r="TCD1" s="305"/>
      <c r="TCE1" s="305"/>
      <c r="TCF1" s="305"/>
      <c r="TCG1" s="305"/>
      <c r="TCH1" s="305"/>
      <c r="TCI1" s="305"/>
      <c r="TCJ1" s="305"/>
      <c r="TCK1" s="305"/>
      <c r="TCL1" s="305"/>
      <c r="TCM1" s="305"/>
      <c r="TCN1" s="305"/>
      <c r="TCO1" s="305"/>
      <c r="TCP1" s="305"/>
      <c r="TCQ1" s="305"/>
      <c r="TCR1" s="305"/>
      <c r="TCS1" s="305"/>
      <c r="TCT1" s="305"/>
      <c r="TCU1" s="305"/>
      <c r="TCV1" s="305"/>
      <c r="TCW1" s="305"/>
      <c r="TCX1" s="305"/>
      <c r="TCY1" s="305"/>
      <c r="TCZ1" s="305"/>
      <c r="TDA1" s="305"/>
      <c r="TDB1" s="305"/>
      <c r="TDC1" s="305"/>
      <c r="TDD1" s="305"/>
      <c r="TDE1" s="305"/>
      <c r="TDF1" s="305"/>
      <c r="TDG1" s="305"/>
      <c r="TDH1" s="305"/>
      <c r="TDI1" s="305"/>
      <c r="TDJ1" s="305"/>
      <c r="TDK1" s="305"/>
      <c r="TDL1" s="305"/>
      <c r="TDM1" s="305"/>
      <c r="TDN1" s="305"/>
      <c r="TDO1" s="305"/>
      <c r="TDP1" s="305"/>
      <c r="TDQ1" s="305"/>
      <c r="TDR1" s="305"/>
      <c r="TDS1" s="305"/>
      <c r="TDT1" s="305"/>
      <c r="TDU1" s="305"/>
      <c r="TDV1" s="305"/>
      <c r="TDW1" s="305"/>
      <c r="TDX1" s="305"/>
      <c r="TDY1" s="305"/>
      <c r="TDZ1" s="305"/>
      <c r="TEA1" s="305"/>
      <c r="TEB1" s="305"/>
      <c r="TEC1" s="305"/>
      <c r="TED1" s="305"/>
      <c r="TEE1" s="305"/>
      <c r="TEF1" s="305"/>
      <c r="TEG1" s="305"/>
      <c r="TEH1" s="305"/>
      <c r="TEI1" s="305"/>
      <c r="TEJ1" s="305"/>
      <c r="TEK1" s="305"/>
      <c r="TEL1" s="305"/>
      <c r="TEM1" s="305"/>
      <c r="TEN1" s="305"/>
      <c r="TEO1" s="305"/>
      <c r="TEP1" s="305"/>
      <c r="TEQ1" s="305"/>
      <c r="TER1" s="305"/>
      <c r="TES1" s="305"/>
      <c r="TET1" s="305"/>
      <c r="TEU1" s="305"/>
      <c r="TEV1" s="305"/>
      <c r="TEW1" s="305"/>
      <c r="TEX1" s="305"/>
      <c r="TEY1" s="305"/>
      <c r="TEZ1" s="305"/>
      <c r="TFA1" s="305"/>
      <c r="TFB1" s="305"/>
      <c r="TFC1" s="305"/>
      <c r="TFD1" s="305"/>
      <c r="TFE1" s="305"/>
      <c r="TFF1" s="305"/>
      <c r="TFG1" s="305"/>
      <c r="TFH1" s="305"/>
      <c r="TFI1" s="305"/>
      <c r="TFJ1" s="305"/>
      <c r="TFK1" s="305"/>
      <c r="TFL1" s="305"/>
      <c r="TFM1" s="305"/>
      <c r="TFN1" s="305"/>
      <c r="TFO1" s="305"/>
      <c r="TFP1" s="305"/>
      <c r="TFQ1" s="305"/>
      <c r="TFR1" s="305"/>
      <c r="TFS1" s="305"/>
      <c r="TFT1" s="305"/>
      <c r="TFU1" s="305"/>
      <c r="TFV1" s="305"/>
      <c r="TFW1" s="305"/>
      <c r="TFX1" s="305"/>
      <c r="TFY1" s="305"/>
      <c r="TFZ1" s="305"/>
      <c r="TGA1" s="305"/>
      <c r="TGB1" s="305"/>
      <c r="TGC1" s="305"/>
      <c r="TGD1" s="305"/>
      <c r="TGE1" s="305"/>
      <c r="TGF1" s="305"/>
      <c r="TGG1" s="305"/>
      <c r="TGH1" s="305"/>
      <c r="TGI1" s="305"/>
      <c r="TGJ1" s="305"/>
      <c r="TGK1" s="305"/>
      <c r="TGL1" s="305"/>
      <c r="TGM1" s="305"/>
      <c r="TGN1" s="305"/>
      <c r="TGO1" s="305"/>
      <c r="TGP1" s="305"/>
      <c r="TGQ1" s="305"/>
      <c r="TGR1" s="305"/>
      <c r="TGS1" s="305"/>
      <c r="TGT1" s="305"/>
      <c r="TGU1" s="305"/>
      <c r="TGV1" s="305"/>
      <c r="TGW1" s="305"/>
      <c r="TGX1" s="305"/>
      <c r="TGY1" s="305"/>
      <c r="TGZ1" s="305"/>
      <c r="THA1" s="305"/>
      <c r="THB1" s="305"/>
      <c r="THC1" s="305"/>
      <c r="THD1" s="305"/>
      <c r="THE1" s="305"/>
      <c r="THF1" s="305"/>
      <c r="THG1" s="305"/>
      <c r="THH1" s="305"/>
      <c r="THI1" s="305"/>
      <c r="THJ1" s="305"/>
      <c r="THK1" s="305"/>
      <c r="THL1" s="305"/>
      <c r="THM1" s="305"/>
      <c r="THN1" s="305"/>
      <c r="THO1" s="305"/>
      <c r="THP1" s="305"/>
      <c r="THQ1" s="305"/>
      <c r="THR1" s="305"/>
      <c r="THS1" s="305"/>
      <c r="THT1" s="305"/>
      <c r="THU1" s="305"/>
      <c r="THV1" s="305"/>
      <c r="THW1" s="305"/>
      <c r="THX1" s="305"/>
      <c r="THY1" s="305"/>
      <c r="THZ1" s="305"/>
      <c r="TIA1" s="305"/>
      <c r="TIB1" s="305"/>
      <c r="TIC1" s="305"/>
      <c r="TID1" s="305"/>
      <c r="TIE1" s="305"/>
      <c r="TIF1" s="305"/>
      <c r="TIG1" s="305"/>
      <c r="TIH1" s="305"/>
      <c r="TII1" s="305"/>
      <c r="TIJ1" s="305"/>
      <c r="TIK1" s="305"/>
      <c r="TIL1" s="305"/>
      <c r="TIM1" s="305"/>
      <c r="TIN1" s="305"/>
      <c r="TIO1" s="305"/>
      <c r="TIP1" s="305"/>
      <c r="TIQ1" s="305"/>
      <c r="TIR1" s="305"/>
      <c r="TIS1" s="305"/>
      <c r="TIT1" s="305"/>
      <c r="TIU1" s="305"/>
      <c r="TIV1" s="305"/>
      <c r="TIW1" s="305"/>
      <c r="TIX1" s="305"/>
      <c r="TIY1" s="305"/>
      <c r="TIZ1" s="305"/>
      <c r="TJA1" s="305"/>
      <c r="TJB1" s="305"/>
      <c r="TJC1" s="305"/>
      <c r="TJD1" s="305"/>
      <c r="TJE1" s="305"/>
      <c r="TJF1" s="305"/>
      <c r="TJG1" s="305"/>
      <c r="TJH1" s="305"/>
      <c r="TJI1" s="305"/>
      <c r="TJJ1" s="305"/>
      <c r="TJK1" s="305"/>
      <c r="TJL1" s="305"/>
      <c r="TJM1" s="305"/>
      <c r="TJN1" s="305"/>
      <c r="TJO1" s="305"/>
      <c r="TJP1" s="305"/>
      <c r="TJQ1" s="305"/>
      <c r="TJR1" s="305"/>
      <c r="TJS1" s="305"/>
      <c r="TJT1" s="305"/>
      <c r="TJU1" s="305"/>
      <c r="TJV1" s="305"/>
      <c r="TJW1" s="305"/>
      <c r="TJX1" s="305"/>
      <c r="TJY1" s="305"/>
      <c r="TJZ1" s="305"/>
      <c r="TKA1" s="305"/>
      <c r="TKB1" s="305"/>
      <c r="TKC1" s="305"/>
      <c r="TKD1" s="305"/>
      <c r="TKE1" s="305"/>
      <c r="TKF1" s="305"/>
      <c r="TKG1" s="305"/>
      <c r="TKH1" s="305"/>
      <c r="TKI1" s="305"/>
      <c r="TKJ1" s="305"/>
      <c r="TKK1" s="305"/>
      <c r="TKL1" s="305"/>
      <c r="TKM1" s="305"/>
      <c r="TKN1" s="305"/>
      <c r="TKO1" s="305"/>
      <c r="TKP1" s="305"/>
      <c r="TKQ1" s="305"/>
      <c r="TKR1" s="305"/>
      <c r="TKS1" s="305"/>
      <c r="TKT1" s="305"/>
      <c r="TKU1" s="305"/>
      <c r="TKV1" s="305"/>
      <c r="TKW1" s="305"/>
      <c r="TKX1" s="305"/>
      <c r="TKY1" s="305"/>
      <c r="TKZ1" s="305"/>
      <c r="TLA1" s="305"/>
      <c r="TLB1" s="305"/>
      <c r="TLC1" s="305"/>
      <c r="TLD1" s="305"/>
      <c r="TLE1" s="305"/>
      <c r="TLF1" s="305"/>
      <c r="TLG1" s="305"/>
      <c r="TLH1" s="305"/>
      <c r="TLI1" s="305"/>
      <c r="TLJ1" s="305"/>
      <c r="TLK1" s="305"/>
      <c r="TLL1" s="305"/>
      <c r="TLM1" s="305"/>
      <c r="TLN1" s="305"/>
      <c r="TLO1" s="305"/>
      <c r="TLP1" s="305"/>
      <c r="TLQ1" s="305"/>
      <c r="TLR1" s="305"/>
      <c r="TLS1" s="305"/>
      <c r="TLT1" s="305"/>
      <c r="TLU1" s="305"/>
      <c r="TLV1" s="305"/>
      <c r="TLW1" s="305"/>
      <c r="TLX1" s="305"/>
      <c r="TLY1" s="305"/>
      <c r="TLZ1" s="305"/>
      <c r="TMA1" s="305"/>
      <c r="TMB1" s="305"/>
      <c r="TMC1" s="305"/>
      <c r="TMD1" s="305"/>
      <c r="TME1" s="305"/>
      <c r="TMF1" s="305"/>
      <c r="TMG1" s="305"/>
      <c r="TMH1" s="305"/>
      <c r="TMI1" s="305"/>
      <c r="TMJ1" s="305"/>
      <c r="TMK1" s="305"/>
      <c r="TML1" s="305"/>
      <c r="TMM1" s="305"/>
      <c r="TMN1" s="305"/>
      <c r="TMO1" s="305"/>
      <c r="TMP1" s="305"/>
      <c r="TMQ1" s="305"/>
      <c r="TMR1" s="305"/>
      <c r="TMS1" s="305"/>
      <c r="TMT1" s="305"/>
      <c r="TMU1" s="305"/>
      <c r="TMV1" s="305"/>
      <c r="TMW1" s="305"/>
      <c r="TMX1" s="305"/>
      <c r="TMY1" s="305"/>
      <c r="TMZ1" s="305"/>
      <c r="TNA1" s="305"/>
      <c r="TNB1" s="305"/>
      <c r="TNC1" s="305"/>
      <c r="TND1" s="305"/>
      <c r="TNE1" s="305"/>
      <c r="TNF1" s="305"/>
      <c r="TNG1" s="305"/>
      <c r="TNH1" s="305"/>
      <c r="TNI1" s="305"/>
      <c r="TNJ1" s="305"/>
      <c r="TNK1" s="305"/>
      <c r="TNL1" s="305"/>
      <c r="TNM1" s="305"/>
      <c r="TNN1" s="305"/>
      <c r="TNO1" s="305"/>
      <c r="TNP1" s="305"/>
      <c r="TNQ1" s="305"/>
      <c r="TNR1" s="305"/>
      <c r="TNS1" s="305"/>
      <c r="TNT1" s="305"/>
      <c r="TNU1" s="305"/>
      <c r="TNV1" s="305"/>
      <c r="TNW1" s="305"/>
      <c r="TNX1" s="305"/>
      <c r="TNY1" s="305"/>
      <c r="TNZ1" s="305"/>
      <c r="TOA1" s="305"/>
      <c r="TOB1" s="305"/>
      <c r="TOC1" s="305"/>
      <c r="TOD1" s="305"/>
      <c r="TOE1" s="305"/>
      <c r="TOF1" s="305"/>
      <c r="TOG1" s="305"/>
      <c r="TOH1" s="305"/>
      <c r="TOI1" s="305"/>
      <c r="TOJ1" s="305"/>
      <c r="TOK1" s="305"/>
      <c r="TOL1" s="305"/>
      <c r="TOM1" s="305"/>
      <c r="TON1" s="305"/>
      <c r="TOO1" s="305"/>
      <c r="TOP1" s="305"/>
      <c r="TOQ1" s="305"/>
      <c r="TOR1" s="305"/>
      <c r="TOS1" s="305"/>
      <c r="TOT1" s="305"/>
      <c r="TOU1" s="305"/>
      <c r="TOV1" s="305"/>
      <c r="TOW1" s="305"/>
      <c r="TOX1" s="305"/>
      <c r="TOY1" s="305"/>
      <c r="TOZ1" s="305"/>
      <c r="TPA1" s="305"/>
      <c r="TPB1" s="305"/>
      <c r="TPC1" s="305"/>
      <c r="TPD1" s="305"/>
      <c r="TPE1" s="305"/>
      <c r="TPF1" s="305"/>
      <c r="TPG1" s="305"/>
      <c r="TPH1" s="305"/>
      <c r="TPI1" s="305"/>
      <c r="TPJ1" s="305"/>
      <c r="TPK1" s="305"/>
      <c r="TPL1" s="305"/>
      <c r="TPM1" s="305"/>
      <c r="TPN1" s="305"/>
      <c r="TPO1" s="305"/>
      <c r="TPP1" s="305"/>
      <c r="TPQ1" s="305"/>
      <c r="TPR1" s="305"/>
      <c r="TPS1" s="305"/>
      <c r="TPT1" s="305"/>
      <c r="TPU1" s="305"/>
      <c r="TPV1" s="305"/>
      <c r="TPW1" s="305"/>
      <c r="TPX1" s="305"/>
      <c r="TPY1" s="305"/>
      <c r="TPZ1" s="305"/>
      <c r="TQA1" s="305"/>
      <c r="TQB1" s="305"/>
      <c r="TQC1" s="305"/>
      <c r="TQD1" s="305"/>
      <c r="TQE1" s="305"/>
      <c r="TQF1" s="305"/>
      <c r="TQG1" s="305"/>
      <c r="TQH1" s="305"/>
      <c r="TQI1" s="305"/>
      <c r="TQJ1" s="305"/>
      <c r="TQK1" s="305"/>
      <c r="TQL1" s="305"/>
      <c r="TQM1" s="305"/>
      <c r="TQN1" s="305"/>
      <c r="TQO1" s="305"/>
      <c r="TQP1" s="305"/>
      <c r="TQQ1" s="305"/>
      <c r="TQR1" s="305"/>
      <c r="TQS1" s="305"/>
      <c r="TQT1" s="305"/>
      <c r="TQU1" s="305"/>
      <c r="TQV1" s="305"/>
      <c r="TQW1" s="305"/>
      <c r="TQX1" s="305"/>
      <c r="TQY1" s="305"/>
      <c r="TQZ1" s="305"/>
      <c r="TRA1" s="305"/>
      <c r="TRB1" s="305"/>
      <c r="TRC1" s="305"/>
      <c r="TRD1" s="305"/>
      <c r="TRE1" s="305"/>
      <c r="TRF1" s="305"/>
      <c r="TRG1" s="305"/>
      <c r="TRH1" s="305"/>
      <c r="TRI1" s="305"/>
      <c r="TRJ1" s="305"/>
      <c r="TRK1" s="305"/>
      <c r="TRL1" s="305"/>
      <c r="TRM1" s="305"/>
      <c r="TRN1" s="305"/>
      <c r="TRO1" s="305"/>
      <c r="TRP1" s="305"/>
      <c r="TRQ1" s="305"/>
      <c r="TRR1" s="305"/>
      <c r="TRS1" s="305"/>
      <c r="TRT1" s="305"/>
      <c r="TRU1" s="305"/>
      <c r="TRV1" s="305"/>
      <c r="TRW1" s="305"/>
      <c r="TRX1" s="305"/>
      <c r="TRY1" s="305"/>
      <c r="TRZ1" s="305"/>
      <c r="TSA1" s="305"/>
      <c r="TSB1" s="305"/>
      <c r="TSC1" s="305"/>
      <c r="TSD1" s="305"/>
      <c r="TSE1" s="305"/>
      <c r="TSF1" s="305"/>
      <c r="TSG1" s="305"/>
      <c r="TSH1" s="305"/>
      <c r="TSI1" s="305"/>
      <c r="TSJ1" s="305"/>
      <c r="TSK1" s="305"/>
      <c r="TSL1" s="305"/>
      <c r="TSM1" s="305"/>
      <c r="TSN1" s="305"/>
      <c r="TSO1" s="305"/>
      <c r="TSP1" s="305"/>
      <c r="TSQ1" s="305"/>
      <c r="TSR1" s="305"/>
      <c r="TSS1" s="305"/>
      <c r="TST1" s="305"/>
      <c r="TSU1" s="305"/>
      <c r="TSV1" s="305"/>
      <c r="TSW1" s="305"/>
      <c r="TSX1" s="305"/>
      <c r="TSY1" s="305"/>
      <c r="TSZ1" s="305"/>
      <c r="TTA1" s="305"/>
      <c r="TTB1" s="305"/>
      <c r="TTC1" s="305"/>
      <c r="TTD1" s="305"/>
      <c r="TTE1" s="305"/>
      <c r="TTF1" s="305"/>
      <c r="TTG1" s="305"/>
      <c r="TTH1" s="305"/>
      <c r="TTI1" s="305"/>
      <c r="TTJ1" s="305"/>
      <c r="TTK1" s="305"/>
      <c r="TTL1" s="305"/>
      <c r="TTM1" s="305"/>
      <c r="TTN1" s="305"/>
      <c r="TTO1" s="305"/>
      <c r="TTP1" s="305"/>
      <c r="TTQ1" s="305"/>
      <c r="TTR1" s="305"/>
      <c r="TTS1" s="305"/>
      <c r="TTT1" s="305"/>
      <c r="TTU1" s="305"/>
      <c r="TTV1" s="305"/>
      <c r="TTW1" s="305"/>
      <c r="TTX1" s="305"/>
      <c r="TTY1" s="305"/>
      <c r="TTZ1" s="305"/>
      <c r="TUA1" s="305"/>
      <c r="TUB1" s="305"/>
      <c r="TUC1" s="305"/>
      <c r="TUD1" s="305"/>
      <c r="TUE1" s="305"/>
      <c r="TUF1" s="305"/>
      <c r="TUG1" s="305"/>
      <c r="TUH1" s="305"/>
      <c r="TUI1" s="305"/>
      <c r="TUJ1" s="305"/>
      <c r="TUK1" s="305"/>
      <c r="TUL1" s="305"/>
      <c r="TUM1" s="305"/>
      <c r="TUN1" s="305"/>
      <c r="TUO1" s="305"/>
      <c r="TUP1" s="305"/>
      <c r="TUQ1" s="305"/>
      <c r="TUR1" s="305"/>
      <c r="TUS1" s="305"/>
      <c r="TUT1" s="305"/>
      <c r="TUU1" s="305"/>
      <c r="TUV1" s="305"/>
      <c r="TUW1" s="305"/>
      <c r="TUX1" s="305"/>
      <c r="TUY1" s="305"/>
      <c r="TUZ1" s="305"/>
      <c r="TVA1" s="305"/>
      <c r="TVB1" s="305"/>
      <c r="TVC1" s="305"/>
      <c r="TVD1" s="305"/>
      <c r="TVE1" s="305"/>
      <c r="TVF1" s="305"/>
      <c r="TVG1" s="305"/>
      <c r="TVH1" s="305"/>
      <c r="TVI1" s="305"/>
      <c r="TVJ1" s="305"/>
      <c r="TVK1" s="305"/>
      <c r="TVL1" s="305"/>
      <c r="TVM1" s="305"/>
      <c r="TVN1" s="305"/>
      <c r="TVO1" s="305"/>
      <c r="TVP1" s="305"/>
      <c r="TVQ1" s="305"/>
      <c r="TVR1" s="305"/>
      <c r="TVS1" s="305"/>
      <c r="TVT1" s="305"/>
      <c r="TVU1" s="305"/>
      <c r="TVV1" s="305"/>
      <c r="TVW1" s="305"/>
      <c r="TVX1" s="305"/>
      <c r="TVY1" s="305"/>
      <c r="TVZ1" s="305"/>
      <c r="TWA1" s="305"/>
      <c r="TWB1" s="305"/>
      <c r="TWC1" s="305"/>
      <c r="TWD1" s="305"/>
      <c r="TWE1" s="305"/>
      <c r="TWF1" s="305"/>
      <c r="TWG1" s="305"/>
      <c r="TWH1" s="305"/>
      <c r="TWI1" s="305"/>
      <c r="TWJ1" s="305"/>
      <c r="TWK1" s="305"/>
      <c r="TWL1" s="305"/>
      <c r="TWM1" s="305"/>
      <c r="TWN1" s="305"/>
      <c r="TWO1" s="305"/>
      <c r="TWP1" s="305"/>
      <c r="TWQ1" s="305"/>
      <c r="TWR1" s="305"/>
      <c r="TWS1" s="305"/>
      <c r="TWT1" s="305"/>
      <c r="TWU1" s="305"/>
      <c r="TWV1" s="305"/>
      <c r="TWW1" s="305"/>
      <c r="TWX1" s="305"/>
      <c r="TWY1" s="305"/>
      <c r="TWZ1" s="305"/>
      <c r="TXA1" s="305"/>
      <c r="TXB1" s="305"/>
      <c r="TXC1" s="305"/>
      <c r="TXD1" s="305"/>
      <c r="TXE1" s="305"/>
      <c r="TXF1" s="305"/>
      <c r="TXG1" s="305"/>
      <c r="TXH1" s="305"/>
      <c r="TXI1" s="305"/>
      <c r="TXJ1" s="305"/>
      <c r="TXK1" s="305"/>
      <c r="TXL1" s="305"/>
      <c r="TXM1" s="305"/>
      <c r="TXN1" s="305"/>
      <c r="TXO1" s="305"/>
      <c r="TXP1" s="305"/>
      <c r="TXQ1" s="305"/>
      <c r="TXR1" s="305"/>
      <c r="TXS1" s="305"/>
      <c r="TXT1" s="305"/>
      <c r="TXU1" s="305"/>
      <c r="TXV1" s="305"/>
      <c r="TXW1" s="305"/>
      <c r="TXX1" s="305"/>
      <c r="TXY1" s="305"/>
      <c r="TXZ1" s="305"/>
      <c r="TYA1" s="305"/>
      <c r="TYB1" s="305"/>
      <c r="TYC1" s="305"/>
      <c r="TYD1" s="305"/>
      <c r="TYE1" s="305"/>
      <c r="TYF1" s="305"/>
      <c r="TYG1" s="305"/>
      <c r="TYH1" s="305"/>
      <c r="TYI1" s="305"/>
      <c r="TYJ1" s="305"/>
      <c r="TYK1" s="305"/>
      <c r="TYL1" s="305"/>
      <c r="TYM1" s="305"/>
      <c r="TYN1" s="305"/>
      <c r="TYO1" s="305"/>
      <c r="TYP1" s="305"/>
      <c r="TYQ1" s="305"/>
      <c r="TYR1" s="305"/>
      <c r="TYS1" s="305"/>
      <c r="TYT1" s="305"/>
      <c r="TYU1" s="305"/>
      <c r="TYV1" s="305"/>
      <c r="TYW1" s="305"/>
      <c r="TYX1" s="305"/>
      <c r="TYY1" s="305"/>
      <c r="TYZ1" s="305"/>
      <c r="TZA1" s="305"/>
      <c r="TZB1" s="305"/>
      <c r="TZC1" s="305"/>
      <c r="TZD1" s="305"/>
      <c r="TZE1" s="305"/>
      <c r="TZF1" s="305"/>
      <c r="TZG1" s="305"/>
      <c r="TZH1" s="305"/>
      <c r="TZI1" s="305"/>
      <c r="TZJ1" s="305"/>
      <c r="TZK1" s="305"/>
      <c r="TZL1" s="305"/>
      <c r="TZM1" s="305"/>
      <c r="TZN1" s="305"/>
      <c r="TZO1" s="305"/>
      <c r="TZP1" s="305"/>
      <c r="TZQ1" s="305"/>
      <c r="TZR1" s="305"/>
      <c r="TZS1" s="305"/>
      <c r="TZT1" s="305"/>
      <c r="TZU1" s="305"/>
      <c r="TZV1" s="305"/>
      <c r="TZW1" s="305"/>
      <c r="TZX1" s="305"/>
      <c r="TZY1" s="305"/>
      <c r="TZZ1" s="305"/>
      <c r="UAA1" s="305"/>
      <c r="UAB1" s="305"/>
      <c r="UAC1" s="305"/>
      <c r="UAD1" s="305"/>
      <c r="UAE1" s="305"/>
      <c r="UAF1" s="305"/>
      <c r="UAG1" s="305"/>
      <c r="UAH1" s="305"/>
      <c r="UAI1" s="305"/>
      <c r="UAJ1" s="305"/>
      <c r="UAK1" s="305"/>
      <c r="UAL1" s="305"/>
      <c r="UAM1" s="305"/>
      <c r="UAN1" s="305"/>
      <c r="UAO1" s="305"/>
      <c r="UAP1" s="305"/>
      <c r="UAQ1" s="305"/>
      <c r="UAR1" s="305"/>
      <c r="UAS1" s="305"/>
      <c r="UAT1" s="305"/>
      <c r="UAU1" s="305"/>
      <c r="UAV1" s="305"/>
      <c r="UAW1" s="305"/>
      <c r="UAX1" s="305"/>
      <c r="UAY1" s="305"/>
      <c r="UAZ1" s="305"/>
      <c r="UBA1" s="305"/>
      <c r="UBB1" s="305"/>
      <c r="UBC1" s="305"/>
      <c r="UBD1" s="305"/>
      <c r="UBE1" s="305"/>
      <c r="UBF1" s="305"/>
      <c r="UBG1" s="305"/>
      <c r="UBH1" s="305"/>
      <c r="UBI1" s="305"/>
      <c r="UBJ1" s="305"/>
      <c r="UBK1" s="305"/>
      <c r="UBL1" s="305"/>
      <c r="UBM1" s="305"/>
      <c r="UBN1" s="305"/>
      <c r="UBO1" s="305"/>
      <c r="UBP1" s="305"/>
      <c r="UBQ1" s="305"/>
      <c r="UBR1" s="305"/>
      <c r="UBS1" s="305"/>
      <c r="UBT1" s="305"/>
      <c r="UBU1" s="305"/>
      <c r="UBV1" s="305"/>
      <c r="UBW1" s="305"/>
      <c r="UBX1" s="305"/>
      <c r="UBY1" s="305"/>
      <c r="UBZ1" s="305"/>
      <c r="UCA1" s="305"/>
      <c r="UCB1" s="305"/>
      <c r="UCC1" s="305"/>
      <c r="UCD1" s="305"/>
      <c r="UCE1" s="305"/>
      <c r="UCF1" s="305"/>
      <c r="UCG1" s="305"/>
      <c r="UCH1" s="305"/>
      <c r="UCI1" s="305"/>
      <c r="UCJ1" s="305"/>
      <c r="UCK1" s="305"/>
      <c r="UCL1" s="305"/>
      <c r="UCM1" s="305"/>
      <c r="UCN1" s="305"/>
      <c r="UCO1" s="305"/>
      <c r="UCP1" s="305"/>
      <c r="UCQ1" s="305"/>
      <c r="UCR1" s="305"/>
      <c r="UCS1" s="305"/>
      <c r="UCT1" s="305"/>
      <c r="UCU1" s="305"/>
      <c r="UCV1" s="305"/>
      <c r="UCW1" s="305"/>
      <c r="UCX1" s="305"/>
      <c r="UCY1" s="305"/>
      <c r="UCZ1" s="305"/>
      <c r="UDA1" s="305"/>
      <c r="UDB1" s="305"/>
      <c r="UDC1" s="305"/>
      <c r="UDD1" s="305"/>
      <c r="UDE1" s="305"/>
      <c r="UDF1" s="305"/>
      <c r="UDG1" s="305"/>
      <c r="UDH1" s="305"/>
      <c r="UDI1" s="305"/>
      <c r="UDJ1" s="305"/>
      <c r="UDK1" s="305"/>
      <c r="UDL1" s="305"/>
      <c r="UDM1" s="305"/>
      <c r="UDN1" s="305"/>
      <c r="UDO1" s="305"/>
      <c r="UDP1" s="305"/>
      <c r="UDQ1" s="305"/>
      <c r="UDR1" s="305"/>
      <c r="UDS1" s="305"/>
      <c r="UDT1" s="305"/>
      <c r="UDU1" s="305"/>
      <c r="UDV1" s="305"/>
      <c r="UDW1" s="305"/>
      <c r="UDX1" s="305"/>
      <c r="UDY1" s="305"/>
      <c r="UDZ1" s="305"/>
      <c r="UEA1" s="305"/>
      <c r="UEB1" s="305"/>
      <c r="UEC1" s="305"/>
      <c r="UED1" s="305"/>
      <c r="UEE1" s="305"/>
      <c r="UEF1" s="305"/>
      <c r="UEG1" s="305"/>
      <c r="UEH1" s="305"/>
      <c r="UEI1" s="305"/>
      <c r="UEJ1" s="305"/>
      <c r="UEK1" s="305"/>
      <c r="UEL1" s="305"/>
      <c r="UEM1" s="305"/>
      <c r="UEN1" s="305"/>
      <c r="UEO1" s="305"/>
      <c r="UEP1" s="305"/>
      <c r="UEQ1" s="305"/>
      <c r="UER1" s="305"/>
      <c r="UES1" s="305"/>
      <c r="UET1" s="305"/>
      <c r="UEU1" s="305"/>
      <c r="UEV1" s="305"/>
      <c r="UEW1" s="305"/>
      <c r="UEX1" s="305"/>
      <c r="UEY1" s="305"/>
      <c r="UEZ1" s="305"/>
      <c r="UFA1" s="305"/>
      <c r="UFB1" s="305"/>
      <c r="UFC1" s="305"/>
      <c r="UFD1" s="305"/>
      <c r="UFE1" s="305"/>
      <c r="UFF1" s="305"/>
      <c r="UFG1" s="305"/>
      <c r="UFH1" s="305"/>
      <c r="UFI1" s="305"/>
      <c r="UFJ1" s="305"/>
      <c r="UFK1" s="305"/>
      <c r="UFL1" s="305"/>
      <c r="UFM1" s="305"/>
      <c r="UFN1" s="305"/>
      <c r="UFO1" s="305"/>
      <c r="UFP1" s="305"/>
      <c r="UFQ1" s="305"/>
      <c r="UFR1" s="305"/>
      <c r="UFS1" s="305"/>
      <c r="UFT1" s="305"/>
      <c r="UFU1" s="305"/>
      <c r="UFV1" s="305"/>
      <c r="UFW1" s="305"/>
      <c r="UFX1" s="305"/>
      <c r="UFY1" s="305"/>
      <c r="UFZ1" s="305"/>
      <c r="UGA1" s="305"/>
      <c r="UGB1" s="305"/>
      <c r="UGC1" s="305"/>
      <c r="UGD1" s="305"/>
      <c r="UGE1" s="305"/>
      <c r="UGF1" s="305"/>
      <c r="UGG1" s="305"/>
      <c r="UGH1" s="305"/>
      <c r="UGI1" s="305"/>
      <c r="UGJ1" s="305"/>
      <c r="UGK1" s="305"/>
      <c r="UGL1" s="305"/>
      <c r="UGM1" s="305"/>
      <c r="UGN1" s="305"/>
      <c r="UGO1" s="305"/>
      <c r="UGP1" s="305"/>
      <c r="UGQ1" s="305"/>
      <c r="UGR1" s="305"/>
      <c r="UGS1" s="305"/>
      <c r="UGT1" s="305"/>
      <c r="UGU1" s="305"/>
      <c r="UGV1" s="305"/>
      <c r="UGW1" s="305"/>
      <c r="UGX1" s="305"/>
      <c r="UGY1" s="305"/>
      <c r="UGZ1" s="305"/>
      <c r="UHA1" s="305"/>
      <c r="UHB1" s="305"/>
      <c r="UHC1" s="305"/>
      <c r="UHD1" s="305"/>
      <c r="UHE1" s="305"/>
      <c r="UHF1" s="305"/>
      <c r="UHG1" s="305"/>
      <c r="UHH1" s="305"/>
      <c r="UHI1" s="305"/>
      <c r="UHJ1" s="305"/>
      <c r="UHK1" s="305"/>
      <c r="UHL1" s="305"/>
      <c r="UHM1" s="305"/>
      <c r="UHN1" s="305"/>
      <c r="UHO1" s="305"/>
      <c r="UHP1" s="305"/>
      <c r="UHQ1" s="305"/>
      <c r="UHR1" s="305"/>
      <c r="UHS1" s="305"/>
      <c r="UHT1" s="305"/>
      <c r="UHU1" s="305"/>
      <c r="UHV1" s="305"/>
      <c r="UHW1" s="305"/>
      <c r="UHX1" s="305"/>
      <c r="UHY1" s="305"/>
      <c r="UHZ1" s="305"/>
      <c r="UIA1" s="305"/>
      <c r="UIB1" s="305"/>
      <c r="UIC1" s="305"/>
      <c r="UID1" s="305"/>
      <c r="UIE1" s="305"/>
      <c r="UIF1" s="305"/>
      <c r="UIG1" s="305"/>
      <c r="UIH1" s="305"/>
      <c r="UII1" s="305"/>
      <c r="UIJ1" s="305"/>
      <c r="UIK1" s="305"/>
      <c r="UIL1" s="305"/>
      <c r="UIM1" s="305"/>
      <c r="UIN1" s="305"/>
      <c r="UIO1" s="305"/>
      <c r="UIP1" s="305"/>
      <c r="UIQ1" s="305"/>
      <c r="UIR1" s="305"/>
      <c r="UIS1" s="305"/>
      <c r="UIT1" s="305"/>
      <c r="UIU1" s="305"/>
      <c r="UIV1" s="305"/>
      <c r="UIW1" s="305"/>
      <c r="UIX1" s="305"/>
      <c r="UIY1" s="305"/>
      <c r="UIZ1" s="305"/>
      <c r="UJA1" s="305"/>
      <c r="UJB1" s="305"/>
      <c r="UJC1" s="305"/>
      <c r="UJD1" s="305"/>
      <c r="UJE1" s="305"/>
      <c r="UJF1" s="305"/>
      <c r="UJG1" s="305"/>
      <c r="UJH1" s="305"/>
      <c r="UJI1" s="305"/>
      <c r="UJJ1" s="305"/>
      <c r="UJK1" s="305"/>
      <c r="UJL1" s="305"/>
      <c r="UJM1" s="305"/>
      <c r="UJN1" s="305"/>
      <c r="UJO1" s="305"/>
      <c r="UJP1" s="305"/>
      <c r="UJQ1" s="305"/>
      <c r="UJR1" s="305"/>
      <c r="UJS1" s="305"/>
      <c r="UJT1" s="305"/>
      <c r="UJU1" s="305"/>
      <c r="UJV1" s="305"/>
      <c r="UJW1" s="305"/>
      <c r="UJX1" s="305"/>
      <c r="UJY1" s="305"/>
      <c r="UJZ1" s="305"/>
      <c r="UKA1" s="305"/>
      <c r="UKB1" s="305"/>
      <c r="UKC1" s="305"/>
      <c r="UKD1" s="305"/>
      <c r="UKE1" s="305"/>
      <c r="UKF1" s="305"/>
      <c r="UKG1" s="305"/>
      <c r="UKH1" s="305"/>
      <c r="UKI1" s="305"/>
      <c r="UKJ1" s="305"/>
      <c r="UKK1" s="305"/>
      <c r="UKL1" s="305"/>
      <c r="UKM1" s="305"/>
      <c r="UKN1" s="305"/>
      <c r="UKO1" s="305"/>
      <c r="UKP1" s="305"/>
      <c r="UKQ1" s="305"/>
      <c r="UKR1" s="305"/>
      <c r="UKS1" s="305"/>
      <c r="UKT1" s="305"/>
      <c r="UKU1" s="305"/>
      <c r="UKV1" s="305"/>
      <c r="UKW1" s="305"/>
      <c r="UKX1" s="305"/>
      <c r="UKY1" s="305"/>
      <c r="UKZ1" s="305"/>
      <c r="ULA1" s="305"/>
      <c r="ULB1" s="305"/>
      <c r="ULC1" s="305"/>
      <c r="ULD1" s="305"/>
      <c r="ULE1" s="305"/>
      <c r="ULF1" s="305"/>
      <c r="ULG1" s="305"/>
      <c r="ULH1" s="305"/>
      <c r="ULI1" s="305"/>
      <c r="ULJ1" s="305"/>
      <c r="ULK1" s="305"/>
      <c r="ULL1" s="305"/>
      <c r="ULM1" s="305"/>
      <c r="ULN1" s="305"/>
      <c r="ULO1" s="305"/>
      <c r="ULP1" s="305"/>
      <c r="ULQ1" s="305"/>
      <c r="ULR1" s="305"/>
      <c r="ULS1" s="305"/>
      <c r="ULT1" s="305"/>
      <c r="ULU1" s="305"/>
      <c r="ULV1" s="305"/>
      <c r="ULW1" s="305"/>
      <c r="ULX1" s="305"/>
      <c r="ULY1" s="305"/>
      <c r="ULZ1" s="305"/>
      <c r="UMA1" s="305"/>
      <c r="UMB1" s="305"/>
      <c r="UMC1" s="305"/>
      <c r="UMD1" s="305"/>
      <c r="UME1" s="305"/>
      <c r="UMF1" s="305"/>
      <c r="UMG1" s="305"/>
      <c r="UMH1" s="305"/>
      <c r="UMI1" s="305"/>
      <c r="UMJ1" s="305"/>
      <c r="UMK1" s="305"/>
      <c r="UML1" s="305"/>
      <c r="UMM1" s="305"/>
      <c r="UMN1" s="305"/>
      <c r="UMO1" s="305"/>
      <c r="UMP1" s="305"/>
      <c r="UMQ1" s="305"/>
      <c r="UMR1" s="305"/>
      <c r="UMS1" s="305"/>
      <c r="UMT1" s="305"/>
      <c r="UMU1" s="305"/>
      <c r="UMV1" s="305"/>
      <c r="UMW1" s="305"/>
      <c r="UMX1" s="305"/>
      <c r="UMY1" s="305"/>
      <c r="UMZ1" s="305"/>
      <c r="UNA1" s="305"/>
      <c r="UNB1" s="305"/>
      <c r="UNC1" s="305"/>
      <c r="UND1" s="305"/>
      <c r="UNE1" s="305"/>
      <c r="UNF1" s="305"/>
      <c r="UNG1" s="305"/>
      <c r="UNH1" s="305"/>
      <c r="UNI1" s="305"/>
      <c r="UNJ1" s="305"/>
      <c r="UNK1" s="305"/>
      <c r="UNL1" s="305"/>
      <c r="UNM1" s="305"/>
      <c r="UNN1" s="305"/>
      <c r="UNO1" s="305"/>
      <c r="UNP1" s="305"/>
      <c r="UNQ1" s="305"/>
      <c r="UNR1" s="305"/>
      <c r="UNS1" s="305"/>
      <c r="UNT1" s="305"/>
      <c r="UNU1" s="305"/>
      <c r="UNV1" s="305"/>
      <c r="UNW1" s="305"/>
      <c r="UNX1" s="305"/>
      <c r="UNY1" s="305"/>
      <c r="UNZ1" s="305"/>
      <c r="UOA1" s="305"/>
      <c r="UOB1" s="305"/>
      <c r="UOC1" s="305"/>
      <c r="UOD1" s="305"/>
      <c r="UOE1" s="305"/>
      <c r="UOF1" s="305"/>
      <c r="UOG1" s="305"/>
      <c r="UOH1" s="305"/>
      <c r="UOI1" s="305"/>
      <c r="UOJ1" s="305"/>
      <c r="UOK1" s="305"/>
      <c r="UOL1" s="305"/>
      <c r="UOM1" s="305"/>
      <c r="UON1" s="305"/>
      <c r="UOO1" s="305"/>
      <c r="UOP1" s="305"/>
      <c r="UOQ1" s="305"/>
      <c r="UOR1" s="305"/>
      <c r="UOS1" s="305"/>
      <c r="UOT1" s="305"/>
      <c r="UOU1" s="305"/>
      <c r="UOV1" s="305"/>
      <c r="UOW1" s="305"/>
      <c r="UOX1" s="305"/>
      <c r="UOY1" s="305"/>
      <c r="UOZ1" s="305"/>
      <c r="UPA1" s="305"/>
      <c r="UPB1" s="305"/>
      <c r="UPC1" s="305"/>
      <c r="UPD1" s="305"/>
      <c r="UPE1" s="305"/>
      <c r="UPF1" s="305"/>
      <c r="UPG1" s="305"/>
      <c r="UPH1" s="305"/>
      <c r="UPI1" s="305"/>
      <c r="UPJ1" s="305"/>
      <c r="UPK1" s="305"/>
      <c r="UPL1" s="305"/>
      <c r="UPM1" s="305"/>
      <c r="UPN1" s="305"/>
      <c r="UPO1" s="305"/>
      <c r="UPP1" s="305"/>
      <c r="UPQ1" s="305"/>
      <c r="UPR1" s="305"/>
      <c r="UPS1" s="305"/>
      <c r="UPT1" s="305"/>
      <c r="UPU1" s="305"/>
      <c r="UPV1" s="305"/>
      <c r="UPW1" s="305"/>
      <c r="UPX1" s="305"/>
      <c r="UPY1" s="305"/>
      <c r="UPZ1" s="305"/>
      <c r="UQA1" s="305"/>
      <c r="UQB1" s="305"/>
      <c r="UQC1" s="305"/>
      <c r="UQD1" s="305"/>
      <c r="UQE1" s="305"/>
      <c r="UQF1" s="305"/>
      <c r="UQG1" s="305"/>
      <c r="UQH1" s="305"/>
      <c r="UQI1" s="305"/>
      <c r="UQJ1" s="305"/>
      <c r="UQK1" s="305"/>
      <c r="UQL1" s="305"/>
      <c r="UQM1" s="305"/>
      <c r="UQN1" s="305"/>
      <c r="UQO1" s="305"/>
      <c r="UQP1" s="305"/>
      <c r="UQQ1" s="305"/>
      <c r="UQR1" s="305"/>
      <c r="UQS1" s="305"/>
      <c r="UQT1" s="305"/>
      <c r="UQU1" s="305"/>
      <c r="UQV1" s="305"/>
      <c r="UQW1" s="305"/>
      <c r="UQX1" s="305"/>
      <c r="UQY1" s="305"/>
      <c r="UQZ1" s="305"/>
      <c r="URA1" s="305"/>
      <c r="URB1" s="305"/>
      <c r="URC1" s="305"/>
      <c r="URD1" s="305"/>
      <c r="URE1" s="305"/>
      <c r="URF1" s="305"/>
      <c r="URG1" s="305"/>
      <c r="URH1" s="305"/>
      <c r="URI1" s="305"/>
      <c r="URJ1" s="305"/>
      <c r="URK1" s="305"/>
      <c r="URL1" s="305"/>
      <c r="URM1" s="305"/>
      <c r="URN1" s="305"/>
      <c r="URO1" s="305"/>
      <c r="URP1" s="305"/>
      <c r="URQ1" s="305"/>
      <c r="URR1" s="305"/>
      <c r="URS1" s="305"/>
      <c r="URT1" s="305"/>
      <c r="URU1" s="305"/>
      <c r="URV1" s="305"/>
      <c r="URW1" s="305"/>
      <c r="URX1" s="305"/>
      <c r="URY1" s="305"/>
      <c r="URZ1" s="305"/>
      <c r="USA1" s="305"/>
      <c r="USB1" s="305"/>
      <c r="USC1" s="305"/>
      <c r="USD1" s="305"/>
      <c r="USE1" s="305"/>
      <c r="USF1" s="305"/>
      <c r="USG1" s="305"/>
      <c r="USH1" s="305"/>
      <c r="USI1" s="305"/>
      <c r="USJ1" s="305"/>
      <c r="USK1" s="305"/>
      <c r="USL1" s="305"/>
      <c r="USM1" s="305"/>
      <c r="USN1" s="305"/>
      <c r="USO1" s="305"/>
      <c r="USP1" s="305"/>
      <c r="USQ1" s="305"/>
      <c r="USR1" s="305"/>
      <c r="USS1" s="305"/>
      <c r="UST1" s="305"/>
      <c r="USU1" s="305"/>
      <c r="USV1" s="305"/>
      <c r="USW1" s="305"/>
      <c r="USX1" s="305"/>
      <c r="USY1" s="305"/>
      <c r="USZ1" s="305"/>
      <c r="UTA1" s="305"/>
      <c r="UTB1" s="305"/>
      <c r="UTC1" s="305"/>
      <c r="UTD1" s="305"/>
      <c r="UTE1" s="305"/>
      <c r="UTF1" s="305"/>
      <c r="UTG1" s="305"/>
      <c r="UTH1" s="305"/>
      <c r="UTI1" s="305"/>
      <c r="UTJ1" s="305"/>
      <c r="UTK1" s="305"/>
      <c r="UTL1" s="305"/>
      <c r="UTM1" s="305"/>
      <c r="UTN1" s="305"/>
      <c r="UTO1" s="305"/>
      <c r="UTP1" s="305"/>
      <c r="UTQ1" s="305"/>
      <c r="UTR1" s="305"/>
      <c r="UTS1" s="305"/>
      <c r="UTT1" s="305"/>
      <c r="UTU1" s="305"/>
      <c r="UTV1" s="305"/>
      <c r="UTW1" s="305"/>
      <c r="UTX1" s="305"/>
      <c r="UTY1" s="305"/>
      <c r="UTZ1" s="305"/>
      <c r="UUA1" s="305"/>
      <c r="UUB1" s="305"/>
      <c r="UUC1" s="305"/>
      <c r="UUD1" s="305"/>
      <c r="UUE1" s="305"/>
      <c r="UUF1" s="305"/>
      <c r="UUG1" s="305"/>
      <c r="UUH1" s="305"/>
      <c r="UUI1" s="305"/>
      <c r="UUJ1" s="305"/>
      <c r="UUK1" s="305"/>
      <c r="UUL1" s="305"/>
      <c r="UUM1" s="305"/>
      <c r="UUN1" s="305"/>
      <c r="UUO1" s="305"/>
      <c r="UUP1" s="305"/>
      <c r="UUQ1" s="305"/>
      <c r="UUR1" s="305"/>
      <c r="UUS1" s="305"/>
      <c r="UUT1" s="305"/>
      <c r="UUU1" s="305"/>
      <c r="UUV1" s="305"/>
      <c r="UUW1" s="305"/>
      <c r="UUX1" s="305"/>
      <c r="UUY1" s="305"/>
      <c r="UUZ1" s="305"/>
      <c r="UVA1" s="305"/>
      <c r="UVB1" s="305"/>
      <c r="UVC1" s="305"/>
      <c r="UVD1" s="305"/>
      <c r="UVE1" s="305"/>
      <c r="UVF1" s="305"/>
      <c r="UVG1" s="305"/>
      <c r="UVH1" s="305"/>
      <c r="UVI1" s="305"/>
      <c r="UVJ1" s="305"/>
      <c r="UVK1" s="305"/>
      <c r="UVL1" s="305"/>
      <c r="UVM1" s="305"/>
      <c r="UVN1" s="305"/>
      <c r="UVO1" s="305"/>
      <c r="UVP1" s="305"/>
      <c r="UVQ1" s="305"/>
      <c r="UVR1" s="305"/>
      <c r="UVS1" s="305"/>
      <c r="UVT1" s="305"/>
      <c r="UVU1" s="305"/>
      <c r="UVV1" s="305"/>
      <c r="UVW1" s="305"/>
      <c r="UVX1" s="305"/>
      <c r="UVY1" s="305"/>
      <c r="UVZ1" s="305"/>
      <c r="UWA1" s="305"/>
      <c r="UWB1" s="305"/>
      <c r="UWC1" s="305"/>
      <c r="UWD1" s="305"/>
      <c r="UWE1" s="305"/>
      <c r="UWF1" s="305"/>
      <c r="UWG1" s="305"/>
      <c r="UWH1" s="305"/>
      <c r="UWI1" s="305"/>
      <c r="UWJ1" s="305"/>
      <c r="UWK1" s="305"/>
      <c r="UWL1" s="305"/>
      <c r="UWM1" s="305"/>
      <c r="UWN1" s="305"/>
      <c r="UWO1" s="305"/>
      <c r="UWP1" s="305"/>
      <c r="UWQ1" s="305"/>
      <c r="UWR1" s="305"/>
      <c r="UWS1" s="305"/>
      <c r="UWT1" s="305"/>
      <c r="UWU1" s="305"/>
      <c r="UWV1" s="305"/>
      <c r="UWW1" s="305"/>
      <c r="UWX1" s="305"/>
      <c r="UWY1" s="305"/>
      <c r="UWZ1" s="305"/>
      <c r="UXA1" s="305"/>
      <c r="UXB1" s="305"/>
      <c r="UXC1" s="305"/>
      <c r="UXD1" s="305"/>
      <c r="UXE1" s="305"/>
      <c r="UXF1" s="305"/>
      <c r="UXG1" s="305"/>
      <c r="UXH1" s="305"/>
      <c r="UXI1" s="305"/>
      <c r="UXJ1" s="305"/>
      <c r="UXK1" s="305"/>
      <c r="UXL1" s="305"/>
      <c r="UXM1" s="305"/>
      <c r="UXN1" s="305"/>
      <c r="UXO1" s="305"/>
      <c r="UXP1" s="305"/>
      <c r="UXQ1" s="305"/>
      <c r="UXR1" s="305"/>
      <c r="UXS1" s="305"/>
      <c r="UXT1" s="305"/>
      <c r="UXU1" s="305"/>
      <c r="UXV1" s="305"/>
      <c r="UXW1" s="305"/>
      <c r="UXX1" s="305"/>
      <c r="UXY1" s="305"/>
      <c r="UXZ1" s="305"/>
      <c r="UYA1" s="305"/>
      <c r="UYB1" s="305"/>
      <c r="UYC1" s="305"/>
      <c r="UYD1" s="305"/>
      <c r="UYE1" s="305"/>
      <c r="UYF1" s="305"/>
      <c r="UYG1" s="305"/>
      <c r="UYH1" s="305"/>
      <c r="UYI1" s="305"/>
      <c r="UYJ1" s="305"/>
      <c r="UYK1" s="305"/>
      <c r="UYL1" s="305"/>
      <c r="UYM1" s="305"/>
      <c r="UYN1" s="305"/>
      <c r="UYO1" s="305"/>
      <c r="UYP1" s="305"/>
      <c r="UYQ1" s="305"/>
      <c r="UYR1" s="305"/>
      <c r="UYS1" s="305"/>
      <c r="UYT1" s="305"/>
      <c r="UYU1" s="305"/>
      <c r="UYV1" s="305"/>
      <c r="UYW1" s="305"/>
      <c r="UYX1" s="305"/>
      <c r="UYY1" s="305"/>
      <c r="UYZ1" s="305"/>
      <c r="UZA1" s="305"/>
      <c r="UZB1" s="305"/>
      <c r="UZC1" s="305"/>
      <c r="UZD1" s="305"/>
      <c r="UZE1" s="305"/>
      <c r="UZF1" s="305"/>
      <c r="UZG1" s="305"/>
      <c r="UZH1" s="305"/>
      <c r="UZI1" s="305"/>
      <c r="UZJ1" s="305"/>
      <c r="UZK1" s="305"/>
      <c r="UZL1" s="305"/>
      <c r="UZM1" s="305"/>
      <c r="UZN1" s="305"/>
      <c r="UZO1" s="305"/>
      <c r="UZP1" s="305"/>
      <c r="UZQ1" s="305"/>
      <c r="UZR1" s="305"/>
      <c r="UZS1" s="305"/>
      <c r="UZT1" s="305"/>
      <c r="UZU1" s="305"/>
      <c r="UZV1" s="305"/>
      <c r="UZW1" s="305"/>
      <c r="UZX1" s="305"/>
      <c r="UZY1" s="305"/>
      <c r="UZZ1" s="305"/>
      <c r="VAA1" s="305"/>
      <c r="VAB1" s="305"/>
      <c r="VAC1" s="305"/>
      <c r="VAD1" s="305"/>
      <c r="VAE1" s="305"/>
      <c r="VAF1" s="305"/>
      <c r="VAG1" s="305"/>
      <c r="VAH1" s="305"/>
      <c r="VAI1" s="305"/>
      <c r="VAJ1" s="305"/>
      <c r="VAK1" s="305"/>
      <c r="VAL1" s="305"/>
      <c r="VAM1" s="305"/>
      <c r="VAN1" s="305"/>
      <c r="VAO1" s="305"/>
      <c r="VAP1" s="305"/>
      <c r="VAQ1" s="305"/>
      <c r="VAR1" s="305"/>
      <c r="VAS1" s="305"/>
      <c r="VAT1" s="305"/>
      <c r="VAU1" s="305"/>
      <c r="VAV1" s="305"/>
      <c r="VAW1" s="305"/>
      <c r="VAX1" s="305"/>
      <c r="VAY1" s="305"/>
      <c r="VAZ1" s="305"/>
      <c r="VBA1" s="305"/>
      <c r="VBB1" s="305"/>
      <c r="VBC1" s="305"/>
      <c r="VBD1" s="305"/>
      <c r="VBE1" s="305"/>
      <c r="VBF1" s="305"/>
      <c r="VBG1" s="305"/>
      <c r="VBH1" s="305"/>
      <c r="VBI1" s="305"/>
      <c r="VBJ1" s="305"/>
      <c r="VBK1" s="305"/>
      <c r="VBL1" s="305"/>
      <c r="VBM1" s="305"/>
      <c r="VBN1" s="305"/>
      <c r="VBO1" s="305"/>
      <c r="VBP1" s="305"/>
      <c r="VBQ1" s="305"/>
      <c r="VBR1" s="305"/>
      <c r="VBS1" s="305"/>
      <c r="VBT1" s="305"/>
      <c r="VBU1" s="305"/>
      <c r="VBV1" s="305"/>
      <c r="VBW1" s="305"/>
      <c r="VBX1" s="305"/>
      <c r="VBY1" s="305"/>
      <c r="VBZ1" s="305"/>
      <c r="VCA1" s="305"/>
      <c r="VCB1" s="305"/>
      <c r="VCC1" s="305"/>
      <c r="VCD1" s="305"/>
      <c r="VCE1" s="305"/>
      <c r="VCF1" s="305"/>
      <c r="VCG1" s="305"/>
      <c r="VCH1" s="305"/>
      <c r="VCI1" s="305"/>
      <c r="VCJ1" s="305"/>
      <c r="VCK1" s="305"/>
      <c r="VCL1" s="305"/>
      <c r="VCM1" s="305"/>
      <c r="VCN1" s="305"/>
      <c r="VCO1" s="305"/>
      <c r="VCP1" s="305"/>
      <c r="VCQ1" s="305"/>
      <c r="VCR1" s="305"/>
      <c r="VCS1" s="305"/>
      <c r="VCT1" s="305"/>
      <c r="VCU1" s="305"/>
      <c r="VCV1" s="305"/>
      <c r="VCW1" s="305"/>
      <c r="VCX1" s="305"/>
      <c r="VCY1" s="305"/>
      <c r="VCZ1" s="305"/>
      <c r="VDA1" s="305"/>
      <c r="VDB1" s="305"/>
      <c r="VDC1" s="305"/>
      <c r="VDD1" s="305"/>
      <c r="VDE1" s="305"/>
      <c r="VDF1" s="305"/>
      <c r="VDG1" s="305"/>
      <c r="VDH1" s="305"/>
      <c r="VDI1" s="305"/>
      <c r="VDJ1" s="305"/>
      <c r="VDK1" s="305"/>
      <c r="VDL1" s="305"/>
      <c r="VDM1" s="305"/>
      <c r="VDN1" s="305"/>
      <c r="VDO1" s="305"/>
      <c r="VDP1" s="305"/>
      <c r="VDQ1" s="305"/>
      <c r="VDR1" s="305"/>
      <c r="VDS1" s="305"/>
      <c r="VDT1" s="305"/>
      <c r="VDU1" s="305"/>
      <c r="VDV1" s="305"/>
      <c r="VDW1" s="305"/>
      <c r="VDX1" s="305"/>
      <c r="VDY1" s="305"/>
      <c r="VDZ1" s="305"/>
      <c r="VEA1" s="305"/>
      <c r="VEB1" s="305"/>
      <c r="VEC1" s="305"/>
      <c r="VED1" s="305"/>
      <c r="VEE1" s="305"/>
      <c r="VEF1" s="305"/>
      <c r="VEG1" s="305"/>
      <c r="VEH1" s="305"/>
      <c r="VEI1" s="305"/>
      <c r="VEJ1" s="305"/>
      <c r="VEK1" s="305"/>
      <c r="VEL1" s="305"/>
      <c r="VEM1" s="305"/>
      <c r="VEN1" s="305"/>
      <c r="VEO1" s="305"/>
      <c r="VEP1" s="305"/>
      <c r="VEQ1" s="305"/>
      <c r="VER1" s="305"/>
      <c r="VES1" s="305"/>
      <c r="VET1" s="305"/>
      <c r="VEU1" s="305"/>
      <c r="VEV1" s="305"/>
      <c r="VEW1" s="305"/>
      <c r="VEX1" s="305"/>
      <c r="VEY1" s="305"/>
      <c r="VEZ1" s="305"/>
      <c r="VFA1" s="305"/>
      <c r="VFB1" s="305"/>
      <c r="VFC1" s="305"/>
      <c r="VFD1" s="305"/>
      <c r="VFE1" s="305"/>
      <c r="VFF1" s="305"/>
      <c r="VFG1" s="305"/>
      <c r="VFH1" s="305"/>
      <c r="VFI1" s="305"/>
      <c r="VFJ1" s="305"/>
      <c r="VFK1" s="305"/>
      <c r="VFL1" s="305"/>
      <c r="VFM1" s="305"/>
      <c r="VFN1" s="305"/>
      <c r="VFO1" s="305"/>
      <c r="VFP1" s="305"/>
      <c r="VFQ1" s="305"/>
      <c r="VFR1" s="305"/>
      <c r="VFS1" s="305"/>
      <c r="VFT1" s="305"/>
      <c r="VFU1" s="305"/>
      <c r="VFV1" s="305"/>
      <c r="VFW1" s="305"/>
      <c r="VFX1" s="305"/>
      <c r="VFY1" s="305"/>
      <c r="VFZ1" s="305"/>
      <c r="VGA1" s="305"/>
      <c r="VGB1" s="305"/>
      <c r="VGC1" s="305"/>
      <c r="VGD1" s="305"/>
      <c r="VGE1" s="305"/>
      <c r="VGF1" s="305"/>
      <c r="VGG1" s="305"/>
      <c r="VGH1" s="305"/>
      <c r="VGI1" s="305"/>
      <c r="VGJ1" s="305"/>
      <c r="VGK1" s="305"/>
      <c r="VGL1" s="305"/>
      <c r="VGM1" s="305"/>
      <c r="VGN1" s="305"/>
      <c r="VGO1" s="305"/>
      <c r="VGP1" s="305"/>
      <c r="VGQ1" s="305"/>
      <c r="VGR1" s="305"/>
      <c r="VGS1" s="305"/>
      <c r="VGT1" s="305"/>
      <c r="VGU1" s="305"/>
      <c r="VGV1" s="305"/>
      <c r="VGW1" s="305"/>
      <c r="VGX1" s="305"/>
      <c r="VGY1" s="305"/>
      <c r="VGZ1" s="305"/>
      <c r="VHA1" s="305"/>
      <c r="VHB1" s="305"/>
      <c r="VHC1" s="305"/>
      <c r="VHD1" s="305"/>
      <c r="VHE1" s="305"/>
      <c r="VHF1" s="305"/>
      <c r="VHG1" s="305"/>
      <c r="VHH1" s="305"/>
      <c r="VHI1" s="305"/>
      <c r="VHJ1" s="305"/>
      <c r="VHK1" s="305"/>
      <c r="VHL1" s="305"/>
      <c r="VHM1" s="305"/>
      <c r="VHN1" s="305"/>
      <c r="VHO1" s="305"/>
      <c r="VHP1" s="305"/>
      <c r="VHQ1" s="305"/>
      <c r="VHR1" s="305"/>
      <c r="VHS1" s="305"/>
      <c r="VHT1" s="305"/>
      <c r="VHU1" s="305"/>
      <c r="VHV1" s="305"/>
      <c r="VHW1" s="305"/>
      <c r="VHX1" s="305"/>
      <c r="VHY1" s="305"/>
      <c r="VHZ1" s="305"/>
      <c r="VIA1" s="305"/>
      <c r="VIB1" s="305"/>
      <c r="VIC1" s="305"/>
      <c r="VID1" s="305"/>
      <c r="VIE1" s="305"/>
      <c r="VIF1" s="305"/>
      <c r="VIG1" s="305"/>
      <c r="VIH1" s="305"/>
      <c r="VII1" s="305"/>
      <c r="VIJ1" s="305"/>
      <c r="VIK1" s="305"/>
      <c r="VIL1" s="305"/>
      <c r="VIM1" s="305"/>
      <c r="VIN1" s="305"/>
      <c r="VIO1" s="305"/>
      <c r="VIP1" s="305"/>
      <c r="VIQ1" s="305"/>
      <c r="VIR1" s="305"/>
      <c r="VIS1" s="305"/>
      <c r="VIT1" s="305"/>
      <c r="VIU1" s="305"/>
      <c r="VIV1" s="305"/>
      <c r="VIW1" s="305"/>
      <c r="VIX1" s="305"/>
      <c r="VIY1" s="305"/>
      <c r="VIZ1" s="305"/>
      <c r="VJA1" s="305"/>
      <c r="VJB1" s="305"/>
      <c r="VJC1" s="305"/>
      <c r="VJD1" s="305"/>
      <c r="VJE1" s="305"/>
      <c r="VJF1" s="305"/>
      <c r="VJG1" s="305"/>
      <c r="VJH1" s="305"/>
      <c r="VJI1" s="305"/>
      <c r="VJJ1" s="305"/>
      <c r="VJK1" s="305"/>
      <c r="VJL1" s="305"/>
      <c r="VJM1" s="305"/>
      <c r="VJN1" s="305"/>
      <c r="VJO1" s="305"/>
      <c r="VJP1" s="305"/>
      <c r="VJQ1" s="305"/>
      <c r="VJR1" s="305"/>
      <c r="VJS1" s="305"/>
      <c r="VJT1" s="305"/>
      <c r="VJU1" s="305"/>
      <c r="VJV1" s="305"/>
      <c r="VJW1" s="305"/>
      <c r="VJX1" s="305"/>
      <c r="VJY1" s="305"/>
      <c r="VJZ1" s="305"/>
      <c r="VKA1" s="305"/>
      <c r="VKB1" s="305"/>
      <c r="VKC1" s="305"/>
      <c r="VKD1" s="305"/>
      <c r="VKE1" s="305"/>
      <c r="VKF1" s="305"/>
      <c r="VKG1" s="305"/>
      <c r="VKH1" s="305"/>
      <c r="VKI1" s="305"/>
      <c r="VKJ1" s="305"/>
      <c r="VKK1" s="305"/>
      <c r="VKL1" s="305"/>
      <c r="VKM1" s="305"/>
      <c r="VKN1" s="305"/>
      <c r="VKO1" s="305"/>
      <c r="VKP1" s="305"/>
      <c r="VKQ1" s="305"/>
      <c r="VKR1" s="305"/>
      <c r="VKS1" s="305"/>
      <c r="VKT1" s="305"/>
      <c r="VKU1" s="305"/>
      <c r="VKV1" s="305"/>
      <c r="VKW1" s="305"/>
      <c r="VKX1" s="305"/>
      <c r="VKY1" s="305"/>
      <c r="VKZ1" s="305"/>
      <c r="VLA1" s="305"/>
      <c r="VLB1" s="305"/>
      <c r="VLC1" s="305"/>
      <c r="VLD1" s="305"/>
      <c r="VLE1" s="305"/>
      <c r="VLF1" s="305"/>
      <c r="VLG1" s="305"/>
      <c r="VLH1" s="305"/>
      <c r="VLI1" s="305"/>
      <c r="VLJ1" s="305"/>
      <c r="VLK1" s="305"/>
      <c r="VLL1" s="305"/>
      <c r="VLM1" s="305"/>
      <c r="VLN1" s="305"/>
      <c r="VLO1" s="305"/>
      <c r="VLP1" s="305"/>
      <c r="VLQ1" s="305"/>
      <c r="VLR1" s="305"/>
      <c r="VLS1" s="305"/>
      <c r="VLT1" s="305"/>
      <c r="VLU1" s="305"/>
      <c r="VLV1" s="305"/>
      <c r="VLW1" s="305"/>
      <c r="VLX1" s="305"/>
      <c r="VLY1" s="305"/>
      <c r="VLZ1" s="305"/>
      <c r="VMA1" s="305"/>
      <c r="VMB1" s="305"/>
      <c r="VMC1" s="305"/>
      <c r="VMD1" s="305"/>
      <c r="VME1" s="305"/>
      <c r="VMF1" s="305"/>
      <c r="VMG1" s="305"/>
      <c r="VMH1" s="305"/>
      <c r="VMI1" s="305"/>
      <c r="VMJ1" s="305"/>
      <c r="VMK1" s="305"/>
      <c r="VML1" s="305"/>
      <c r="VMM1" s="305"/>
      <c r="VMN1" s="305"/>
      <c r="VMO1" s="305"/>
      <c r="VMP1" s="305"/>
      <c r="VMQ1" s="305"/>
      <c r="VMR1" s="305"/>
      <c r="VMS1" s="305"/>
      <c r="VMT1" s="305"/>
      <c r="VMU1" s="305"/>
      <c r="VMV1" s="305"/>
      <c r="VMW1" s="305"/>
      <c r="VMX1" s="305"/>
      <c r="VMY1" s="305"/>
      <c r="VMZ1" s="305"/>
      <c r="VNA1" s="305"/>
      <c r="VNB1" s="305"/>
      <c r="VNC1" s="305"/>
      <c r="VND1" s="305"/>
      <c r="VNE1" s="305"/>
      <c r="VNF1" s="305"/>
      <c r="VNG1" s="305"/>
      <c r="VNH1" s="305"/>
      <c r="VNI1" s="305"/>
      <c r="VNJ1" s="305"/>
      <c r="VNK1" s="305"/>
      <c r="VNL1" s="305"/>
      <c r="VNM1" s="305"/>
      <c r="VNN1" s="305"/>
      <c r="VNO1" s="305"/>
      <c r="VNP1" s="305"/>
      <c r="VNQ1" s="305"/>
      <c r="VNR1" s="305"/>
      <c r="VNS1" s="305"/>
      <c r="VNT1" s="305"/>
      <c r="VNU1" s="305"/>
      <c r="VNV1" s="305"/>
      <c r="VNW1" s="305"/>
      <c r="VNX1" s="305"/>
      <c r="VNY1" s="305"/>
      <c r="VNZ1" s="305"/>
      <c r="VOA1" s="305"/>
      <c r="VOB1" s="305"/>
      <c r="VOC1" s="305"/>
      <c r="VOD1" s="305"/>
      <c r="VOE1" s="305"/>
      <c r="VOF1" s="305"/>
      <c r="VOG1" s="305"/>
      <c r="VOH1" s="305"/>
      <c r="VOI1" s="305"/>
      <c r="VOJ1" s="305"/>
      <c r="VOK1" s="305"/>
      <c r="VOL1" s="305"/>
      <c r="VOM1" s="305"/>
      <c r="VON1" s="305"/>
      <c r="VOO1" s="305"/>
      <c r="VOP1" s="305"/>
      <c r="VOQ1" s="305"/>
      <c r="VOR1" s="305"/>
      <c r="VOS1" s="305"/>
      <c r="VOT1" s="305"/>
      <c r="VOU1" s="305"/>
      <c r="VOV1" s="305"/>
      <c r="VOW1" s="305"/>
      <c r="VOX1" s="305"/>
      <c r="VOY1" s="305"/>
      <c r="VOZ1" s="305"/>
      <c r="VPA1" s="305"/>
      <c r="VPB1" s="305"/>
      <c r="VPC1" s="305"/>
      <c r="VPD1" s="305"/>
      <c r="VPE1" s="305"/>
      <c r="VPF1" s="305"/>
      <c r="VPG1" s="305"/>
      <c r="VPH1" s="305"/>
      <c r="VPI1" s="305"/>
      <c r="VPJ1" s="305"/>
      <c r="VPK1" s="305"/>
      <c r="VPL1" s="305"/>
      <c r="VPM1" s="305"/>
      <c r="VPN1" s="305"/>
      <c r="VPO1" s="305"/>
      <c r="VPP1" s="305"/>
      <c r="VPQ1" s="305"/>
      <c r="VPR1" s="305"/>
      <c r="VPS1" s="305"/>
      <c r="VPT1" s="305"/>
      <c r="VPU1" s="305"/>
      <c r="VPV1" s="305"/>
      <c r="VPW1" s="305"/>
      <c r="VPX1" s="305"/>
      <c r="VPY1" s="305"/>
      <c r="VPZ1" s="305"/>
      <c r="VQA1" s="305"/>
      <c r="VQB1" s="305"/>
      <c r="VQC1" s="305"/>
      <c r="VQD1" s="305"/>
      <c r="VQE1" s="305"/>
      <c r="VQF1" s="305"/>
      <c r="VQG1" s="305"/>
      <c r="VQH1" s="305"/>
      <c r="VQI1" s="305"/>
      <c r="VQJ1" s="305"/>
      <c r="VQK1" s="305"/>
      <c r="VQL1" s="305"/>
      <c r="VQM1" s="305"/>
      <c r="VQN1" s="305"/>
      <c r="VQO1" s="305"/>
      <c r="VQP1" s="305"/>
      <c r="VQQ1" s="305"/>
      <c r="VQR1" s="305"/>
      <c r="VQS1" s="305"/>
      <c r="VQT1" s="305"/>
      <c r="VQU1" s="305"/>
      <c r="VQV1" s="305"/>
      <c r="VQW1" s="305"/>
      <c r="VQX1" s="305"/>
      <c r="VQY1" s="305"/>
      <c r="VQZ1" s="305"/>
      <c r="VRA1" s="305"/>
      <c r="VRB1" s="305"/>
      <c r="VRC1" s="305"/>
      <c r="VRD1" s="305"/>
      <c r="VRE1" s="305"/>
      <c r="VRF1" s="305"/>
      <c r="VRG1" s="305"/>
      <c r="VRH1" s="305"/>
      <c r="VRI1" s="305"/>
      <c r="VRJ1" s="305"/>
      <c r="VRK1" s="305"/>
      <c r="VRL1" s="305"/>
      <c r="VRM1" s="305"/>
      <c r="VRN1" s="305"/>
      <c r="VRO1" s="305"/>
      <c r="VRP1" s="305"/>
      <c r="VRQ1" s="305"/>
      <c r="VRR1" s="305"/>
      <c r="VRS1" s="305"/>
      <c r="VRT1" s="305"/>
      <c r="VRU1" s="305"/>
      <c r="VRV1" s="305"/>
      <c r="VRW1" s="305"/>
      <c r="VRX1" s="305"/>
      <c r="VRY1" s="305"/>
      <c r="VRZ1" s="305"/>
      <c r="VSA1" s="305"/>
      <c r="VSB1" s="305"/>
      <c r="VSC1" s="305"/>
      <c r="VSD1" s="305"/>
      <c r="VSE1" s="305"/>
      <c r="VSF1" s="305"/>
      <c r="VSG1" s="305"/>
      <c r="VSH1" s="305"/>
      <c r="VSI1" s="305"/>
      <c r="VSJ1" s="305"/>
      <c r="VSK1" s="305"/>
      <c r="VSL1" s="305"/>
      <c r="VSM1" s="305"/>
      <c r="VSN1" s="305"/>
      <c r="VSO1" s="305"/>
      <c r="VSP1" s="305"/>
      <c r="VSQ1" s="305"/>
      <c r="VSR1" s="305"/>
      <c r="VSS1" s="305"/>
      <c r="VST1" s="305"/>
      <c r="VSU1" s="305"/>
      <c r="VSV1" s="305"/>
      <c r="VSW1" s="305"/>
      <c r="VSX1" s="305"/>
      <c r="VSY1" s="305"/>
      <c r="VSZ1" s="305"/>
      <c r="VTA1" s="305"/>
      <c r="VTB1" s="305"/>
      <c r="VTC1" s="305"/>
      <c r="VTD1" s="305"/>
      <c r="VTE1" s="305"/>
      <c r="VTF1" s="305"/>
      <c r="VTG1" s="305"/>
      <c r="VTH1" s="305"/>
      <c r="VTI1" s="305"/>
      <c r="VTJ1" s="305"/>
      <c r="VTK1" s="305"/>
      <c r="VTL1" s="305"/>
      <c r="VTM1" s="305"/>
      <c r="VTN1" s="305"/>
      <c r="VTO1" s="305"/>
      <c r="VTP1" s="305"/>
      <c r="VTQ1" s="305"/>
      <c r="VTR1" s="305"/>
      <c r="VTS1" s="305"/>
      <c r="VTT1" s="305"/>
      <c r="VTU1" s="305"/>
      <c r="VTV1" s="305"/>
      <c r="VTW1" s="305"/>
      <c r="VTX1" s="305"/>
      <c r="VTY1" s="305"/>
      <c r="VTZ1" s="305"/>
      <c r="VUA1" s="305"/>
      <c r="VUB1" s="305"/>
      <c r="VUC1" s="305"/>
      <c r="VUD1" s="305"/>
      <c r="VUE1" s="305"/>
      <c r="VUF1" s="305"/>
      <c r="VUG1" s="305"/>
      <c r="VUH1" s="305"/>
      <c r="VUI1" s="305"/>
      <c r="VUJ1" s="305"/>
      <c r="VUK1" s="305"/>
      <c r="VUL1" s="305"/>
      <c r="VUM1" s="305"/>
      <c r="VUN1" s="305"/>
      <c r="VUO1" s="305"/>
      <c r="VUP1" s="305"/>
      <c r="VUQ1" s="305"/>
      <c r="VUR1" s="305"/>
      <c r="VUS1" s="305"/>
      <c r="VUT1" s="305"/>
      <c r="VUU1" s="305"/>
      <c r="VUV1" s="305"/>
      <c r="VUW1" s="305"/>
      <c r="VUX1" s="305"/>
      <c r="VUY1" s="305"/>
      <c r="VUZ1" s="305"/>
      <c r="VVA1" s="305"/>
      <c r="VVB1" s="305"/>
      <c r="VVC1" s="305"/>
      <c r="VVD1" s="305"/>
      <c r="VVE1" s="305"/>
      <c r="VVF1" s="305"/>
      <c r="VVG1" s="305"/>
      <c r="VVH1" s="305"/>
      <c r="VVI1" s="305"/>
      <c r="VVJ1" s="305"/>
      <c r="VVK1" s="305"/>
      <c r="VVL1" s="305"/>
      <c r="VVM1" s="305"/>
      <c r="VVN1" s="305"/>
      <c r="VVO1" s="305"/>
      <c r="VVP1" s="305"/>
      <c r="VVQ1" s="305"/>
      <c r="VVR1" s="305"/>
      <c r="VVS1" s="305"/>
      <c r="VVT1" s="305"/>
      <c r="VVU1" s="305"/>
      <c r="VVV1" s="305"/>
      <c r="VVW1" s="305"/>
      <c r="VVX1" s="305"/>
      <c r="VVY1" s="305"/>
      <c r="VVZ1" s="305"/>
      <c r="VWA1" s="305"/>
      <c r="VWB1" s="305"/>
      <c r="VWC1" s="305"/>
      <c r="VWD1" s="305"/>
      <c r="VWE1" s="305"/>
      <c r="VWF1" s="305"/>
      <c r="VWG1" s="305"/>
      <c r="VWH1" s="305"/>
      <c r="VWI1" s="305"/>
      <c r="VWJ1" s="305"/>
      <c r="VWK1" s="305"/>
      <c r="VWL1" s="305"/>
      <c r="VWM1" s="305"/>
      <c r="VWN1" s="305"/>
      <c r="VWO1" s="305"/>
      <c r="VWP1" s="305"/>
      <c r="VWQ1" s="305"/>
      <c r="VWR1" s="305"/>
      <c r="VWS1" s="305"/>
      <c r="VWT1" s="305"/>
      <c r="VWU1" s="305"/>
      <c r="VWV1" s="305"/>
      <c r="VWW1" s="305"/>
      <c r="VWX1" s="305"/>
      <c r="VWY1" s="305"/>
      <c r="VWZ1" s="305"/>
      <c r="VXA1" s="305"/>
      <c r="VXB1" s="305"/>
      <c r="VXC1" s="305"/>
      <c r="VXD1" s="305"/>
      <c r="VXE1" s="305"/>
      <c r="VXF1" s="305"/>
      <c r="VXG1" s="305"/>
      <c r="VXH1" s="305"/>
      <c r="VXI1" s="305"/>
      <c r="VXJ1" s="305"/>
      <c r="VXK1" s="305"/>
      <c r="VXL1" s="305"/>
      <c r="VXM1" s="305"/>
      <c r="VXN1" s="305"/>
      <c r="VXO1" s="305"/>
      <c r="VXP1" s="305"/>
      <c r="VXQ1" s="305"/>
      <c r="VXR1" s="305"/>
      <c r="VXS1" s="305"/>
      <c r="VXT1" s="305"/>
      <c r="VXU1" s="305"/>
      <c r="VXV1" s="305"/>
      <c r="VXW1" s="305"/>
      <c r="VXX1" s="305"/>
      <c r="VXY1" s="305"/>
      <c r="VXZ1" s="305"/>
      <c r="VYA1" s="305"/>
      <c r="VYB1" s="305"/>
      <c r="VYC1" s="305"/>
      <c r="VYD1" s="305"/>
      <c r="VYE1" s="305"/>
      <c r="VYF1" s="305"/>
      <c r="VYG1" s="305"/>
      <c r="VYH1" s="305"/>
      <c r="VYI1" s="305"/>
      <c r="VYJ1" s="305"/>
      <c r="VYK1" s="305"/>
      <c r="VYL1" s="305"/>
      <c r="VYM1" s="305"/>
      <c r="VYN1" s="305"/>
      <c r="VYO1" s="305"/>
      <c r="VYP1" s="305"/>
      <c r="VYQ1" s="305"/>
      <c r="VYR1" s="305"/>
      <c r="VYS1" s="305"/>
      <c r="VYT1" s="305"/>
      <c r="VYU1" s="305"/>
      <c r="VYV1" s="305"/>
      <c r="VYW1" s="305"/>
      <c r="VYX1" s="305"/>
      <c r="VYY1" s="305"/>
      <c r="VYZ1" s="305"/>
      <c r="VZA1" s="305"/>
      <c r="VZB1" s="305"/>
      <c r="VZC1" s="305"/>
      <c r="VZD1" s="305"/>
      <c r="VZE1" s="305"/>
      <c r="VZF1" s="305"/>
      <c r="VZG1" s="305"/>
      <c r="VZH1" s="305"/>
      <c r="VZI1" s="305"/>
      <c r="VZJ1" s="305"/>
      <c r="VZK1" s="305"/>
      <c r="VZL1" s="305"/>
      <c r="VZM1" s="305"/>
      <c r="VZN1" s="305"/>
      <c r="VZO1" s="305"/>
      <c r="VZP1" s="305"/>
      <c r="VZQ1" s="305"/>
      <c r="VZR1" s="305"/>
      <c r="VZS1" s="305"/>
      <c r="VZT1" s="305"/>
      <c r="VZU1" s="305"/>
      <c r="VZV1" s="305"/>
      <c r="VZW1" s="305"/>
      <c r="VZX1" s="305"/>
      <c r="VZY1" s="305"/>
      <c r="VZZ1" s="305"/>
      <c r="WAA1" s="305"/>
      <c r="WAB1" s="305"/>
      <c r="WAC1" s="305"/>
      <c r="WAD1" s="305"/>
      <c r="WAE1" s="305"/>
      <c r="WAF1" s="305"/>
      <c r="WAG1" s="305"/>
      <c r="WAH1" s="305"/>
      <c r="WAI1" s="305"/>
      <c r="WAJ1" s="305"/>
      <c r="WAK1" s="305"/>
      <c r="WAL1" s="305"/>
      <c r="WAM1" s="305"/>
      <c r="WAN1" s="305"/>
      <c r="WAO1" s="305"/>
      <c r="WAP1" s="305"/>
      <c r="WAQ1" s="305"/>
      <c r="WAR1" s="305"/>
      <c r="WAS1" s="305"/>
      <c r="WAT1" s="305"/>
      <c r="WAU1" s="305"/>
      <c r="WAV1" s="305"/>
      <c r="WAW1" s="305"/>
      <c r="WAX1" s="305"/>
      <c r="WAY1" s="305"/>
      <c r="WAZ1" s="305"/>
      <c r="WBA1" s="305"/>
      <c r="WBB1" s="305"/>
      <c r="WBC1" s="305"/>
      <c r="WBD1" s="305"/>
      <c r="WBE1" s="305"/>
      <c r="WBF1" s="305"/>
      <c r="WBG1" s="305"/>
      <c r="WBH1" s="305"/>
      <c r="WBI1" s="305"/>
      <c r="WBJ1" s="305"/>
      <c r="WBK1" s="305"/>
      <c r="WBL1" s="305"/>
      <c r="WBM1" s="305"/>
      <c r="WBN1" s="305"/>
      <c r="WBO1" s="305"/>
      <c r="WBP1" s="305"/>
      <c r="WBQ1" s="305"/>
      <c r="WBR1" s="305"/>
      <c r="WBS1" s="305"/>
      <c r="WBT1" s="305"/>
      <c r="WBU1" s="305"/>
      <c r="WBV1" s="305"/>
      <c r="WBW1" s="305"/>
      <c r="WBX1" s="305"/>
      <c r="WBY1" s="305"/>
      <c r="WBZ1" s="305"/>
      <c r="WCA1" s="305"/>
      <c r="WCB1" s="305"/>
      <c r="WCC1" s="305"/>
      <c r="WCD1" s="305"/>
      <c r="WCE1" s="305"/>
      <c r="WCF1" s="305"/>
      <c r="WCG1" s="305"/>
      <c r="WCH1" s="305"/>
      <c r="WCI1" s="305"/>
      <c r="WCJ1" s="305"/>
      <c r="WCK1" s="305"/>
      <c r="WCL1" s="305"/>
      <c r="WCM1" s="305"/>
      <c r="WCN1" s="305"/>
      <c r="WCO1" s="305"/>
      <c r="WCP1" s="305"/>
      <c r="WCQ1" s="305"/>
      <c r="WCR1" s="305"/>
      <c r="WCS1" s="305"/>
      <c r="WCT1" s="305"/>
      <c r="WCU1" s="305"/>
      <c r="WCV1" s="305"/>
      <c r="WCW1" s="305"/>
      <c r="WCX1" s="305"/>
      <c r="WCY1" s="305"/>
      <c r="WCZ1" s="305"/>
      <c r="WDA1" s="305"/>
      <c r="WDB1" s="305"/>
      <c r="WDC1" s="305"/>
      <c r="WDD1" s="305"/>
      <c r="WDE1" s="305"/>
      <c r="WDF1" s="305"/>
      <c r="WDG1" s="305"/>
      <c r="WDH1" s="305"/>
      <c r="WDI1" s="305"/>
      <c r="WDJ1" s="305"/>
      <c r="WDK1" s="305"/>
      <c r="WDL1" s="305"/>
      <c r="WDM1" s="305"/>
      <c r="WDN1" s="305"/>
      <c r="WDO1" s="305"/>
      <c r="WDP1" s="305"/>
      <c r="WDQ1" s="305"/>
      <c r="WDR1" s="305"/>
      <c r="WDS1" s="305"/>
      <c r="WDT1" s="305"/>
      <c r="WDU1" s="305"/>
      <c r="WDV1" s="305"/>
      <c r="WDW1" s="305"/>
      <c r="WDX1" s="305"/>
      <c r="WDY1" s="305"/>
      <c r="WDZ1" s="305"/>
      <c r="WEA1" s="305"/>
      <c r="WEB1" s="305"/>
      <c r="WEC1" s="305"/>
      <c r="WED1" s="305"/>
      <c r="WEE1" s="305"/>
      <c r="WEF1" s="305"/>
      <c r="WEG1" s="305"/>
      <c r="WEH1" s="305"/>
      <c r="WEI1" s="305"/>
      <c r="WEJ1" s="305"/>
      <c r="WEK1" s="305"/>
      <c r="WEL1" s="305"/>
      <c r="WEM1" s="305"/>
      <c r="WEN1" s="305"/>
      <c r="WEO1" s="305"/>
      <c r="WEP1" s="305"/>
      <c r="WEQ1" s="305"/>
      <c r="WER1" s="305"/>
      <c r="WES1" s="305"/>
      <c r="WET1" s="305"/>
      <c r="WEU1" s="305"/>
      <c r="WEV1" s="305"/>
      <c r="WEW1" s="305"/>
      <c r="WEX1" s="305"/>
      <c r="WEY1" s="305"/>
      <c r="WEZ1" s="305"/>
      <c r="WFA1" s="305"/>
      <c r="WFB1" s="305"/>
      <c r="WFC1" s="305"/>
      <c r="WFD1" s="305"/>
      <c r="WFE1" s="305"/>
      <c r="WFF1" s="305"/>
      <c r="WFG1" s="305"/>
      <c r="WFH1" s="305"/>
      <c r="WFI1" s="305"/>
      <c r="WFJ1" s="305"/>
      <c r="WFK1" s="305"/>
      <c r="WFL1" s="305"/>
      <c r="WFM1" s="305"/>
      <c r="WFN1" s="305"/>
      <c r="WFO1" s="305"/>
      <c r="WFP1" s="305"/>
      <c r="WFQ1" s="305"/>
      <c r="WFR1" s="305"/>
      <c r="WFS1" s="305"/>
      <c r="WFT1" s="305"/>
      <c r="WFU1" s="305"/>
      <c r="WFV1" s="305"/>
      <c r="WFW1" s="305"/>
      <c r="WFX1" s="305"/>
      <c r="WFY1" s="305"/>
      <c r="WFZ1" s="305"/>
      <c r="WGA1" s="305"/>
      <c r="WGB1" s="305"/>
      <c r="WGC1" s="305"/>
      <c r="WGD1" s="305"/>
      <c r="WGE1" s="305"/>
      <c r="WGF1" s="305"/>
      <c r="WGG1" s="305"/>
      <c r="WGH1" s="305"/>
      <c r="WGI1" s="305"/>
      <c r="WGJ1" s="305"/>
      <c r="WGK1" s="305"/>
      <c r="WGL1" s="305"/>
      <c r="WGM1" s="305"/>
      <c r="WGN1" s="305"/>
      <c r="WGO1" s="305"/>
      <c r="WGP1" s="305"/>
      <c r="WGQ1" s="305"/>
      <c r="WGR1" s="305"/>
      <c r="WGS1" s="305"/>
      <c r="WGT1" s="305"/>
      <c r="WGU1" s="305"/>
      <c r="WGV1" s="305"/>
      <c r="WGW1" s="305"/>
      <c r="WGX1" s="305"/>
      <c r="WGY1" s="305"/>
      <c r="WGZ1" s="305"/>
      <c r="WHA1" s="305"/>
      <c r="WHB1" s="305"/>
      <c r="WHC1" s="305"/>
      <c r="WHD1" s="305"/>
      <c r="WHE1" s="305"/>
      <c r="WHF1" s="305"/>
      <c r="WHG1" s="305"/>
      <c r="WHH1" s="305"/>
      <c r="WHI1" s="305"/>
      <c r="WHJ1" s="305"/>
      <c r="WHK1" s="305"/>
      <c r="WHL1" s="305"/>
      <c r="WHM1" s="305"/>
      <c r="WHN1" s="305"/>
      <c r="WHO1" s="305"/>
      <c r="WHP1" s="305"/>
      <c r="WHQ1" s="305"/>
      <c r="WHR1" s="305"/>
      <c r="WHS1" s="305"/>
      <c r="WHT1" s="305"/>
      <c r="WHU1" s="305"/>
      <c r="WHV1" s="305"/>
      <c r="WHW1" s="305"/>
      <c r="WHX1" s="305"/>
      <c r="WHY1" s="305"/>
      <c r="WHZ1" s="305"/>
      <c r="WIA1" s="305"/>
      <c r="WIB1" s="305"/>
      <c r="WIC1" s="305"/>
      <c r="WID1" s="305"/>
      <c r="WIE1" s="305"/>
      <c r="WIF1" s="305"/>
      <c r="WIG1" s="305"/>
      <c r="WIH1" s="305"/>
      <c r="WII1" s="305"/>
      <c r="WIJ1" s="305"/>
      <c r="WIK1" s="305"/>
      <c r="WIL1" s="305"/>
      <c r="WIM1" s="305"/>
      <c r="WIN1" s="305"/>
      <c r="WIO1" s="305"/>
      <c r="WIP1" s="305"/>
      <c r="WIQ1" s="305"/>
      <c r="WIR1" s="305"/>
      <c r="WIS1" s="305"/>
      <c r="WIT1" s="305"/>
      <c r="WIU1" s="305"/>
      <c r="WIV1" s="305"/>
      <c r="WIW1" s="305"/>
      <c r="WIX1" s="305"/>
      <c r="WIY1" s="305"/>
      <c r="WIZ1" s="305"/>
      <c r="WJA1" s="305"/>
      <c r="WJB1" s="305"/>
      <c r="WJC1" s="305"/>
      <c r="WJD1" s="305"/>
      <c r="WJE1" s="305"/>
      <c r="WJF1" s="305"/>
      <c r="WJG1" s="305"/>
      <c r="WJH1" s="305"/>
      <c r="WJI1" s="305"/>
      <c r="WJJ1" s="305"/>
      <c r="WJK1" s="305"/>
      <c r="WJL1" s="305"/>
      <c r="WJM1" s="305"/>
      <c r="WJN1" s="305"/>
      <c r="WJO1" s="305"/>
      <c r="WJP1" s="305"/>
      <c r="WJQ1" s="305"/>
      <c r="WJR1" s="305"/>
      <c r="WJS1" s="305"/>
      <c r="WJT1" s="305"/>
      <c r="WJU1" s="305"/>
      <c r="WJV1" s="305"/>
      <c r="WJW1" s="305"/>
      <c r="WJX1" s="305"/>
      <c r="WJY1" s="305"/>
      <c r="WJZ1" s="305"/>
      <c r="WKA1" s="305"/>
      <c r="WKB1" s="305"/>
      <c r="WKC1" s="305"/>
      <c r="WKD1" s="305"/>
      <c r="WKE1" s="305"/>
      <c r="WKF1" s="305"/>
      <c r="WKG1" s="305"/>
      <c r="WKH1" s="305"/>
      <c r="WKI1" s="305"/>
      <c r="WKJ1" s="305"/>
      <c r="WKK1" s="305"/>
      <c r="WKL1" s="305"/>
      <c r="WKM1" s="305"/>
      <c r="WKN1" s="305"/>
      <c r="WKO1" s="305"/>
      <c r="WKP1" s="305"/>
      <c r="WKQ1" s="305"/>
      <c r="WKR1" s="305"/>
      <c r="WKS1" s="305"/>
      <c r="WKT1" s="305"/>
      <c r="WKU1" s="305"/>
      <c r="WKV1" s="305"/>
      <c r="WKW1" s="305"/>
      <c r="WKX1" s="305"/>
      <c r="WKY1" s="305"/>
      <c r="WKZ1" s="305"/>
      <c r="WLA1" s="305"/>
      <c r="WLB1" s="305"/>
      <c r="WLC1" s="305"/>
      <c r="WLD1" s="305"/>
      <c r="WLE1" s="305"/>
      <c r="WLF1" s="305"/>
      <c r="WLG1" s="305"/>
      <c r="WLH1" s="305"/>
      <c r="WLI1" s="305"/>
      <c r="WLJ1" s="305"/>
      <c r="WLK1" s="305"/>
      <c r="WLL1" s="305"/>
      <c r="WLM1" s="305"/>
      <c r="WLN1" s="305"/>
      <c r="WLO1" s="305"/>
      <c r="WLP1" s="305"/>
      <c r="WLQ1" s="305"/>
      <c r="WLR1" s="305"/>
      <c r="WLS1" s="305"/>
      <c r="WLT1" s="305"/>
      <c r="WLU1" s="305"/>
      <c r="WLV1" s="305"/>
      <c r="WLW1" s="305"/>
      <c r="WLX1" s="305"/>
      <c r="WLY1" s="305"/>
      <c r="WLZ1" s="305"/>
      <c r="WMA1" s="305"/>
      <c r="WMB1" s="305"/>
      <c r="WMC1" s="305"/>
      <c r="WMD1" s="305"/>
      <c r="WME1" s="305"/>
      <c r="WMF1" s="305"/>
      <c r="WMG1" s="305"/>
      <c r="WMH1" s="305"/>
      <c r="WMI1" s="305"/>
      <c r="WMJ1" s="305"/>
      <c r="WMK1" s="305"/>
      <c r="WML1" s="305"/>
      <c r="WMM1" s="305"/>
      <c r="WMN1" s="305"/>
      <c r="WMO1" s="305"/>
      <c r="WMP1" s="305"/>
      <c r="WMQ1" s="305"/>
      <c r="WMR1" s="305"/>
      <c r="WMS1" s="305"/>
      <c r="WMT1" s="305"/>
      <c r="WMU1" s="305"/>
      <c r="WMV1" s="305"/>
      <c r="WMW1" s="305"/>
      <c r="WMX1" s="305"/>
      <c r="WMY1" s="305"/>
      <c r="WMZ1" s="305"/>
      <c r="WNA1" s="305"/>
      <c r="WNB1" s="305"/>
      <c r="WNC1" s="305"/>
      <c r="WND1" s="305"/>
      <c r="WNE1" s="305"/>
      <c r="WNF1" s="305"/>
      <c r="WNG1" s="305"/>
      <c r="WNH1" s="305"/>
      <c r="WNI1" s="305"/>
      <c r="WNJ1" s="305"/>
      <c r="WNK1" s="305"/>
      <c r="WNL1" s="305"/>
      <c r="WNM1" s="305"/>
      <c r="WNN1" s="305"/>
      <c r="WNO1" s="305"/>
      <c r="WNP1" s="305"/>
      <c r="WNQ1" s="305"/>
      <c r="WNR1" s="305"/>
      <c r="WNS1" s="305"/>
      <c r="WNT1" s="305"/>
      <c r="WNU1" s="305"/>
      <c r="WNV1" s="305"/>
      <c r="WNW1" s="305"/>
      <c r="WNX1" s="305"/>
      <c r="WNY1" s="305"/>
      <c r="WNZ1" s="305"/>
      <c r="WOA1" s="305"/>
      <c r="WOB1" s="305"/>
      <c r="WOC1" s="305"/>
      <c r="WOD1" s="305"/>
      <c r="WOE1" s="305"/>
      <c r="WOF1" s="305"/>
      <c r="WOG1" s="305"/>
      <c r="WOH1" s="305"/>
      <c r="WOI1" s="305"/>
      <c r="WOJ1" s="305"/>
      <c r="WOK1" s="305"/>
      <c r="WOL1" s="305"/>
      <c r="WOM1" s="305"/>
      <c r="WON1" s="305"/>
      <c r="WOO1" s="305"/>
      <c r="WOP1" s="305"/>
      <c r="WOQ1" s="305"/>
      <c r="WOR1" s="305"/>
      <c r="WOS1" s="305"/>
      <c r="WOT1" s="305"/>
      <c r="WOU1" s="305"/>
      <c r="WOV1" s="305"/>
      <c r="WOW1" s="305"/>
      <c r="WOX1" s="305"/>
      <c r="WOY1" s="305"/>
      <c r="WOZ1" s="305"/>
      <c r="WPA1" s="305"/>
      <c r="WPB1" s="305"/>
      <c r="WPC1" s="305"/>
      <c r="WPD1" s="305"/>
      <c r="WPE1" s="305"/>
      <c r="WPF1" s="305"/>
      <c r="WPG1" s="305"/>
      <c r="WPH1" s="305"/>
      <c r="WPI1" s="305"/>
      <c r="WPJ1" s="305"/>
      <c r="WPK1" s="305"/>
      <c r="WPL1" s="305"/>
      <c r="WPM1" s="305"/>
      <c r="WPN1" s="305"/>
      <c r="WPO1" s="305"/>
      <c r="WPP1" s="305"/>
      <c r="WPQ1" s="305"/>
      <c r="WPR1" s="305"/>
      <c r="WPS1" s="305"/>
      <c r="WPT1" s="305"/>
      <c r="WPU1" s="305"/>
      <c r="WPV1" s="305"/>
      <c r="WPW1" s="305"/>
      <c r="WPX1" s="305"/>
      <c r="WPY1" s="305"/>
      <c r="WPZ1" s="305"/>
      <c r="WQA1" s="305"/>
      <c r="WQB1" s="305"/>
      <c r="WQC1" s="305"/>
      <c r="WQD1" s="305"/>
      <c r="WQE1" s="305"/>
      <c r="WQF1" s="305"/>
      <c r="WQG1" s="305"/>
      <c r="WQH1" s="305"/>
      <c r="WQI1" s="305"/>
      <c r="WQJ1" s="305"/>
      <c r="WQK1" s="305"/>
      <c r="WQL1" s="305"/>
      <c r="WQM1" s="305"/>
      <c r="WQN1" s="305"/>
      <c r="WQO1" s="305"/>
      <c r="WQP1" s="305"/>
      <c r="WQQ1" s="305"/>
      <c r="WQR1" s="305"/>
      <c r="WQS1" s="305"/>
      <c r="WQT1" s="305"/>
      <c r="WQU1" s="305"/>
      <c r="WQV1" s="305"/>
      <c r="WQW1" s="305"/>
      <c r="WQX1" s="305"/>
      <c r="WQY1" s="305"/>
      <c r="WQZ1" s="305"/>
      <c r="WRA1" s="305"/>
      <c r="WRB1" s="305"/>
      <c r="WRC1" s="305"/>
      <c r="WRD1" s="305"/>
      <c r="WRE1" s="305"/>
      <c r="WRF1" s="305"/>
      <c r="WRG1" s="305"/>
      <c r="WRH1" s="305"/>
      <c r="WRI1" s="305"/>
      <c r="WRJ1" s="305"/>
      <c r="WRK1" s="305"/>
      <c r="WRL1" s="305"/>
      <c r="WRM1" s="305"/>
      <c r="WRN1" s="305"/>
      <c r="WRO1" s="305"/>
      <c r="WRP1" s="305"/>
      <c r="WRQ1" s="305"/>
      <c r="WRR1" s="305"/>
      <c r="WRS1" s="305"/>
      <c r="WRT1" s="305"/>
      <c r="WRU1" s="305"/>
      <c r="WRV1" s="305"/>
      <c r="WRW1" s="305"/>
      <c r="WRX1" s="305"/>
      <c r="WRY1" s="305"/>
      <c r="WRZ1" s="305"/>
      <c r="WSA1" s="305"/>
      <c r="WSB1" s="305"/>
      <c r="WSC1" s="305"/>
      <c r="WSD1" s="305"/>
      <c r="WSE1" s="305"/>
      <c r="WSF1" s="305"/>
      <c r="WSG1" s="305"/>
      <c r="WSH1" s="305"/>
      <c r="WSI1" s="305"/>
      <c r="WSJ1" s="305"/>
      <c r="WSK1" s="305"/>
      <c r="WSL1" s="305"/>
      <c r="WSM1" s="305"/>
      <c r="WSN1" s="305"/>
      <c r="WSO1" s="305"/>
      <c r="WSP1" s="305"/>
      <c r="WSQ1" s="305"/>
      <c r="WSR1" s="305"/>
      <c r="WSS1" s="305"/>
      <c r="WST1" s="305"/>
      <c r="WSU1" s="305"/>
      <c r="WSV1" s="305"/>
      <c r="WSW1" s="305"/>
      <c r="WSX1" s="305"/>
      <c r="WSY1" s="305"/>
      <c r="WSZ1" s="305"/>
      <c r="WTA1" s="305"/>
      <c r="WTB1" s="305"/>
      <c r="WTC1" s="305"/>
      <c r="WTD1" s="305"/>
      <c r="WTE1" s="305"/>
      <c r="WTF1" s="305"/>
      <c r="WTG1" s="305"/>
      <c r="WTH1" s="305"/>
      <c r="WTI1" s="305"/>
      <c r="WTJ1" s="305"/>
      <c r="WTK1" s="305"/>
      <c r="WTL1" s="305"/>
      <c r="WTM1" s="305"/>
      <c r="WTN1" s="305"/>
      <c r="WTO1" s="305"/>
      <c r="WTP1" s="305"/>
      <c r="WTQ1" s="305"/>
      <c r="WTR1" s="305"/>
      <c r="WTS1" s="305"/>
      <c r="WTT1" s="305"/>
      <c r="WTU1" s="305"/>
      <c r="WTV1" s="305"/>
      <c r="WTW1" s="305"/>
      <c r="WTX1" s="305"/>
      <c r="WTY1" s="305"/>
      <c r="WTZ1" s="305"/>
      <c r="WUA1" s="305"/>
      <c r="WUB1" s="305"/>
      <c r="WUC1" s="305"/>
      <c r="WUD1" s="305"/>
      <c r="WUE1" s="305"/>
      <c r="WUF1" s="305"/>
      <c r="WUG1" s="305"/>
      <c r="WUH1" s="305"/>
      <c r="WUI1" s="305"/>
      <c r="WUJ1" s="305"/>
      <c r="WUK1" s="305"/>
      <c r="WUL1" s="305"/>
      <c r="WUM1" s="305"/>
      <c r="WUN1" s="305"/>
      <c r="WUO1" s="305"/>
      <c r="WUP1" s="305"/>
      <c r="WUQ1" s="305"/>
      <c r="WUR1" s="305"/>
      <c r="WUS1" s="305"/>
      <c r="WUT1" s="305"/>
      <c r="WUU1" s="305"/>
      <c r="WUV1" s="305"/>
      <c r="WUW1" s="305"/>
      <c r="WUX1" s="305"/>
      <c r="WUY1" s="305"/>
      <c r="WUZ1" s="305"/>
      <c r="WVA1" s="305"/>
      <c r="WVB1" s="305"/>
      <c r="WVC1" s="305"/>
      <c r="WVD1" s="305"/>
      <c r="WVE1" s="305"/>
      <c r="WVF1" s="305"/>
      <c r="WVG1" s="305"/>
      <c r="WVH1" s="305"/>
      <c r="WVI1" s="305"/>
      <c r="WVJ1" s="305"/>
      <c r="WVK1" s="305"/>
      <c r="WVL1" s="305"/>
      <c r="WVM1" s="305"/>
      <c r="WVN1" s="305"/>
      <c r="WVO1" s="305"/>
      <c r="WVP1" s="305"/>
      <c r="WVQ1" s="305"/>
      <c r="WVR1" s="305"/>
      <c r="WVS1" s="305"/>
      <c r="WVT1" s="305"/>
      <c r="WVU1" s="305"/>
      <c r="WVV1" s="305"/>
      <c r="WVW1" s="305"/>
      <c r="WVX1" s="305"/>
      <c r="WVY1" s="305"/>
      <c r="WVZ1" s="305"/>
      <c r="WWA1" s="305"/>
      <c r="WWB1" s="305"/>
      <c r="WWC1" s="305"/>
      <c r="WWD1" s="305"/>
      <c r="WWE1" s="305"/>
      <c r="WWF1" s="305"/>
      <c r="WWG1" s="305"/>
      <c r="WWH1" s="305"/>
      <c r="WWI1" s="305"/>
      <c r="WWJ1" s="305"/>
      <c r="WWK1" s="305"/>
      <c r="WWL1" s="305"/>
      <c r="WWM1" s="305"/>
      <c r="WWN1" s="305"/>
      <c r="WWO1" s="305"/>
      <c r="WWP1" s="305"/>
      <c r="WWQ1" s="305"/>
      <c r="WWR1" s="305"/>
      <c r="WWS1" s="305"/>
      <c r="WWT1" s="305"/>
      <c r="WWU1" s="305"/>
      <c r="WWV1" s="305"/>
      <c r="WWW1" s="305"/>
      <c r="WWX1" s="305"/>
      <c r="WWY1" s="305"/>
      <c r="WWZ1" s="305"/>
      <c r="WXA1" s="305"/>
      <c r="WXB1" s="305"/>
      <c r="WXC1" s="305"/>
      <c r="WXD1" s="305"/>
      <c r="WXE1" s="305"/>
      <c r="WXF1" s="305"/>
      <c r="WXG1" s="305"/>
      <c r="WXH1" s="305"/>
      <c r="WXI1" s="305"/>
      <c r="WXJ1" s="305"/>
      <c r="WXK1" s="305"/>
      <c r="WXL1" s="305"/>
      <c r="WXM1" s="305"/>
      <c r="WXN1" s="305"/>
      <c r="WXO1" s="305"/>
      <c r="WXP1" s="305"/>
      <c r="WXQ1" s="305"/>
      <c r="WXR1" s="305"/>
      <c r="WXS1" s="305"/>
      <c r="WXT1" s="305"/>
      <c r="WXU1" s="305"/>
      <c r="WXV1" s="305"/>
      <c r="WXW1" s="305"/>
      <c r="WXX1" s="305"/>
      <c r="WXY1" s="305"/>
      <c r="WXZ1" s="305"/>
      <c r="WYA1" s="305"/>
      <c r="WYB1" s="305"/>
      <c r="WYC1" s="305"/>
      <c r="WYD1" s="305"/>
      <c r="WYE1" s="305"/>
      <c r="WYF1" s="305"/>
      <c r="WYG1" s="305"/>
      <c r="WYH1" s="305"/>
      <c r="WYI1" s="305"/>
      <c r="WYJ1" s="305"/>
      <c r="WYK1" s="305"/>
      <c r="WYL1" s="305"/>
      <c r="WYM1" s="305"/>
      <c r="WYN1" s="305"/>
      <c r="WYO1" s="305"/>
      <c r="WYP1" s="305"/>
      <c r="WYQ1" s="305"/>
      <c r="WYR1" s="305"/>
      <c r="WYS1" s="305"/>
      <c r="WYT1" s="305"/>
      <c r="WYU1" s="305"/>
      <c r="WYV1" s="305"/>
      <c r="WYW1" s="305"/>
      <c r="WYX1" s="305"/>
      <c r="WYY1" s="305"/>
      <c r="WYZ1" s="305"/>
      <c r="WZA1" s="305"/>
      <c r="WZB1" s="305"/>
      <c r="WZC1" s="305"/>
      <c r="WZD1" s="305"/>
      <c r="WZE1" s="305"/>
      <c r="WZF1" s="305"/>
      <c r="WZG1" s="305"/>
      <c r="WZH1" s="305"/>
      <c r="WZI1" s="305"/>
      <c r="WZJ1" s="305"/>
      <c r="WZK1" s="305"/>
      <c r="WZL1" s="305"/>
      <c r="WZM1" s="305"/>
      <c r="WZN1" s="305"/>
      <c r="WZO1" s="305"/>
      <c r="WZP1" s="305"/>
      <c r="WZQ1" s="305"/>
      <c r="WZR1" s="305"/>
      <c r="WZS1" s="305"/>
      <c r="WZT1" s="305"/>
      <c r="WZU1" s="305"/>
      <c r="WZV1" s="305"/>
      <c r="WZW1" s="305"/>
      <c r="WZX1" s="305"/>
      <c r="WZY1" s="305"/>
      <c r="WZZ1" s="305"/>
      <c r="XAA1" s="305"/>
      <c r="XAB1" s="305"/>
      <c r="XAC1" s="305"/>
      <c r="XAD1" s="305"/>
      <c r="XAE1" s="305"/>
      <c r="XAF1" s="305"/>
      <c r="XAG1" s="305"/>
      <c r="XAH1" s="305"/>
      <c r="XAI1" s="305"/>
      <c r="XAJ1" s="305"/>
      <c r="XAK1" s="305"/>
      <c r="XAL1" s="305"/>
      <c r="XAM1" s="305"/>
      <c r="XAN1" s="305"/>
      <c r="XAO1" s="305"/>
      <c r="XAP1" s="305"/>
      <c r="XAQ1" s="305"/>
      <c r="XAR1" s="305"/>
      <c r="XAS1" s="305"/>
      <c r="XAT1" s="305"/>
      <c r="XAU1" s="305"/>
      <c r="XAV1" s="305"/>
      <c r="XAW1" s="305"/>
      <c r="XAX1" s="305"/>
      <c r="XAY1" s="305"/>
      <c r="XAZ1" s="305"/>
      <c r="XBA1" s="305"/>
      <c r="XBB1" s="305"/>
      <c r="XBC1" s="305"/>
      <c r="XBD1" s="305"/>
      <c r="XBE1" s="305"/>
      <c r="XBF1" s="305"/>
      <c r="XBG1" s="305"/>
      <c r="XBH1" s="305"/>
      <c r="XBI1" s="305"/>
      <c r="XBJ1" s="305"/>
      <c r="XBK1" s="305"/>
      <c r="XBL1" s="305"/>
      <c r="XBM1" s="305"/>
      <c r="XBN1" s="305"/>
      <c r="XBO1" s="305"/>
      <c r="XBP1" s="305"/>
      <c r="XBQ1" s="305"/>
      <c r="XBR1" s="305"/>
      <c r="XBS1" s="305"/>
      <c r="XBT1" s="305"/>
      <c r="XBU1" s="305"/>
      <c r="XBV1" s="305"/>
      <c r="XBW1" s="305"/>
      <c r="XBX1" s="305"/>
      <c r="XBY1" s="305"/>
      <c r="XBZ1" s="305"/>
      <c r="XCA1" s="305"/>
      <c r="XCB1" s="305"/>
      <c r="XCC1" s="305"/>
      <c r="XCD1" s="305"/>
      <c r="XCE1" s="305"/>
      <c r="XCF1" s="305"/>
      <c r="XCG1" s="305"/>
      <c r="XCH1" s="305"/>
      <c r="XCI1" s="305"/>
      <c r="XCJ1" s="305"/>
      <c r="XCK1" s="305"/>
      <c r="XCL1" s="305"/>
      <c r="XCM1" s="305"/>
      <c r="XCN1" s="305"/>
      <c r="XCO1" s="305"/>
      <c r="XCP1" s="305"/>
      <c r="XCQ1" s="305"/>
      <c r="XCR1" s="305"/>
      <c r="XCS1" s="305"/>
      <c r="XCT1" s="305"/>
      <c r="XCU1" s="305"/>
      <c r="XCV1" s="305"/>
      <c r="XCW1" s="305"/>
      <c r="XCX1" s="305"/>
      <c r="XCY1" s="305"/>
      <c r="XCZ1" s="305"/>
      <c r="XDA1" s="305"/>
      <c r="XDB1" s="305"/>
      <c r="XDC1" s="305"/>
      <c r="XDD1" s="305"/>
      <c r="XDE1" s="305"/>
      <c r="XDF1" s="305"/>
      <c r="XDG1" s="305"/>
      <c r="XDH1" s="305"/>
      <c r="XDI1" s="305"/>
      <c r="XDJ1" s="305"/>
      <c r="XDK1" s="305"/>
      <c r="XDL1" s="305"/>
      <c r="XDM1" s="305"/>
      <c r="XDN1" s="305"/>
      <c r="XDO1" s="305"/>
      <c r="XDP1" s="305"/>
      <c r="XDQ1" s="305"/>
      <c r="XDR1" s="305"/>
      <c r="XDS1" s="305"/>
      <c r="XDT1" s="305"/>
      <c r="XDU1" s="305"/>
      <c r="XDV1" s="305"/>
      <c r="XDW1" s="305"/>
      <c r="XDX1" s="305"/>
      <c r="XDY1" s="305"/>
      <c r="XDZ1" s="305"/>
      <c r="XEA1" s="305"/>
      <c r="XEB1" s="305"/>
      <c r="XEC1" s="305"/>
      <c r="XED1" s="305"/>
      <c r="XEE1" s="305"/>
      <c r="XEF1" s="305"/>
      <c r="XEG1" s="305"/>
      <c r="XEH1" s="305"/>
      <c r="XEI1" s="305"/>
      <c r="XEJ1" s="305"/>
      <c r="XEK1" s="305"/>
      <c r="XEL1" s="305"/>
      <c r="XEM1" s="305"/>
      <c r="XEN1" s="305"/>
      <c r="XEO1" s="305"/>
      <c r="XEP1" s="305"/>
      <c r="XEQ1" s="305"/>
      <c r="XER1" s="305"/>
    </row>
    <row r="2" spans="1:16372" x14ac:dyDescent="0.25">
      <c r="A2" s="309">
        <v>1</v>
      </c>
      <c r="B2" s="190" t="s">
        <v>4173</v>
      </c>
      <c r="C2" s="190"/>
      <c r="D2" s="209" t="s">
        <v>1938</v>
      </c>
      <c r="E2" s="209" t="s">
        <v>1937</v>
      </c>
      <c r="F2" s="209"/>
      <c r="G2" s="231" t="s">
        <v>4174</v>
      </c>
      <c r="H2" s="231" t="s">
        <v>4175</v>
      </c>
      <c r="K2" s="262" t="s">
        <v>4176</v>
      </c>
      <c r="L2" s="310">
        <v>38128</v>
      </c>
      <c r="M2" s="263">
        <v>41780</v>
      </c>
      <c r="N2" s="190">
        <v>2006</v>
      </c>
      <c r="Q2" s="244">
        <v>12</v>
      </c>
      <c r="R2" s="245">
        <v>41556</v>
      </c>
      <c r="S2" s="311" t="s">
        <v>4177</v>
      </c>
      <c r="T2" s="245">
        <v>41921</v>
      </c>
      <c r="U2" s="231" t="s">
        <v>4178</v>
      </c>
      <c r="Z2" s="231">
        <v>1</v>
      </c>
      <c r="AA2" s="231" t="s">
        <v>4179</v>
      </c>
      <c r="AB2" s="231"/>
      <c r="AC2" s="231"/>
      <c r="AD2" s="231" t="s">
        <v>4180</v>
      </c>
    </row>
    <row r="3" spans="1:16372" x14ac:dyDescent="0.25">
      <c r="A3" s="190">
        <v>2</v>
      </c>
      <c r="B3" s="190" t="s">
        <v>4181</v>
      </c>
      <c r="C3" s="190"/>
      <c r="E3" s="209" t="s">
        <v>4182</v>
      </c>
      <c r="F3" s="209"/>
      <c r="G3" s="231" t="s">
        <v>4174</v>
      </c>
      <c r="H3" s="231" t="s">
        <v>4183</v>
      </c>
      <c r="L3" s="231"/>
      <c r="M3" s="231"/>
      <c r="N3" s="242"/>
      <c r="Q3" s="244">
        <v>12</v>
      </c>
      <c r="R3" s="245">
        <v>42248</v>
      </c>
      <c r="S3" s="311" t="s">
        <v>4177</v>
      </c>
      <c r="T3" s="245">
        <v>41530</v>
      </c>
      <c r="U3" s="231" t="s">
        <v>4179</v>
      </c>
      <c r="Z3" s="231">
        <v>1</v>
      </c>
      <c r="AA3" s="231" t="s">
        <v>4179</v>
      </c>
      <c r="AB3" s="231"/>
      <c r="AC3" s="231"/>
      <c r="AD3" s="231"/>
    </row>
    <row r="4" spans="1:16372" x14ac:dyDescent="0.25">
      <c r="A4" s="190"/>
      <c r="B4" s="190" t="s">
        <v>4184</v>
      </c>
      <c r="C4" s="190"/>
      <c r="E4" s="209" t="s">
        <v>4185</v>
      </c>
      <c r="F4" s="209"/>
      <c r="G4" s="231" t="s">
        <v>4174</v>
      </c>
      <c r="H4" s="231" t="s">
        <v>1076</v>
      </c>
      <c r="L4" s="231"/>
      <c r="M4" s="231"/>
      <c r="N4" s="242"/>
      <c r="Q4" s="244">
        <v>12</v>
      </c>
      <c r="R4" s="245">
        <v>42248</v>
      </c>
      <c r="T4" s="245"/>
      <c r="AB4" s="231"/>
      <c r="AC4" s="231"/>
      <c r="AD4" s="231"/>
    </row>
    <row r="5" spans="1:16372" x14ac:dyDescent="0.25">
      <c r="A5" s="190">
        <v>4</v>
      </c>
      <c r="B5" s="186" t="s">
        <v>4186</v>
      </c>
      <c r="C5" s="186"/>
      <c r="D5" s="210"/>
      <c r="E5" s="209" t="s">
        <v>1474</v>
      </c>
      <c r="F5" s="209"/>
      <c r="G5" s="231" t="s">
        <v>4174</v>
      </c>
      <c r="H5" s="231" t="s">
        <v>3941</v>
      </c>
      <c r="I5" s="186"/>
      <c r="K5" s="262" t="s">
        <v>4187</v>
      </c>
      <c r="L5" s="231" t="s">
        <v>4188</v>
      </c>
      <c r="M5" s="231" t="s">
        <v>3958</v>
      </c>
      <c r="N5" s="242">
        <v>2010</v>
      </c>
      <c r="Q5" s="244">
        <v>12</v>
      </c>
      <c r="R5" s="245">
        <v>42248</v>
      </c>
      <c r="S5" s="311" t="s">
        <v>4189</v>
      </c>
      <c r="T5" s="245">
        <v>41530</v>
      </c>
      <c r="U5" s="231" t="s">
        <v>4190</v>
      </c>
      <c r="Z5" s="231">
        <v>1</v>
      </c>
      <c r="AB5" s="231"/>
      <c r="AC5" s="231"/>
      <c r="AD5" s="231"/>
    </row>
    <row r="6" spans="1:16372" x14ac:dyDescent="0.25">
      <c r="A6" s="190">
        <v>5</v>
      </c>
      <c r="B6" s="186" t="s">
        <v>4191</v>
      </c>
      <c r="C6" s="186"/>
      <c r="D6" s="210"/>
      <c r="E6" s="209"/>
      <c r="F6" s="209"/>
      <c r="G6" s="231" t="s">
        <v>4174</v>
      </c>
      <c r="H6" s="231" t="s">
        <v>3941</v>
      </c>
      <c r="I6" s="186"/>
      <c r="L6" s="231"/>
      <c r="M6" s="231"/>
      <c r="N6" s="242"/>
      <c r="Q6" s="244">
        <v>12</v>
      </c>
      <c r="R6" s="245">
        <v>41556</v>
      </c>
      <c r="S6" s="311" t="s">
        <v>4192</v>
      </c>
      <c r="T6" s="245">
        <v>41363</v>
      </c>
      <c r="U6" s="231" t="s">
        <v>4193</v>
      </c>
      <c r="Z6" s="231">
        <v>1</v>
      </c>
      <c r="AB6" s="231"/>
      <c r="AC6" s="231"/>
      <c r="AD6" s="231"/>
    </row>
    <row r="7" spans="1:16372" x14ac:dyDescent="0.25">
      <c r="A7" s="190">
        <v>6</v>
      </c>
      <c r="B7" s="190" t="s">
        <v>4194</v>
      </c>
      <c r="C7" s="190"/>
      <c r="D7" s="209" t="s">
        <v>4195</v>
      </c>
      <c r="E7" s="209" t="s">
        <v>4196</v>
      </c>
      <c r="F7" s="209"/>
      <c r="G7" s="231" t="s">
        <v>4174</v>
      </c>
      <c r="H7" s="231" t="s">
        <v>3941</v>
      </c>
      <c r="K7" s="262" t="s">
        <v>4197</v>
      </c>
      <c r="L7" s="263">
        <v>38209</v>
      </c>
      <c r="M7" s="263">
        <v>41861</v>
      </c>
      <c r="N7" s="242"/>
      <c r="Q7" s="244">
        <v>24</v>
      </c>
      <c r="R7" s="245">
        <v>41556</v>
      </c>
      <c r="S7" s="311" t="s">
        <v>4192</v>
      </c>
      <c r="T7" s="245">
        <v>41435</v>
      </c>
      <c r="U7" s="231" t="s">
        <v>4193</v>
      </c>
      <c r="Z7" s="231">
        <v>1</v>
      </c>
      <c r="AA7" s="231" t="s">
        <v>4179</v>
      </c>
      <c r="AB7" s="231"/>
      <c r="AC7" s="231" t="s">
        <v>4108</v>
      </c>
      <c r="AD7" s="231" t="s">
        <v>4198</v>
      </c>
    </row>
    <row r="8" spans="1:16372" x14ac:dyDescent="0.25">
      <c r="A8" s="190">
        <v>7</v>
      </c>
      <c r="B8" s="190" t="s">
        <v>4199</v>
      </c>
      <c r="C8" s="190"/>
      <c r="D8" s="209" t="s">
        <v>3034</v>
      </c>
      <c r="E8" s="209"/>
      <c r="F8" s="209"/>
      <c r="G8" s="231" t="s">
        <v>4174</v>
      </c>
      <c r="H8" s="231" t="s">
        <v>4200</v>
      </c>
      <c r="K8" s="262" t="s">
        <v>4201</v>
      </c>
      <c r="L8" s="231" t="s">
        <v>4202</v>
      </c>
      <c r="M8" s="231" t="s">
        <v>3958</v>
      </c>
      <c r="N8" s="242"/>
      <c r="Q8" s="244">
        <v>12</v>
      </c>
      <c r="R8" s="245">
        <v>41556</v>
      </c>
      <c r="S8" s="311" t="s">
        <v>4189</v>
      </c>
      <c r="T8" s="245">
        <v>41530</v>
      </c>
      <c r="U8" s="231" t="s">
        <v>4193</v>
      </c>
      <c r="Z8" s="231">
        <v>1</v>
      </c>
      <c r="AB8" s="231"/>
      <c r="AC8" s="231"/>
      <c r="AD8" s="231"/>
    </row>
    <row r="9" spans="1:16372" x14ac:dyDescent="0.25">
      <c r="A9" s="309">
        <v>8</v>
      </c>
      <c r="B9" s="190" t="s">
        <v>4199</v>
      </c>
      <c r="C9" s="190"/>
      <c r="D9" s="209" t="s">
        <v>3034</v>
      </c>
      <c r="E9" s="209"/>
      <c r="F9" s="209"/>
      <c r="G9" s="231" t="s">
        <v>4174</v>
      </c>
      <c r="H9" s="231" t="s">
        <v>4200</v>
      </c>
      <c r="K9" s="262" t="s">
        <v>4201</v>
      </c>
      <c r="L9" s="231" t="s">
        <v>4202</v>
      </c>
      <c r="M9" s="231" t="s">
        <v>3958</v>
      </c>
      <c r="N9" s="242"/>
      <c r="Q9" s="244">
        <v>12</v>
      </c>
      <c r="R9" s="245">
        <v>41556</v>
      </c>
      <c r="S9" s="311" t="s">
        <v>4189</v>
      </c>
      <c r="T9" s="245">
        <v>41530</v>
      </c>
      <c r="U9" s="231" t="s">
        <v>4193</v>
      </c>
      <c r="Z9" s="231">
        <v>1</v>
      </c>
      <c r="AB9" s="231"/>
      <c r="AC9" s="231"/>
      <c r="AD9" s="231"/>
    </row>
    <row r="10" spans="1:16372" x14ac:dyDescent="0.25">
      <c r="A10" s="190">
        <v>9</v>
      </c>
      <c r="B10" s="190" t="s">
        <v>4199</v>
      </c>
      <c r="C10" s="190"/>
      <c r="D10" s="209" t="s">
        <v>3034</v>
      </c>
      <c r="E10" s="209"/>
      <c r="F10" s="209"/>
      <c r="G10" s="231" t="s">
        <v>4174</v>
      </c>
      <c r="H10" s="231" t="s">
        <v>4200</v>
      </c>
      <c r="K10" s="262" t="s">
        <v>4201</v>
      </c>
      <c r="L10" s="231" t="s">
        <v>4202</v>
      </c>
      <c r="M10" s="231" t="s">
        <v>3958</v>
      </c>
      <c r="N10" s="242"/>
      <c r="Q10" s="244">
        <v>12</v>
      </c>
      <c r="R10" s="245">
        <v>41556</v>
      </c>
      <c r="S10" s="311" t="s">
        <v>4189</v>
      </c>
      <c r="T10" s="245">
        <v>41530</v>
      </c>
      <c r="U10" s="231" t="s">
        <v>4193</v>
      </c>
      <c r="Z10" s="231">
        <v>1</v>
      </c>
      <c r="AB10" s="231"/>
      <c r="AC10" s="231"/>
      <c r="AD10" s="231"/>
    </row>
    <row r="11" spans="1:16372" x14ac:dyDescent="0.25">
      <c r="A11" s="190">
        <v>10</v>
      </c>
      <c r="B11" s="190" t="s">
        <v>4199</v>
      </c>
      <c r="C11" s="190"/>
      <c r="D11" s="209" t="s">
        <v>3034</v>
      </c>
      <c r="E11" s="209"/>
      <c r="F11" s="209"/>
      <c r="G11" s="231" t="s">
        <v>4174</v>
      </c>
      <c r="H11" s="231" t="s">
        <v>4200</v>
      </c>
      <c r="K11" s="262" t="s">
        <v>4201</v>
      </c>
      <c r="L11" s="231" t="s">
        <v>4202</v>
      </c>
      <c r="M11" s="231" t="s">
        <v>3958</v>
      </c>
      <c r="N11" s="242"/>
      <c r="Q11" s="244">
        <v>12</v>
      </c>
      <c r="R11" s="245">
        <v>41556</v>
      </c>
      <c r="S11" s="311" t="s">
        <v>4189</v>
      </c>
      <c r="T11" s="245">
        <v>41530</v>
      </c>
      <c r="U11" s="231" t="s">
        <v>4193</v>
      </c>
      <c r="Z11" s="231">
        <v>1</v>
      </c>
      <c r="AB11" s="231"/>
      <c r="AC11" s="231"/>
      <c r="AD11" s="231"/>
    </row>
    <row r="12" spans="1:16372" x14ac:dyDescent="0.25">
      <c r="A12" s="190">
        <v>11</v>
      </c>
      <c r="B12" s="190" t="s">
        <v>4199</v>
      </c>
      <c r="C12" s="190"/>
      <c r="D12" s="209" t="s">
        <v>3034</v>
      </c>
      <c r="E12" s="209"/>
      <c r="F12" s="209"/>
      <c r="G12" s="231" t="s">
        <v>4174</v>
      </c>
      <c r="H12" s="231" t="s">
        <v>4200</v>
      </c>
      <c r="K12" s="262" t="s">
        <v>4201</v>
      </c>
      <c r="L12" s="231" t="s">
        <v>4202</v>
      </c>
      <c r="M12" s="231" t="s">
        <v>3958</v>
      </c>
      <c r="N12" s="242"/>
      <c r="Q12" s="244">
        <v>12</v>
      </c>
      <c r="R12" s="245">
        <v>41556</v>
      </c>
      <c r="S12" s="311" t="s">
        <v>4189</v>
      </c>
      <c r="T12" s="245">
        <v>41530</v>
      </c>
      <c r="U12" s="231" t="s">
        <v>4193</v>
      </c>
      <c r="Z12" s="231">
        <v>1</v>
      </c>
      <c r="AB12" s="231"/>
      <c r="AC12" s="231"/>
      <c r="AD12" s="231"/>
    </row>
    <row r="13" spans="1:16372" x14ac:dyDescent="0.25">
      <c r="A13" s="190">
        <v>12</v>
      </c>
      <c r="B13" s="190" t="s">
        <v>4199</v>
      </c>
      <c r="C13" s="190"/>
      <c r="D13" s="209" t="s">
        <v>3034</v>
      </c>
      <c r="E13" s="209"/>
      <c r="F13" s="209"/>
      <c r="G13" s="231" t="s">
        <v>4174</v>
      </c>
      <c r="H13" s="231" t="s">
        <v>4200</v>
      </c>
      <c r="K13" s="262" t="s">
        <v>4201</v>
      </c>
      <c r="L13" s="231" t="s">
        <v>4202</v>
      </c>
      <c r="M13" s="231" t="s">
        <v>3958</v>
      </c>
      <c r="N13" s="242"/>
      <c r="Q13" s="244">
        <v>12</v>
      </c>
      <c r="R13" s="245">
        <v>41556</v>
      </c>
      <c r="S13" s="311" t="s">
        <v>4189</v>
      </c>
      <c r="T13" s="245">
        <v>41530</v>
      </c>
      <c r="U13" s="231" t="s">
        <v>4193</v>
      </c>
      <c r="Z13" s="231">
        <v>1</v>
      </c>
      <c r="AB13" s="231"/>
      <c r="AC13" s="231"/>
      <c r="AD13" s="231"/>
    </row>
    <row r="14" spans="1:16372" x14ac:dyDescent="0.25">
      <c r="A14" s="190">
        <v>13</v>
      </c>
      <c r="B14" s="190" t="s">
        <v>4199</v>
      </c>
      <c r="C14" s="190"/>
      <c r="D14" s="209" t="s">
        <v>3034</v>
      </c>
      <c r="E14" s="209"/>
      <c r="F14" s="209"/>
      <c r="G14" s="231" t="s">
        <v>4174</v>
      </c>
      <c r="H14" s="231" t="s">
        <v>4200</v>
      </c>
      <c r="K14" s="262" t="s">
        <v>4201</v>
      </c>
      <c r="L14" s="231" t="s">
        <v>4202</v>
      </c>
      <c r="M14" s="231" t="s">
        <v>3958</v>
      </c>
      <c r="N14" s="242"/>
      <c r="Q14" s="244">
        <v>12</v>
      </c>
      <c r="R14" s="245">
        <v>41556</v>
      </c>
      <c r="S14" s="311" t="s">
        <v>4189</v>
      </c>
      <c r="T14" s="245">
        <v>41530</v>
      </c>
      <c r="U14" s="231" t="s">
        <v>4193</v>
      </c>
      <c r="Z14" s="231">
        <v>1</v>
      </c>
      <c r="AB14" s="231"/>
      <c r="AC14" s="231"/>
      <c r="AD14" s="231"/>
    </row>
    <row r="15" spans="1:16372" x14ac:dyDescent="0.25">
      <c r="A15" s="190">
        <v>14</v>
      </c>
      <c r="B15" s="190" t="s">
        <v>4199</v>
      </c>
      <c r="C15" s="190"/>
      <c r="D15" s="209" t="s">
        <v>3034</v>
      </c>
      <c r="E15" s="209"/>
      <c r="F15" s="209"/>
      <c r="G15" s="231" t="s">
        <v>4174</v>
      </c>
      <c r="H15" s="231" t="s">
        <v>4200</v>
      </c>
      <c r="K15" s="262" t="s">
        <v>4201</v>
      </c>
      <c r="L15" s="231" t="s">
        <v>4202</v>
      </c>
      <c r="M15" s="231" t="s">
        <v>3958</v>
      </c>
      <c r="N15" s="242"/>
      <c r="Q15" s="244">
        <v>12</v>
      </c>
      <c r="R15" s="245">
        <v>41556</v>
      </c>
      <c r="S15" s="311" t="s">
        <v>4189</v>
      </c>
      <c r="T15" s="245">
        <v>41530</v>
      </c>
      <c r="U15" s="231" t="s">
        <v>4193</v>
      </c>
      <c r="Z15" s="231">
        <v>1</v>
      </c>
      <c r="AB15" s="231"/>
      <c r="AC15" s="231"/>
      <c r="AD15" s="231"/>
    </row>
    <row r="16" spans="1:16372" x14ac:dyDescent="0.25">
      <c r="A16" s="309">
        <v>15</v>
      </c>
      <c r="B16" s="190" t="s">
        <v>4199</v>
      </c>
      <c r="C16" s="190"/>
      <c r="D16" s="209" t="s">
        <v>3034</v>
      </c>
      <c r="E16" s="209"/>
      <c r="F16" s="209"/>
      <c r="G16" s="231" t="s">
        <v>4174</v>
      </c>
      <c r="H16" s="231" t="s">
        <v>4200</v>
      </c>
      <c r="K16" s="262" t="s">
        <v>4201</v>
      </c>
      <c r="L16" s="231" t="s">
        <v>4202</v>
      </c>
      <c r="M16" s="231" t="s">
        <v>3958</v>
      </c>
      <c r="N16" s="242"/>
      <c r="Q16" s="244">
        <v>12</v>
      </c>
      <c r="R16" s="245">
        <v>41556</v>
      </c>
      <c r="S16" s="311" t="s">
        <v>4189</v>
      </c>
      <c r="T16" s="245">
        <v>41531</v>
      </c>
      <c r="U16" s="231" t="s">
        <v>4193</v>
      </c>
      <c r="Z16" s="231">
        <v>1</v>
      </c>
      <c r="AA16" s="231" t="s">
        <v>4179</v>
      </c>
      <c r="AB16" s="231"/>
      <c r="AC16" s="231"/>
      <c r="AD16" s="231"/>
    </row>
    <row r="17" spans="1:30" x14ac:dyDescent="0.25">
      <c r="A17" s="190">
        <v>16</v>
      </c>
      <c r="B17" s="190" t="s">
        <v>4199</v>
      </c>
      <c r="C17" s="190"/>
      <c r="D17" s="209" t="s">
        <v>3034</v>
      </c>
      <c r="E17" s="209"/>
      <c r="F17" s="209"/>
      <c r="G17" s="231" t="s">
        <v>4174</v>
      </c>
      <c r="H17" s="231" t="s">
        <v>4200</v>
      </c>
      <c r="K17" s="262" t="s">
        <v>4201</v>
      </c>
      <c r="L17" s="231" t="s">
        <v>4202</v>
      </c>
      <c r="M17" s="231" t="s">
        <v>3958</v>
      </c>
      <c r="N17" s="242"/>
      <c r="Q17" s="244">
        <v>12</v>
      </c>
      <c r="R17" s="245">
        <v>41556</v>
      </c>
      <c r="S17" s="311" t="s">
        <v>4189</v>
      </c>
      <c r="T17" s="245">
        <v>41530</v>
      </c>
      <c r="U17" s="231" t="s">
        <v>4193</v>
      </c>
      <c r="Z17" s="231">
        <v>1</v>
      </c>
      <c r="AB17" s="231"/>
      <c r="AC17" s="231"/>
      <c r="AD17" s="231"/>
    </row>
    <row r="18" spans="1:30" x14ac:dyDescent="0.25">
      <c r="A18" s="190">
        <v>17</v>
      </c>
      <c r="B18" s="190" t="s">
        <v>4199</v>
      </c>
      <c r="C18" s="190"/>
      <c r="D18" s="209" t="s">
        <v>3034</v>
      </c>
      <c r="E18" s="209"/>
      <c r="F18" s="209"/>
      <c r="G18" s="231" t="s">
        <v>4174</v>
      </c>
      <c r="H18" s="231" t="s">
        <v>4200</v>
      </c>
      <c r="K18" s="262" t="s">
        <v>4201</v>
      </c>
      <c r="L18" s="231" t="s">
        <v>4202</v>
      </c>
      <c r="M18" s="231" t="s">
        <v>3958</v>
      </c>
      <c r="N18" s="242"/>
      <c r="Q18" s="244">
        <v>12</v>
      </c>
      <c r="R18" s="245">
        <v>41556</v>
      </c>
      <c r="S18" s="311" t="s">
        <v>4189</v>
      </c>
      <c r="T18" s="245">
        <v>41530</v>
      </c>
      <c r="U18" s="231" t="s">
        <v>4193</v>
      </c>
      <c r="Z18" s="231">
        <v>1</v>
      </c>
      <c r="AB18" s="231"/>
      <c r="AC18" s="231"/>
      <c r="AD18" s="231"/>
    </row>
    <row r="19" spans="1:30" x14ac:dyDescent="0.25">
      <c r="A19" s="190">
        <v>18</v>
      </c>
      <c r="B19" s="190" t="s">
        <v>4199</v>
      </c>
      <c r="C19" s="190"/>
      <c r="D19" s="209" t="s">
        <v>3034</v>
      </c>
      <c r="E19" s="209"/>
      <c r="F19" s="209"/>
      <c r="G19" s="231" t="s">
        <v>4174</v>
      </c>
      <c r="H19" s="231" t="s">
        <v>4200</v>
      </c>
      <c r="K19" s="262" t="s">
        <v>4201</v>
      </c>
      <c r="L19" s="231" t="s">
        <v>4202</v>
      </c>
      <c r="M19" s="231" t="s">
        <v>3958</v>
      </c>
      <c r="N19" s="242"/>
      <c r="Q19" s="244">
        <v>12</v>
      </c>
      <c r="R19" s="245">
        <v>41165</v>
      </c>
      <c r="S19" s="311" t="s">
        <v>4189</v>
      </c>
      <c r="T19" s="245">
        <v>41530</v>
      </c>
      <c r="U19" s="231" t="s">
        <v>4193</v>
      </c>
      <c r="Z19" s="231">
        <v>1</v>
      </c>
      <c r="AB19" s="231"/>
      <c r="AC19" s="231"/>
      <c r="AD19" s="231"/>
    </row>
    <row r="20" spans="1:30" x14ac:dyDescent="0.25">
      <c r="A20" s="190">
        <v>19</v>
      </c>
      <c r="B20" s="190" t="s">
        <v>4199</v>
      </c>
      <c r="C20" s="190"/>
      <c r="D20" s="209" t="s">
        <v>3034</v>
      </c>
      <c r="E20" s="209"/>
      <c r="F20" s="209"/>
      <c r="G20" s="231" t="s">
        <v>4174</v>
      </c>
      <c r="H20" s="231" t="s">
        <v>4200</v>
      </c>
      <c r="K20" s="262" t="s">
        <v>4201</v>
      </c>
      <c r="L20" s="231" t="s">
        <v>4202</v>
      </c>
      <c r="M20" s="231" t="s">
        <v>3958</v>
      </c>
      <c r="N20" s="242"/>
      <c r="Q20" s="244">
        <v>12</v>
      </c>
      <c r="R20" s="245">
        <v>41165</v>
      </c>
      <c r="S20" s="311" t="s">
        <v>4189</v>
      </c>
      <c r="T20" s="245">
        <v>41530</v>
      </c>
      <c r="U20" s="231" t="s">
        <v>4193</v>
      </c>
      <c r="Z20" s="231">
        <v>1</v>
      </c>
      <c r="AB20" s="231"/>
      <c r="AC20" s="231"/>
      <c r="AD20" s="231"/>
    </row>
    <row r="21" spans="1:30" x14ac:dyDescent="0.25">
      <c r="A21" s="190">
        <v>20</v>
      </c>
      <c r="B21" s="186" t="s">
        <v>4203</v>
      </c>
      <c r="C21" s="186"/>
      <c r="D21" s="210" t="s">
        <v>1218</v>
      </c>
      <c r="E21" s="209" t="s">
        <v>1217</v>
      </c>
      <c r="F21" s="209"/>
      <c r="G21" s="231" t="s">
        <v>4174</v>
      </c>
      <c r="H21" s="231" t="s">
        <v>1076</v>
      </c>
      <c r="I21" s="186"/>
      <c r="K21" s="262" t="s">
        <v>4047</v>
      </c>
      <c r="L21" s="263">
        <v>41272</v>
      </c>
      <c r="M21" s="231" t="s">
        <v>3958</v>
      </c>
      <c r="N21" s="242">
        <v>2011</v>
      </c>
      <c r="Q21" s="244"/>
      <c r="R21" s="245"/>
      <c r="T21" s="245"/>
      <c r="Z21" s="231">
        <v>0</v>
      </c>
      <c r="AA21" s="231">
        <v>1</v>
      </c>
      <c r="AB21" s="231"/>
      <c r="AC21" s="231"/>
      <c r="AD21" s="231"/>
    </row>
    <row r="22" spans="1:30" x14ac:dyDescent="0.25">
      <c r="A22" s="190">
        <v>21</v>
      </c>
      <c r="B22" s="186" t="s">
        <v>4203</v>
      </c>
      <c r="C22" s="186"/>
      <c r="D22" s="210" t="s">
        <v>4204</v>
      </c>
      <c r="E22" s="209" t="s">
        <v>4205</v>
      </c>
      <c r="F22" s="209"/>
      <c r="G22" s="231" t="s">
        <v>4174</v>
      </c>
      <c r="H22" s="231" t="s">
        <v>4206</v>
      </c>
      <c r="I22" s="186"/>
      <c r="K22" s="262" t="s">
        <v>4047</v>
      </c>
      <c r="L22" s="263">
        <v>41272</v>
      </c>
      <c r="M22" s="231" t="s">
        <v>3958</v>
      </c>
      <c r="N22" s="242">
        <v>2011</v>
      </c>
      <c r="Q22" s="244"/>
      <c r="R22" s="245"/>
      <c r="T22" s="245"/>
      <c r="Z22" s="231">
        <v>0</v>
      </c>
      <c r="AA22" s="231">
        <v>1</v>
      </c>
      <c r="AB22" s="231"/>
      <c r="AC22" s="231"/>
      <c r="AD22" s="231"/>
    </row>
    <row r="23" spans="1:30" x14ac:dyDescent="0.25">
      <c r="A23" s="309">
        <v>22</v>
      </c>
      <c r="B23" s="186" t="s">
        <v>4207</v>
      </c>
      <c r="C23" s="186"/>
      <c r="D23" s="210" t="s">
        <v>4208</v>
      </c>
      <c r="E23" s="209" t="s">
        <v>1224</v>
      </c>
      <c r="F23" s="209"/>
      <c r="G23" s="231" t="s">
        <v>4174</v>
      </c>
      <c r="H23" s="231" t="s">
        <v>4183</v>
      </c>
      <c r="I23" s="186"/>
      <c r="K23" s="262" t="s">
        <v>4049</v>
      </c>
      <c r="L23" s="263">
        <v>38944</v>
      </c>
      <c r="M23" s="263">
        <v>40770</v>
      </c>
      <c r="N23" s="242">
        <v>2009</v>
      </c>
      <c r="Q23" s="244"/>
      <c r="R23" s="245"/>
      <c r="T23" s="245"/>
      <c r="Z23" s="231">
        <v>0</v>
      </c>
      <c r="AA23" s="231">
        <v>1</v>
      </c>
      <c r="AB23" s="231"/>
      <c r="AC23" s="231"/>
      <c r="AD23" s="231"/>
    </row>
    <row r="24" spans="1:30" x14ac:dyDescent="0.25">
      <c r="A24" s="190">
        <v>23</v>
      </c>
      <c r="B24" s="186" t="s">
        <v>4207</v>
      </c>
      <c r="C24" s="186"/>
      <c r="D24" s="210" t="s">
        <v>4209</v>
      </c>
      <c r="E24" s="209" t="s">
        <v>1103</v>
      </c>
      <c r="F24" s="209"/>
      <c r="G24" s="231" t="s">
        <v>4174</v>
      </c>
      <c r="H24" s="231" t="s">
        <v>4210</v>
      </c>
      <c r="I24" s="186"/>
      <c r="K24" s="262" t="s">
        <v>4049</v>
      </c>
      <c r="L24" s="263">
        <v>38944</v>
      </c>
      <c r="M24" s="263">
        <v>40770</v>
      </c>
      <c r="N24" s="242">
        <v>2009</v>
      </c>
      <c r="Q24" s="244"/>
      <c r="R24" s="245"/>
      <c r="T24" s="245"/>
      <c r="Z24" s="231">
        <v>0</v>
      </c>
      <c r="AA24" s="231">
        <v>1</v>
      </c>
      <c r="AB24" s="231"/>
      <c r="AC24" s="231"/>
      <c r="AD24" s="231"/>
    </row>
    <row r="25" spans="1:30" x14ac:dyDescent="0.25">
      <c r="A25" s="190">
        <v>24</v>
      </c>
      <c r="B25" s="186" t="s">
        <v>4207</v>
      </c>
      <c r="C25" s="186"/>
      <c r="D25" s="210" t="s">
        <v>4211</v>
      </c>
      <c r="E25" s="209" t="s">
        <v>1110</v>
      </c>
      <c r="F25" s="209"/>
      <c r="G25" s="231" t="s">
        <v>4174</v>
      </c>
      <c r="H25" s="231" t="s">
        <v>4210</v>
      </c>
      <c r="I25" s="186"/>
      <c r="K25" s="262" t="s">
        <v>4049</v>
      </c>
      <c r="L25" s="263">
        <v>38944</v>
      </c>
      <c r="M25" s="263">
        <v>40770</v>
      </c>
      <c r="N25" s="242">
        <v>2006</v>
      </c>
      <c r="Q25" s="244"/>
      <c r="R25" s="245"/>
      <c r="T25" s="245"/>
      <c r="Z25" s="231">
        <v>0</v>
      </c>
      <c r="AA25" s="231">
        <v>1</v>
      </c>
      <c r="AB25" s="231"/>
      <c r="AC25" s="231"/>
      <c r="AD25" s="231"/>
    </row>
    <row r="26" spans="1:30" x14ac:dyDescent="0.25">
      <c r="A26" s="190">
        <v>25</v>
      </c>
      <c r="B26" s="186" t="s">
        <v>4212</v>
      </c>
      <c r="C26" s="186"/>
      <c r="D26" s="210" t="s">
        <v>4213</v>
      </c>
      <c r="E26" s="209" t="s">
        <v>4214</v>
      </c>
      <c r="F26" s="209"/>
      <c r="G26" s="231" t="s">
        <v>4174</v>
      </c>
      <c r="H26" s="231" t="s">
        <v>4215</v>
      </c>
      <c r="I26" s="186"/>
      <c r="K26" s="262" t="s">
        <v>4216</v>
      </c>
      <c r="L26" s="231"/>
      <c r="M26" s="231"/>
      <c r="N26" s="242">
        <v>2008</v>
      </c>
      <c r="Q26" s="244"/>
      <c r="R26" s="245"/>
      <c r="T26" s="245"/>
      <c r="Z26" s="231">
        <v>0</v>
      </c>
      <c r="AB26" s="231"/>
      <c r="AC26" s="231"/>
      <c r="AD26" s="231"/>
    </row>
    <row r="27" spans="1:30" x14ac:dyDescent="0.25">
      <c r="A27" s="190">
        <v>26</v>
      </c>
      <c r="B27" s="186" t="s">
        <v>3904</v>
      </c>
      <c r="C27" s="186"/>
      <c r="D27" s="210" t="s">
        <v>4217</v>
      </c>
      <c r="E27" s="209" t="s">
        <v>4218</v>
      </c>
      <c r="F27" s="209"/>
      <c r="G27" s="231" t="s">
        <v>4174</v>
      </c>
      <c r="H27" s="231" t="s">
        <v>3941</v>
      </c>
      <c r="I27" s="186"/>
      <c r="K27" s="262" t="s">
        <v>4058</v>
      </c>
      <c r="L27" s="263">
        <v>39885</v>
      </c>
      <c r="M27" s="231" t="s">
        <v>3958</v>
      </c>
      <c r="N27" s="242">
        <v>2010</v>
      </c>
      <c r="Q27" s="244"/>
      <c r="R27" s="245"/>
      <c r="T27" s="245"/>
      <c r="Z27" s="231">
        <v>0</v>
      </c>
      <c r="AB27" s="231"/>
      <c r="AC27" s="231"/>
      <c r="AD27" s="231"/>
    </row>
    <row r="28" spans="1:30" x14ac:dyDescent="0.25">
      <c r="A28" s="190">
        <v>27</v>
      </c>
      <c r="B28" s="186" t="s">
        <v>3904</v>
      </c>
      <c r="C28" s="186"/>
      <c r="D28" s="210" t="s">
        <v>4219</v>
      </c>
      <c r="E28" s="209" t="s">
        <v>4220</v>
      </c>
      <c r="F28" s="209"/>
      <c r="G28" s="231" t="s">
        <v>4174</v>
      </c>
      <c r="H28" s="231" t="s">
        <v>3941</v>
      </c>
      <c r="I28" s="186"/>
      <c r="K28" s="262" t="s">
        <v>4058</v>
      </c>
      <c r="L28" s="263">
        <v>39885</v>
      </c>
      <c r="M28" s="231" t="s">
        <v>3958</v>
      </c>
      <c r="N28" s="242">
        <v>2010</v>
      </c>
      <c r="Q28" s="244"/>
      <c r="R28" s="245"/>
      <c r="T28" s="245"/>
      <c r="Z28" s="231">
        <v>0</v>
      </c>
      <c r="AB28" s="231"/>
      <c r="AC28" s="231"/>
      <c r="AD28" s="231"/>
    </row>
    <row r="29" spans="1:30" x14ac:dyDescent="0.25">
      <c r="A29" s="190">
        <v>28</v>
      </c>
      <c r="B29" s="186" t="s">
        <v>3904</v>
      </c>
      <c r="C29" s="186"/>
      <c r="D29" s="210" t="s">
        <v>4221</v>
      </c>
      <c r="E29" s="209" t="s">
        <v>4222</v>
      </c>
      <c r="F29" s="209"/>
      <c r="G29" s="231" t="s">
        <v>4174</v>
      </c>
      <c r="H29" s="231" t="s">
        <v>3941</v>
      </c>
      <c r="I29" s="186"/>
      <c r="K29" s="262" t="s">
        <v>4058</v>
      </c>
      <c r="L29" s="263">
        <v>39885</v>
      </c>
      <c r="M29" s="231" t="s">
        <v>3958</v>
      </c>
      <c r="N29" s="242">
        <v>2010</v>
      </c>
      <c r="Q29" s="244"/>
      <c r="R29" s="245"/>
      <c r="T29" s="245"/>
      <c r="Z29" s="231">
        <v>0</v>
      </c>
      <c r="AB29" s="231"/>
      <c r="AC29" s="231"/>
      <c r="AD29" s="231"/>
    </row>
    <row r="30" spans="1:30" x14ac:dyDescent="0.25">
      <c r="A30" s="309">
        <v>29</v>
      </c>
      <c r="B30" s="186" t="s">
        <v>3904</v>
      </c>
      <c r="C30" s="186"/>
      <c r="D30" s="210" t="s">
        <v>4223</v>
      </c>
      <c r="E30" s="209" t="s">
        <v>4224</v>
      </c>
      <c r="F30" s="209"/>
      <c r="G30" s="231" t="s">
        <v>4174</v>
      </c>
      <c r="H30" s="231" t="s">
        <v>3941</v>
      </c>
      <c r="I30" s="186"/>
      <c r="K30" s="262" t="s">
        <v>4058</v>
      </c>
      <c r="L30" s="263">
        <v>39885</v>
      </c>
      <c r="M30" s="231" t="s">
        <v>3958</v>
      </c>
      <c r="N30" s="242">
        <v>2010</v>
      </c>
      <c r="Q30" s="244"/>
      <c r="R30" s="245"/>
      <c r="T30" s="245"/>
      <c r="Z30" s="231">
        <v>0</v>
      </c>
      <c r="AB30" s="231"/>
      <c r="AC30" s="231"/>
      <c r="AD30" s="231"/>
    </row>
    <row r="31" spans="1:30" x14ac:dyDescent="0.25">
      <c r="A31" s="190">
        <v>30</v>
      </c>
      <c r="B31" s="186" t="s">
        <v>3904</v>
      </c>
      <c r="C31" s="186"/>
      <c r="D31" s="210" t="s">
        <v>4225</v>
      </c>
      <c r="E31" s="209" t="s">
        <v>4226</v>
      </c>
      <c r="F31" s="209"/>
      <c r="G31" s="231" t="s">
        <v>4174</v>
      </c>
      <c r="H31" s="231" t="s">
        <v>3941</v>
      </c>
      <c r="I31" s="186"/>
      <c r="K31" s="262" t="s">
        <v>4058</v>
      </c>
      <c r="L31" s="263">
        <v>39885</v>
      </c>
      <c r="M31" s="231" t="s">
        <v>3958</v>
      </c>
      <c r="N31" s="242">
        <v>2010</v>
      </c>
      <c r="Q31" s="244"/>
      <c r="R31" s="245"/>
      <c r="T31" s="245"/>
      <c r="Z31" s="231">
        <v>0</v>
      </c>
      <c r="AB31" s="231"/>
      <c r="AC31" s="231"/>
      <c r="AD31" s="231"/>
    </row>
    <row r="32" spans="1:30" x14ac:dyDescent="0.25">
      <c r="A32" s="190">
        <v>31</v>
      </c>
      <c r="B32" s="186" t="s">
        <v>3904</v>
      </c>
      <c r="C32" s="186"/>
      <c r="D32" s="210" t="s">
        <v>4227</v>
      </c>
      <c r="E32" s="209" t="s">
        <v>4228</v>
      </c>
      <c r="F32" s="209"/>
      <c r="G32" s="231" t="s">
        <v>4174</v>
      </c>
      <c r="H32" s="231" t="s">
        <v>3941</v>
      </c>
      <c r="I32" s="186"/>
      <c r="K32" s="262" t="s">
        <v>4058</v>
      </c>
      <c r="L32" s="263">
        <v>39885</v>
      </c>
      <c r="M32" s="231" t="s">
        <v>3958</v>
      </c>
      <c r="N32" s="242">
        <v>2010</v>
      </c>
      <c r="Q32" s="244"/>
      <c r="R32" s="245"/>
      <c r="T32" s="245"/>
      <c r="Z32" s="231">
        <v>0</v>
      </c>
      <c r="AB32" s="231"/>
      <c r="AC32" s="231"/>
      <c r="AD32" s="231"/>
    </row>
    <row r="33" spans="1:30" x14ac:dyDescent="0.25">
      <c r="A33" s="190">
        <v>32</v>
      </c>
      <c r="B33" s="186" t="s">
        <v>4229</v>
      </c>
      <c r="C33" s="186"/>
      <c r="D33" s="210" t="s">
        <v>4230</v>
      </c>
      <c r="E33" s="209" t="s">
        <v>4231</v>
      </c>
      <c r="F33" s="209"/>
      <c r="G33" s="231" t="s">
        <v>4174</v>
      </c>
      <c r="H33" s="231" t="s">
        <v>3941</v>
      </c>
      <c r="I33" s="186"/>
      <c r="K33" s="262" t="s">
        <v>4232</v>
      </c>
      <c r="L33" s="263">
        <v>38747</v>
      </c>
      <c r="M33" s="263">
        <v>42399</v>
      </c>
      <c r="N33" s="242">
        <v>2010</v>
      </c>
      <c r="Q33" s="244"/>
      <c r="R33" s="245"/>
      <c r="T33" s="245"/>
      <c r="Z33" s="231">
        <v>0</v>
      </c>
      <c r="AB33" s="231"/>
      <c r="AC33" s="231"/>
      <c r="AD33" s="231"/>
    </row>
    <row r="34" spans="1:30" x14ac:dyDescent="0.25">
      <c r="A34" s="190">
        <v>33</v>
      </c>
      <c r="B34" s="186" t="s">
        <v>4233</v>
      </c>
      <c r="C34" s="186"/>
      <c r="D34" s="210" t="s">
        <v>4234</v>
      </c>
      <c r="E34" s="209" t="s">
        <v>4235</v>
      </c>
      <c r="F34" s="209"/>
      <c r="G34" s="231" t="s">
        <v>4174</v>
      </c>
      <c r="H34" s="231" t="s">
        <v>4175</v>
      </c>
      <c r="I34" s="186"/>
      <c r="K34" s="262" t="s">
        <v>4236</v>
      </c>
      <c r="L34" s="263">
        <v>38401</v>
      </c>
      <c r="M34" s="263">
        <v>42053</v>
      </c>
      <c r="N34" s="242"/>
      <c r="Q34" s="244"/>
      <c r="R34" s="245"/>
      <c r="T34" s="245"/>
      <c r="Z34" s="231">
        <v>0</v>
      </c>
      <c r="AB34" s="231"/>
      <c r="AC34" s="231"/>
      <c r="AD34" s="231"/>
    </row>
    <row r="35" spans="1:30" x14ac:dyDescent="0.25">
      <c r="A35" s="190">
        <v>34</v>
      </c>
      <c r="B35" s="186" t="s">
        <v>4233</v>
      </c>
      <c r="C35" s="186"/>
      <c r="D35" s="210" t="s">
        <v>4234</v>
      </c>
      <c r="E35" s="209" t="s">
        <v>4237</v>
      </c>
      <c r="F35" s="209"/>
      <c r="G35" s="231" t="s">
        <v>4174</v>
      </c>
      <c r="H35" s="231" t="s">
        <v>3941</v>
      </c>
      <c r="I35" s="186"/>
      <c r="K35" s="262" t="s">
        <v>4236</v>
      </c>
      <c r="L35" s="263">
        <v>38401</v>
      </c>
      <c r="M35" s="263">
        <v>42053</v>
      </c>
      <c r="N35" s="242"/>
      <c r="Q35" s="244"/>
      <c r="R35" s="245"/>
      <c r="T35" s="245"/>
      <c r="Z35" s="231">
        <v>0</v>
      </c>
      <c r="AB35" s="231"/>
      <c r="AC35" s="231"/>
      <c r="AD35" s="231"/>
    </row>
    <row r="36" spans="1:30" x14ac:dyDescent="0.25">
      <c r="A36" s="190">
        <v>35</v>
      </c>
      <c r="B36" s="186" t="s">
        <v>4238</v>
      </c>
      <c r="C36" s="186"/>
      <c r="D36" s="210" t="s">
        <v>4239</v>
      </c>
      <c r="E36" s="209" t="s">
        <v>4240</v>
      </c>
      <c r="F36" s="209"/>
      <c r="G36" s="231" t="s">
        <v>4174</v>
      </c>
      <c r="H36" s="231" t="s">
        <v>3941</v>
      </c>
      <c r="I36" s="186"/>
      <c r="K36" s="262" t="s">
        <v>4241</v>
      </c>
      <c r="L36" s="263">
        <v>39853</v>
      </c>
      <c r="M36" s="231" t="s">
        <v>3958</v>
      </c>
      <c r="N36" s="242">
        <v>2010</v>
      </c>
      <c r="Q36" s="244"/>
      <c r="R36" s="245"/>
      <c r="T36" s="245"/>
      <c r="Z36" s="231">
        <v>0</v>
      </c>
      <c r="AB36" s="231"/>
      <c r="AC36" s="231"/>
      <c r="AD36" s="231"/>
    </row>
    <row r="37" spans="1:30" x14ac:dyDescent="0.25">
      <c r="A37" s="309">
        <v>36</v>
      </c>
      <c r="B37" s="186" t="s">
        <v>4238</v>
      </c>
      <c r="C37" s="186"/>
      <c r="D37" s="210" t="s">
        <v>4242</v>
      </c>
      <c r="E37" s="209" t="s">
        <v>4243</v>
      </c>
      <c r="F37" s="209"/>
      <c r="G37" s="231" t="s">
        <v>4174</v>
      </c>
      <c r="H37" s="231" t="s">
        <v>3941</v>
      </c>
      <c r="I37" s="186"/>
      <c r="K37" s="262" t="s">
        <v>4241</v>
      </c>
      <c r="L37" s="263">
        <v>39853</v>
      </c>
      <c r="M37" s="231" t="s">
        <v>3958</v>
      </c>
      <c r="N37" s="242">
        <v>2010</v>
      </c>
      <c r="Q37" s="244"/>
      <c r="R37" s="245"/>
      <c r="T37" s="245"/>
      <c r="Z37" s="231">
        <v>0</v>
      </c>
      <c r="AB37" s="231"/>
      <c r="AC37" s="231"/>
      <c r="AD37" s="231"/>
    </row>
    <row r="38" spans="1:30" x14ac:dyDescent="0.25">
      <c r="A38" s="190">
        <v>37</v>
      </c>
      <c r="B38" s="186" t="s">
        <v>4238</v>
      </c>
      <c r="C38" s="186"/>
      <c r="D38" s="210" t="s">
        <v>4244</v>
      </c>
      <c r="E38" s="209" t="s">
        <v>4245</v>
      </c>
      <c r="F38" s="209"/>
      <c r="G38" s="231" t="s">
        <v>4174</v>
      </c>
      <c r="H38" s="231" t="s">
        <v>3941</v>
      </c>
      <c r="I38" s="186"/>
      <c r="K38" s="262" t="s">
        <v>4241</v>
      </c>
      <c r="L38" s="263">
        <v>39853</v>
      </c>
      <c r="M38" s="231" t="s">
        <v>3958</v>
      </c>
      <c r="N38" s="242">
        <v>2010</v>
      </c>
      <c r="Q38" s="244"/>
      <c r="R38" s="245"/>
      <c r="T38" s="245"/>
      <c r="Z38" s="231">
        <v>0</v>
      </c>
      <c r="AB38" s="231"/>
      <c r="AC38" s="231"/>
      <c r="AD38" s="231"/>
    </row>
    <row r="39" spans="1:30" x14ac:dyDescent="0.25">
      <c r="A39" s="190">
        <v>38</v>
      </c>
      <c r="B39" s="186" t="s">
        <v>4246</v>
      </c>
      <c r="C39" s="186"/>
      <c r="D39" s="210" t="s">
        <v>4247</v>
      </c>
      <c r="E39" s="209" t="s">
        <v>4248</v>
      </c>
      <c r="F39" s="209"/>
      <c r="G39" s="231" t="s">
        <v>4174</v>
      </c>
      <c r="H39" s="231" t="s">
        <v>4175</v>
      </c>
      <c r="I39" s="186"/>
      <c r="K39" s="262" t="s">
        <v>4249</v>
      </c>
      <c r="L39" s="231"/>
      <c r="M39" s="231"/>
      <c r="N39" s="242">
        <v>2000</v>
      </c>
      <c r="Q39" s="244"/>
      <c r="R39" s="245"/>
      <c r="T39" s="245"/>
      <c r="Z39" s="231">
        <v>0</v>
      </c>
      <c r="AB39" s="231"/>
      <c r="AC39" s="231"/>
      <c r="AD39" s="231"/>
    </row>
    <row r="40" spans="1:30" x14ac:dyDescent="0.25">
      <c r="A40" s="190">
        <v>39</v>
      </c>
      <c r="B40" s="186" t="s">
        <v>4250</v>
      </c>
      <c r="C40" s="186"/>
      <c r="D40" s="210" t="s">
        <v>4251</v>
      </c>
      <c r="E40" s="209" t="s">
        <v>4252</v>
      </c>
      <c r="F40" s="209"/>
      <c r="G40" s="231" t="s">
        <v>4174</v>
      </c>
      <c r="H40" s="231" t="s">
        <v>4253</v>
      </c>
      <c r="I40" s="186"/>
      <c r="L40" s="231"/>
      <c r="M40" s="231"/>
      <c r="N40" s="242"/>
      <c r="Q40" s="244"/>
      <c r="R40" s="245"/>
      <c r="T40" s="245"/>
      <c r="Z40" s="231">
        <v>0</v>
      </c>
      <c r="AB40" s="231"/>
      <c r="AC40" s="231"/>
      <c r="AD40" s="231"/>
    </row>
    <row r="41" spans="1:30" x14ac:dyDescent="0.25">
      <c r="A41" s="190">
        <v>40</v>
      </c>
      <c r="B41" s="190" t="s">
        <v>4173</v>
      </c>
      <c r="C41" s="190"/>
      <c r="D41" s="209" t="s">
        <v>1095</v>
      </c>
      <c r="E41" s="209" t="s">
        <v>4254</v>
      </c>
      <c r="F41" s="209"/>
      <c r="G41" s="231" t="s">
        <v>1004</v>
      </c>
      <c r="H41" s="231" t="s">
        <v>4175</v>
      </c>
      <c r="K41" s="262" t="s">
        <v>4176</v>
      </c>
      <c r="L41" s="263">
        <v>39885</v>
      </c>
      <c r="M41" s="263">
        <v>41780</v>
      </c>
      <c r="N41" s="190">
        <v>2006</v>
      </c>
      <c r="Q41" s="244">
        <v>12</v>
      </c>
      <c r="R41" s="245">
        <v>41556</v>
      </c>
      <c r="S41" s="311" t="s">
        <v>4177</v>
      </c>
      <c r="T41" s="245">
        <v>41921</v>
      </c>
      <c r="U41" s="231" t="s">
        <v>4178</v>
      </c>
      <c r="Z41" s="231">
        <v>1</v>
      </c>
      <c r="AA41" s="231" t="s">
        <v>4179</v>
      </c>
      <c r="AB41" s="231"/>
      <c r="AC41" s="231"/>
      <c r="AD41" s="231"/>
    </row>
    <row r="42" spans="1:30" x14ac:dyDescent="0.25">
      <c r="A42" s="190">
        <v>41</v>
      </c>
      <c r="B42" s="190" t="s">
        <v>4181</v>
      </c>
      <c r="C42" s="190"/>
      <c r="E42" s="209" t="s">
        <v>4255</v>
      </c>
      <c r="F42" s="209"/>
      <c r="G42" s="231" t="s">
        <v>1004</v>
      </c>
      <c r="H42" s="231" t="s">
        <v>4183</v>
      </c>
      <c r="L42" s="231"/>
      <c r="M42" s="231"/>
      <c r="N42" s="242"/>
      <c r="Q42" s="244">
        <v>12</v>
      </c>
      <c r="R42" s="245">
        <v>42248</v>
      </c>
      <c r="S42" s="311" t="s">
        <v>4177</v>
      </c>
      <c r="T42" s="245">
        <v>41186</v>
      </c>
      <c r="U42" s="231" t="s">
        <v>4179</v>
      </c>
      <c r="Z42" s="231">
        <v>1</v>
      </c>
      <c r="AA42" s="231" t="s">
        <v>4179</v>
      </c>
      <c r="AB42" s="231"/>
      <c r="AC42" s="231"/>
      <c r="AD42" s="231"/>
    </row>
    <row r="43" spans="1:30" x14ac:dyDescent="0.25">
      <c r="A43" s="190">
        <v>42</v>
      </c>
      <c r="B43" s="190" t="s">
        <v>4191</v>
      </c>
      <c r="C43" s="190"/>
      <c r="E43" s="209"/>
      <c r="F43" s="209"/>
      <c r="G43" s="231" t="s">
        <v>1004</v>
      </c>
      <c r="H43" s="231" t="s">
        <v>4256</v>
      </c>
      <c r="L43" s="231"/>
      <c r="M43" s="231"/>
      <c r="N43" s="242"/>
      <c r="Q43" s="244"/>
      <c r="R43" s="245"/>
      <c r="T43" s="245"/>
      <c r="AB43" s="231"/>
      <c r="AC43" s="231"/>
      <c r="AD43" s="231"/>
    </row>
    <row r="44" spans="1:30" x14ac:dyDescent="0.25">
      <c r="A44" s="309">
        <v>43</v>
      </c>
      <c r="B44" s="190" t="s">
        <v>4199</v>
      </c>
      <c r="C44" s="190"/>
      <c r="E44" s="209"/>
      <c r="F44" s="209"/>
      <c r="G44" s="231" t="s">
        <v>1004</v>
      </c>
      <c r="H44" s="231"/>
      <c r="K44" s="262" t="s">
        <v>4201</v>
      </c>
      <c r="L44" s="231" t="s">
        <v>4202</v>
      </c>
      <c r="M44" s="231" t="s">
        <v>3958</v>
      </c>
      <c r="N44" s="242"/>
      <c r="Q44" s="244">
        <v>12</v>
      </c>
      <c r="R44" s="245">
        <v>40820</v>
      </c>
      <c r="S44" s="311" t="s">
        <v>4192</v>
      </c>
      <c r="T44" s="245">
        <v>41186</v>
      </c>
      <c r="U44" s="231" t="s">
        <v>4193</v>
      </c>
      <c r="Z44" s="231">
        <v>1</v>
      </c>
      <c r="AA44" s="231" t="s">
        <v>4179</v>
      </c>
      <c r="AB44" s="231"/>
      <c r="AC44" s="231"/>
      <c r="AD44" s="231"/>
    </row>
    <row r="45" spans="1:30" x14ac:dyDescent="0.25">
      <c r="A45" s="190">
        <v>44</v>
      </c>
      <c r="B45" s="190" t="s">
        <v>4199</v>
      </c>
      <c r="C45" s="190"/>
      <c r="E45" s="209"/>
      <c r="F45" s="209"/>
      <c r="G45" s="231" t="s">
        <v>1004</v>
      </c>
      <c r="H45" s="231"/>
      <c r="K45" s="262" t="s">
        <v>4201</v>
      </c>
      <c r="L45" s="231" t="s">
        <v>4202</v>
      </c>
      <c r="M45" s="231" t="s">
        <v>3958</v>
      </c>
      <c r="N45" s="242"/>
      <c r="Q45" s="244"/>
      <c r="R45" s="245"/>
      <c r="T45" s="245"/>
      <c r="Z45" s="231">
        <v>1</v>
      </c>
      <c r="AB45" s="231"/>
      <c r="AC45" s="231"/>
      <c r="AD45" s="231"/>
    </row>
    <row r="46" spans="1:30" x14ac:dyDescent="0.25">
      <c r="A46" s="190">
        <v>45</v>
      </c>
      <c r="B46" s="190" t="s">
        <v>4199</v>
      </c>
      <c r="C46" s="190"/>
      <c r="E46" s="209"/>
      <c r="F46" s="209"/>
      <c r="G46" s="231" t="s">
        <v>1004</v>
      </c>
      <c r="H46" s="231"/>
      <c r="K46" s="262" t="s">
        <v>4201</v>
      </c>
      <c r="L46" s="231" t="s">
        <v>4202</v>
      </c>
      <c r="M46" s="231" t="s">
        <v>3958</v>
      </c>
      <c r="N46" s="242"/>
      <c r="Q46" s="244"/>
      <c r="R46" s="245"/>
      <c r="T46" s="245"/>
      <c r="Z46" s="231">
        <v>1</v>
      </c>
      <c r="AB46" s="231"/>
      <c r="AC46" s="231"/>
      <c r="AD46" s="231"/>
    </row>
    <row r="47" spans="1:30" x14ac:dyDescent="0.25">
      <c r="A47" s="190">
        <v>46</v>
      </c>
      <c r="B47" s="186" t="s">
        <v>4212</v>
      </c>
      <c r="C47" s="186"/>
      <c r="D47" s="210" t="s">
        <v>1022</v>
      </c>
      <c r="E47" s="209"/>
      <c r="F47" s="209"/>
      <c r="G47" s="231" t="s">
        <v>1004</v>
      </c>
      <c r="H47" s="231"/>
      <c r="I47" s="186"/>
      <c r="K47" s="262" t="s">
        <v>4216</v>
      </c>
      <c r="L47" s="231"/>
      <c r="M47" s="231"/>
      <c r="N47" s="242"/>
      <c r="Q47" s="244"/>
      <c r="R47" s="245"/>
      <c r="T47" s="245"/>
      <c r="AB47" s="231"/>
      <c r="AC47" s="231"/>
      <c r="AD47" s="231"/>
    </row>
    <row r="48" spans="1:30" x14ac:dyDescent="0.25">
      <c r="A48" s="190">
        <v>47</v>
      </c>
      <c r="B48" s="186" t="s">
        <v>4212</v>
      </c>
      <c r="C48" s="186"/>
      <c r="D48" s="210" t="s">
        <v>1037</v>
      </c>
      <c r="E48" s="209"/>
      <c r="F48" s="209"/>
      <c r="G48" s="231" t="s">
        <v>1004</v>
      </c>
      <c r="H48" s="231"/>
      <c r="I48" s="186"/>
      <c r="K48" s="262" t="s">
        <v>4216</v>
      </c>
      <c r="L48" s="231"/>
      <c r="M48" s="231"/>
      <c r="N48" s="242"/>
      <c r="Q48" s="244"/>
      <c r="R48" s="245"/>
      <c r="T48" s="245"/>
      <c r="AB48" s="231"/>
      <c r="AC48" s="231"/>
      <c r="AD48" s="231"/>
    </row>
    <row r="49" spans="1:30" x14ac:dyDescent="0.25">
      <c r="A49" s="190">
        <v>48</v>
      </c>
      <c r="B49" s="186" t="s">
        <v>4212</v>
      </c>
      <c r="C49" s="186"/>
      <c r="D49" s="210" t="s">
        <v>1033</v>
      </c>
      <c r="E49" s="209"/>
      <c r="F49" s="209"/>
      <c r="G49" s="231" t="s">
        <v>1004</v>
      </c>
      <c r="H49" s="231"/>
      <c r="I49" s="186"/>
      <c r="K49" s="262" t="s">
        <v>4216</v>
      </c>
      <c r="L49" s="231"/>
      <c r="M49" s="231"/>
      <c r="N49" s="242"/>
      <c r="Q49" s="244"/>
      <c r="R49" s="245"/>
      <c r="T49" s="245"/>
      <c r="AB49" s="231"/>
      <c r="AC49" s="231"/>
      <c r="AD49" s="231"/>
    </row>
    <row r="50" spans="1:30" x14ac:dyDescent="0.25">
      <c r="A50" s="190">
        <v>49</v>
      </c>
      <c r="B50" s="186" t="s">
        <v>4203</v>
      </c>
      <c r="C50" s="186"/>
      <c r="D50" s="210" t="s">
        <v>1020</v>
      </c>
      <c r="E50" s="209" t="s">
        <v>4257</v>
      </c>
      <c r="F50" s="209"/>
      <c r="G50" s="231" t="s">
        <v>1004</v>
      </c>
      <c r="H50" s="231" t="s">
        <v>4258</v>
      </c>
      <c r="I50" s="186"/>
      <c r="K50" s="262" t="s">
        <v>4047</v>
      </c>
      <c r="L50" s="263">
        <v>41272</v>
      </c>
      <c r="M50" s="231" t="s">
        <v>3958</v>
      </c>
      <c r="N50" s="242"/>
      <c r="Q50" s="244"/>
      <c r="R50" s="245"/>
      <c r="T50" s="245"/>
      <c r="AB50" s="231"/>
      <c r="AC50" s="231"/>
      <c r="AD50" s="231"/>
    </row>
    <row r="51" spans="1:30" x14ac:dyDescent="0.25">
      <c r="A51" s="309">
        <v>50</v>
      </c>
      <c r="B51" s="186" t="s">
        <v>4203</v>
      </c>
      <c r="C51" s="186"/>
      <c r="D51" s="210" t="s">
        <v>1024</v>
      </c>
      <c r="E51" s="209" t="s">
        <v>4259</v>
      </c>
      <c r="F51" s="209"/>
      <c r="G51" s="231" t="s">
        <v>1004</v>
      </c>
      <c r="H51" s="231" t="s">
        <v>4260</v>
      </c>
      <c r="I51" s="186"/>
      <c r="K51" s="262" t="s">
        <v>4047</v>
      </c>
      <c r="L51" s="263">
        <v>41272</v>
      </c>
      <c r="M51" s="231" t="s">
        <v>3958</v>
      </c>
      <c r="N51" s="242"/>
      <c r="Q51" s="244"/>
      <c r="R51" s="245"/>
      <c r="T51" s="245"/>
      <c r="AB51" s="231"/>
      <c r="AC51" s="231"/>
      <c r="AD51" s="231"/>
    </row>
    <row r="52" spans="1:30" x14ac:dyDescent="0.25">
      <c r="A52" s="190">
        <v>51</v>
      </c>
      <c r="B52" s="186" t="s">
        <v>4203</v>
      </c>
      <c r="C52" s="186"/>
      <c r="D52" s="210" t="s">
        <v>1039</v>
      </c>
      <c r="E52" s="209" t="s">
        <v>4261</v>
      </c>
      <c r="F52" s="209"/>
      <c r="G52" s="231" t="s">
        <v>1004</v>
      </c>
      <c r="H52" s="231" t="s">
        <v>4262</v>
      </c>
      <c r="I52" s="186"/>
      <c r="K52" s="262" t="s">
        <v>4047</v>
      </c>
      <c r="L52" s="263">
        <v>41272</v>
      </c>
      <c r="M52" s="231" t="s">
        <v>3958</v>
      </c>
      <c r="N52" s="242"/>
      <c r="Q52" s="244"/>
      <c r="R52" s="245"/>
      <c r="T52" s="245"/>
      <c r="AB52" s="231"/>
      <c r="AC52" s="231"/>
      <c r="AD52" s="231"/>
    </row>
    <row r="53" spans="1:30" x14ac:dyDescent="0.25">
      <c r="A53" s="190">
        <v>52</v>
      </c>
      <c r="B53" s="186" t="s">
        <v>4263</v>
      </c>
      <c r="C53" s="186"/>
      <c r="D53" s="210" t="s">
        <v>4264</v>
      </c>
      <c r="E53" s="209"/>
      <c r="F53" s="209"/>
      <c r="G53" s="231" t="s">
        <v>1004</v>
      </c>
      <c r="H53" s="231" t="s">
        <v>4265</v>
      </c>
      <c r="I53" s="186"/>
      <c r="K53" s="262" t="s">
        <v>4049</v>
      </c>
      <c r="L53" s="263">
        <v>38944</v>
      </c>
      <c r="M53" s="263">
        <v>40770</v>
      </c>
      <c r="N53" s="242"/>
      <c r="Q53" s="244"/>
      <c r="R53" s="245"/>
      <c r="T53" s="245"/>
      <c r="AB53" s="231"/>
      <c r="AC53" s="231"/>
      <c r="AD53" s="231"/>
    </row>
    <row r="54" spans="1:30" x14ac:dyDescent="0.25">
      <c r="A54" s="190">
        <v>53</v>
      </c>
      <c r="B54" s="186" t="s">
        <v>4266</v>
      </c>
      <c r="C54" s="186"/>
      <c r="D54" s="210" t="s">
        <v>1080</v>
      </c>
      <c r="E54" s="209" t="s">
        <v>4267</v>
      </c>
      <c r="F54" s="209"/>
      <c r="G54" s="231" t="s">
        <v>1004</v>
      </c>
      <c r="H54" s="231" t="s">
        <v>4183</v>
      </c>
      <c r="I54" s="186"/>
      <c r="L54" s="231"/>
      <c r="M54" s="231"/>
      <c r="N54" s="242">
        <v>2010</v>
      </c>
      <c r="Q54" s="244"/>
      <c r="R54" s="245"/>
      <c r="T54" s="245"/>
      <c r="AB54" s="231"/>
      <c r="AC54" s="231"/>
      <c r="AD54" s="231"/>
    </row>
    <row r="55" spans="1:30" x14ac:dyDescent="0.25">
      <c r="A55" s="190">
        <v>54</v>
      </c>
      <c r="B55" s="186" t="s">
        <v>4268</v>
      </c>
      <c r="C55" s="186"/>
      <c r="D55" s="210" t="s">
        <v>1091</v>
      </c>
      <c r="E55" s="209" t="s">
        <v>4269</v>
      </c>
      <c r="F55" s="209"/>
      <c r="G55" s="231" t="s">
        <v>1004</v>
      </c>
      <c r="H55" s="231" t="s">
        <v>4270</v>
      </c>
      <c r="I55" s="186"/>
      <c r="L55" s="231"/>
      <c r="M55" s="231"/>
      <c r="N55" s="242">
        <v>2009</v>
      </c>
      <c r="Q55" s="244"/>
      <c r="R55" s="245"/>
      <c r="T55" s="245"/>
      <c r="AB55" s="231"/>
      <c r="AC55" s="231"/>
      <c r="AD55" s="231"/>
    </row>
    <row r="56" spans="1:30" x14ac:dyDescent="0.25">
      <c r="A56" s="190">
        <v>55</v>
      </c>
      <c r="B56" s="186" t="s">
        <v>4271</v>
      </c>
      <c r="C56" s="186"/>
      <c r="D56" s="210"/>
      <c r="E56" s="209" t="s">
        <v>4272</v>
      </c>
      <c r="F56" s="209"/>
      <c r="G56" s="231" t="s">
        <v>1004</v>
      </c>
      <c r="H56" s="231" t="s">
        <v>4273</v>
      </c>
      <c r="I56" s="186"/>
      <c r="L56" s="231"/>
      <c r="M56" s="231"/>
      <c r="N56" s="242">
        <v>2010</v>
      </c>
      <c r="Q56" s="244"/>
      <c r="R56" s="245"/>
      <c r="T56" s="245"/>
      <c r="AB56" s="231"/>
      <c r="AC56" s="231"/>
      <c r="AD56" s="231"/>
    </row>
    <row r="57" spans="1:30" x14ac:dyDescent="0.25">
      <c r="A57" s="190">
        <v>56</v>
      </c>
      <c r="B57" s="186" t="s">
        <v>4207</v>
      </c>
      <c r="C57" s="186"/>
      <c r="D57" s="210" t="s">
        <v>4274</v>
      </c>
      <c r="E57" s="209" t="s">
        <v>1085</v>
      </c>
      <c r="F57" s="209"/>
      <c r="G57" s="231" t="s">
        <v>1004</v>
      </c>
      <c r="H57" s="231" t="s">
        <v>4275</v>
      </c>
      <c r="I57" s="186"/>
      <c r="K57" s="262" t="s">
        <v>4049</v>
      </c>
      <c r="L57" s="263">
        <v>38944</v>
      </c>
      <c r="M57" s="263">
        <v>40770</v>
      </c>
      <c r="N57" s="242"/>
      <c r="Q57" s="244"/>
      <c r="R57" s="245"/>
      <c r="T57" s="245"/>
      <c r="AB57" s="231"/>
      <c r="AC57" s="231"/>
      <c r="AD57" s="231"/>
    </row>
    <row r="58" spans="1:30" x14ac:dyDescent="0.25">
      <c r="A58" s="309">
        <v>57</v>
      </c>
      <c r="B58" s="186" t="s">
        <v>4207</v>
      </c>
      <c r="C58" s="186"/>
      <c r="D58" s="210" t="s">
        <v>4276</v>
      </c>
      <c r="E58" s="209" t="s">
        <v>1087</v>
      </c>
      <c r="F58" s="209"/>
      <c r="G58" s="231" t="s">
        <v>1004</v>
      </c>
      <c r="H58" s="231" t="s">
        <v>4275</v>
      </c>
      <c r="I58" s="186"/>
      <c r="K58" s="262" t="s">
        <v>4049</v>
      </c>
      <c r="L58" s="263">
        <v>38944</v>
      </c>
      <c r="M58" s="263">
        <v>40770</v>
      </c>
      <c r="N58" s="242"/>
      <c r="Q58" s="244"/>
      <c r="R58" s="245"/>
      <c r="T58" s="245"/>
      <c r="AB58" s="231"/>
      <c r="AC58" s="231"/>
      <c r="AD58" s="231"/>
    </row>
    <row r="59" spans="1:30" x14ac:dyDescent="0.25">
      <c r="A59" s="190">
        <v>58</v>
      </c>
      <c r="B59" s="186" t="s">
        <v>4277</v>
      </c>
      <c r="C59" s="186"/>
      <c r="D59" s="210" t="s">
        <v>4278</v>
      </c>
      <c r="E59" s="209"/>
      <c r="F59" s="209"/>
      <c r="G59" s="231" t="s">
        <v>1004</v>
      </c>
      <c r="H59" s="231" t="s">
        <v>1076</v>
      </c>
      <c r="I59" s="186"/>
      <c r="K59" s="262" t="s">
        <v>4049</v>
      </c>
      <c r="L59" s="263">
        <v>38944</v>
      </c>
      <c r="M59" s="263">
        <v>40770</v>
      </c>
      <c r="N59" s="242"/>
      <c r="Q59" s="244"/>
      <c r="R59" s="245"/>
      <c r="T59" s="245"/>
      <c r="AB59" s="231"/>
      <c r="AC59" s="231"/>
      <c r="AD59" s="231"/>
    </row>
    <row r="60" spans="1:30" x14ac:dyDescent="0.25">
      <c r="A60" s="190">
        <v>59</v>
      </c>
      <c r="B60" s="312" t="s">
        <v>4279</v>
      </c>
      <c r="C60" s="312"/>
      <c r="D60" s="313" t="s">
        <v>1045</v>
      </c>
      <c r="E60" s="209"/>
      <c r="F60" s="209"/>
      <c r="G60" s="231" t="s">
        <v>1004</v>
      </c>
      <c r="H60" s="231" t="s">
        <v>4265</v>
      </c>
      <c r="I60" s="312"/>
      <c r="L60" s="231"/>
      <c r="M60" s="231"/>
      <c r="N60" s="242"/>
      <c r="Q60" s="244"/>
      <c r="R60" s="245"/>
      <c r="T60" s="245"/>
      <c r="AB60" s="231"/>
      <c r="AC60" s="231"/>
      <c r="AD60" s="231"/>
    </row>
    <row r="61" spans="1:30" x14ac:dyDescent="0.25">
      <c r="A61" s="190">
        <v>60</v>
      </c>
      <c r="B61" s="314" t="s">
        <v>4280</v>
      </c>
      <c r="C61" s="314">
        <v>1</v>
      </c>
      <c r="D61" s="315"/>
      <c r="E61" s="209" t="s">
        <v>1053</v>
      </c>
      <c r="F61" s="209"/>
      <c r="G61" s="231" t="s">
        <v>1004</v>
      </c>
      <c r="H61" s="231" t="s">
        <v>4265</v>
      </c>
      <c r="I61" s="314"/>
      <c r="K61" s="262" t="s">
        <v>4281</v>
      </c>
      <c r="L61" s="263">
        <v>38344</v>
      </c>
      <c r="M61" s="263">
        <v>41996</v>
      </c>
      <c r="N61" s="242">
        <v>2011</v>
      </c>
      <c r="Q61" s="244"/>
      <c r="R61" s="245"/>
      <c r="T61" s="245"/>
      <c r="AB61" s="231"/>
      <c r="AC61" s="231"/>
      <c r="AD61" s="231"/>
    </row>
    <row r="62" spans="1:30" x14ac:dyDescent="0.25">
      <c r="A62" s="190"/>
      <c r="B62" s="314" t="s">
        <v>4280</v>
      </c>
      <c r="C62" s="314"/>
      <c r="D62" s="315"/>
      <c r="E62" s="209"/>
      <c r="F62" s="209"/>
      <c r="G62" s="231"/>
      <c r="H62" s="231"/>
      <c r="I62" s="314"/>
      <c r="L62" s="310"/>
      <c r="M62" s="263"/>
      <c r="N62" s="242"/>
      <c r="Q62" s="244"/>
      <c r="R62" s="245"/>
      <c r="T62" s="245"/>
      <c r="AB62" s="231"/>
      <c r="AC62" s="231"/>
      <c r="AD62" s="231"/>
    </row>
    <row r="63" spans="1:30" x14ac:dyDescent="0.25">
      <c r="A63" s="190">
        <v>61</v>
      </c>
      <c r="B63" s="314" t="s">
        <v>4282</v>
      </c>
      <c r="C63" s="314"/>
      <c r="D63" s="315" t="s">
        <v>4283</v>
      </c>
      <c r="E63" s="209"/>
      <c r="F63" s="209"/>
      <c r="G63" s="231" t="s">
        <v>1004</v>
      </c>
      <c r="H63" s="231" t="s">
        <v>4284</v>
      </c>
      <c r="I63" s="314"/>
      <c r="K63" s="262" t="s">
        <v>4285</v>
      </c>
      <c r="L63" s="310">
        <v>40414</v>
      </c>
      <c r="M63" s="231" t="s">
        <v>3958</v>
      </c>
      <c r="N63" s="242"/>
      <c r="Q63" s="244"/>
      <c r="R63" s="245"/>
      <c r="T63" s="245"/>
      <c r="AB63" s="231"/>
      <c r="AC63" s="231"/>
      <c r="AD63" s="231"/>
    </row>
    <row r="64" spans="1:30" x14ac:dyDescent="0.25">
      <c r="A64" s="190">
        <v>62</v>
      </c>
      <c r="B64" s="314" t="s">
        <v>4286</v>
      </c>
      <c r="C64" s="314"/>
      <c r="D64" s="315" t="s">
        <v>1043</v>
      </c>
      <c r="E64" s="209" t="s">
        <v>1041</v>
      </c>
      <c r="F64" s="209"/>
      <c r="G64" s="231" t="s">
        <v>1004</v>
      </c>
      <c r="H64" s="231" t="s">
        <v>4265</v>
      </c>
      <c r="I64" s="314"/>
      <c r="K64" s="262" t="s">
        <v>3996</v>
      </c>
      <c r="L64" s="263">
        <v>40319</v>
      </c>
      <c r="M64" s="263" t="s">
        <v>3958</v>
      </c>
      <c r="N64" s="242"/>
      <c r="Q64" s="244"/>
      <c r="R64" s="245"/>
      <c r="T64" s="245"/>
      <c r="AB64" s="231"/>
      <c r="AC64" s="231"/>
      <c r="AD64" s="231"/>
    </row>
    <row r="65" spans="1:30" x14ac:dyDescent="0.25">
      <c r="A65" s="190">
        <v>63</v>
      </c>
      <c r="B65" s="147" t="s">
        <v>4287</v>
      </c>
      <c r="C65" s="147"/>
      <c r="D65" s="148" t="s">
        <v>1050</v>
      </c>
      <c r="E65" s="148" t="s">
        <v>1048</v>
      </c>
      <c r="F65" s="148"/>
      <c r="G65" s="231" t="s">
        <v>1004</v>
      </c>
      <c r="H65" s="231" t="s">
        <v>4265</v>
      </c>
      <c r="I65" s="147"/>
      <c r="K65" s="262" t="s">
        <v>4288</v>
      </c>
      <c r="L65" s="231"/>
      <c r="M65" s="231"/>
      <c r="N65" s="316"/>
      <c r="O65" s="316"/>
      <c r="P65" s="316"/>
      <c r="Q65" s="244"/>
      <c r="R65" s="245"/>
      <c r="T65" s="245"/>
      <c r="AB65" s="231"/>
      <c r="AC65" s="231"/>
      <c r="AD65" s="231"/>
    </row>
    <row r="66" spans="1:30" x14ac:dyDescent="0.25">
      <c r="A66" s="317">
        <v>64</v>
      </c>
      <c r="B66" s="318" t="s">
        <v>4289</v>
      </c>
      <c r="C66" s="318"/>
      <c r="D66" s="319" t="s">
        <v>4290</v>
      </c>
      <c r="E66" s="320" t="s">
        <v>3919</v>
      </c>
      <c r="F66" s="320"/>
      <c r="G66" s="321" t="s">
        <v>1004</v>
      </c>
      <c r="H66" s="321"/>
      <c r="I66" s="318"/>
      <c r="J66" s="321"/>
      <c r="K66" s="322"/>
      <c r="L66" s="321"/>
      <c r="M66" s="321"/>
      <c r="N66" s="323"/>
      <c r="O66" s="323"/>
      <c r="P66" s="323"/>
      <c r="Q66" s="324"/>
      <c r="R66" s="325"/>
      <c r="S66" s="326"/>
      <c r="T66" s="325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</row>
    <row r="67" spans="1:30" x14ac:dyDescent="0.25">
      <c r="A67" s="327">
        <v>65</v>
      </c>
      <c r="B67" s="318" t="s">
        <v>4291</v>
      </c>
      <c r="C67" s="318"/>
      <c r="D67" s="319" t="s">
        <v>4292</v>
      </c>
      <c r="E67" s="320" t="s">
        <v>3919</v>
      </c>
      <c r="F67" s="320"/>
      <c r="G67" s="321" t="s">
        <v>1004</v>
      </c>
      <c r="H67" s="321"/>
      <c r="I67" s="318"/>
      <c r="J67" s="321"/>
      <c r="K67" s="322"/>
      <c r="L67" s="321"/>
      <c r="M67" s="321"/>
      <c r="N67" s="323"/>
      <c r="O67" s="323"/>
      <c r="P67" s="323"/>
      <c r="Q67" s="324"/>
      <c r="R67" s="325"/>
      <c r="S67" s="326"/>
      <c r="T67" s="325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</row>
    <row r="68" spans="1:30" x14ac:dyDescent="0.25">
      <c r="A68" s="190">
        <v>66</v>
      </c>
      <c r="B68" s="147" t="s">
        <v>4293</v>
      </c>
      <c r="C68" s="147"/>
      <c r="D68" s="148" t="s">
        <v>4294</v>
      </c>
      <c r="E68" s="328"/>
      <c r="F68" s="328"/>
      <c r="G68" s="231" t="s">
        <v>1004</v>
      </c>
      <c r="H68" s="231"/>
      <c r="I68" s="147"/>
      <c r="L68" s="231"/>
      <c r="M68" s="231"/>
      <c r="N68" s="316"/>
      <c r="O68" s="316"/>
      <c r="P68" s="316"/>
      <c r="Q68" s="244"/>
      <c r="R68" s="245"/>
      <c r="T68" s="245"/>
      <c r="AB68" s="231"/>
      <c r="AC68" s="231"/>
      <c r="AD68" s="231"/>
    </row>
    <row r="69" spans="1:30" x14ac:dyDescent="0.25">
      <c r="A69" s="190">
        <v>67</v>
      </c>
      <c r="B69" s="147" t="s">
        <v>4293</v>
      </c>
      <c r="C69" s="147"/>
      <c r="D69" s="148" t="s">
        <v>4295</v>
      </c>
      <c r="E69" s="328"/>
      <c r="F69" s="328"/>
      <c r="G69" s="231" t="s">
        <v>1004</v>
      </c>
      <c r="H69" s="231"/>
      <c r="I69" s="147"/>
      <c r="L69" s="231"/>
      <c r="M69" s="231"/>
      <c r="N69" s="316"/>
      <c r="O69" s="316"/>
      <c r="P69" s="316"/>
      <c r="Q69" s="244"/>
      <c r="R69" s="245"/>
      <c r="T69" s="245"/>
      <c r="AB69" s="231"/>
      <c r="AC69" s="231"/>
      <c r="AD69" s="231"/>
    </row>
    <row r="70" spans="1:30" x14ac:dyDescent="0.25">
      <c r="A70" s="190">
        <v>68</v>
      </c>
      <c r="B70" s="147" t="s">
        <v>4296</v>
      </c>
      <c r="C70" s="147"/>
      <c r="D70" s="148" t="s">
        <v>4297</v>
      </c>
      <c r="E70" s="328"/>
      <c r="F70" s="328"/>
      <c r="G70" s="231" t="s">
        <v>1004</v>
      </c>
      <c r="H70" s="231" t="s">
        <v>4256</v>
      </c>
      <c r="I70" s="147"/>
      <c r="L70" s="231"/>
      <c r="M70" s="231"/>
      <c r="N70" s="316">
        <v>2003</v>
      </c>
      <c r="O70" s="316"/>
      <c r="P70" s="316"/>
      <c r="Q70" s="244"/>
      <c r="R70" s="245"/>
      <c r="T70" s="245"/>
      <c r="AB70" s="231"/>
      <c r="AC70" s="231"/>
      <c r="AD70" s="231"/>
    </row>
    <row r="71" spans="1:30" x14ac:dyDescent="0.25">
      <c r="A71" s="190">
        <v>69</v>
      </c>
      <c r="B71" s="147" t="s">
        <v>4298</v>
      </c>
      <c r="C71" s="147"/>
      <c r="D71" s="148" t="s">
        <v>4299</v>
      </c>
      <c r="E71" s="328"/>
      <c r="F71" s="328"/>
      <c r="G71" s="231" t="s">
        <v>1004</v>
      </c>
      <c r="H71" s="231" t="s">
        <v>4300</v>
      </c>
      <c r="I71" s="147"/>
      <c r="L71" s="231"/>
      <c r="M71" s="231"/>
      <c r="N71" s="316"/>
      <c r="O71" s="316"/>
      <c r="P71" s="316"/>
      <c r="Q71" s="244"/>
      <c r="R71" s="245"/>
      <c r="T71" s="245"/>
      <c r="AB71" s="231"/>
      <c r="AC71" s="231"/>
      <c r="AD71" s="231"/>
    </row>
    <row r="72" spans="1:30" x14ac:dyDescent="0.25">
      <c r="A72" s="190">
        <v>70</v>
      </c>
      <c r="B72" s="190" t="s">
        <v>4301</v>
      </c>
      <c r="C72" s="190"/>
      <c r="D72" s="209" t="s">
        <v>4302</v>
      </c>
      <c r="E72" s="209" t="s">
        <v>4303</v>
      </c>
      <c r="F72" s="209"/>
      <c r="G72" s="231" t="s">
        <v>1961</v>
      </c>
      <c r="H72" s="231" t="s">
        <v>4304</v>
      </c>
      <c r="K72" s="262" t="s">
        <v>4305</v>
      </c>
      <c r="L72" s="263">
        <v>40942</v>
      </c>
      <c r="M72" s="231" t="s">
        <v>3958</v>
      </c>
      <c r="N72" s="242">
        <v>2008</v>
      </c>
      <c r="Q72" s="244">
        <v>36</v>
      </c>
      <c r="R72" s="245">
        <v>41108</v>
      </c>
      <c r="S72" s="311" t="s">
        <v>4177</v>
      </c>
      <c r="T72" s="245">
        <v>42203</v>
      </c>
      <c r="U72" s="231" t="s">
        <v>4193</v>
      </c>
      <c r="Z72" s="231">
        <v>1</v>
      </c>
      <c r="AA72" s="231" t="s">
        <v>4179</v>
      </c>
      <c r="AB72" s="231"/>
      <c r="AC72" s="231"/>
      <c r="AD72" s="231" t="s">
        <v>4306</v>
      </c>
    </row>
    <row r="73" spans="1:30" x14ac:dyDescent="0.25">
      <c r="A73" s="309">
        <v>71</v>
      </c>
      <c r="B73" s="190" t="s">
        <v>4301</v>
      </c>
      <c r="C73" s="190"/>
      <c r="D73" s="209" t="s">
        <v>4307</v>
      </c>
      <c r="E73" s="209" t="s">
        <v>4308</v>
      </c>
      <c r="F73" s="209"/>
      <c r="G73" s="231" t="s">
        <v>1961</v>
      </c>
      <c r="H73" s="231" t="s">
        <v>4304</v>
      </c>
      <c r="K73" s="262" t="s">
        <v>4305</v>
      </c>
      <c r="L73" s="263">
        <v>40942</v>
      </c>
      <c r="M73" s="231" t="s">
        <v>3958</v>
      </c>
      <c r="N73" s="242">
        <v>2008</v>
      </c>
      <c r="Q73" s="244">
        <v>36</v>
      </c>
      <c r="R73" s="245">
        <v>41108</v>
      </c>
      <c r="S73" s="311" t="s">
        <v>4177</v>
      </c>
      <c r="T73" s="245">
        <v>42203</v>
      </c>
      <c r="U73" s="231" t="s">
        <v>4193</v>
      </c>
      <c r="Z73" s="231">
        <v>1</v>
      </c>
      <c r="AA73" s="231" t="s">
        <v>4179</v>
      </c>
      <c r="AB73" s="231"/>
      <c r="AC73" s="231"/>
      <c r="AD73" s="231" t="s">
        <v>4309</v>
      </c>
    </row>
    <row r="74" spans="1:30" x14ac:dyDescent="0.25">
      <c r="A74" s="190">
        <v>72</v>
      </c>
      <c r="B74" s="190" t="s">
        <v>4301</v>
      </c>
      <c r="C74" s="190"/>
      <c r="D74" s="209" t="s">
        <v>4310</v>
      </c>
      <c r="E74" s="209" t="s">
        <v>4311</v>
      </c>
      <c r="F74" s="209"/>
      <c r="G74" s="231" t="s">
        <v>1961</v>
      </c>
      <c r="H74" s="231" t="s">
        <v>4304</v>
      </c>
      <c r="K74" s="262" t="s">
        <v>4305</v>
      </c>
      <c r="L74" s="263">
        <v>40942</v>
      </c>
      <c r="M74" s="231" t="s">
        <v>3958</v>
      </c>
      <c r="N74" s="242">
        <v>2008</v>
      </c>
      <c r="Q74" s="244">
        <v>36</v>
      </c>
      <c r="R74" s="245">
        <v>41108</v>
      </c>
      <c r="S74" s="311" t="s">
        <v>4177</v>
      </c>
      <c r="T74" s="245">
        <v>42203</v>
      </c>
      <c r="U74" s="231" t="s">
        <v>4193</v>
      </c>
      <c r="Z74" s="231">
        <v>1</v>
      </c>
      <c r="AA74" s="231" t="s">
        <v>4179</v>
      </c>
      <c r="AB74" s="231"/>
      <c r="AC74" s="231"/>
      <c r="AD74" s="231" t="s">
        <v>4312</v>
      </c>
    </row>
    <row r="75" spans="1:30" x14ac:dyDescent="0.25">
      <c r="A75" s="190">
        <v>73</v>
      </c>
      <c r="B75" s="190" t="s">
        <v>4313</v>
      </c>
      <c r="C75" s="329"/>
      <c r="D75" s="330" t="s">
        <v>4314</v>
      </c>
      <c r="E75" s="330" t="s">
        <v>4315</v>
      </c>
      <c r="F75" s="330"/>
      <c r="G75" s="231" t="s">
        <v>1961</v>
      </c>
      <c r="H75" s="231" t="s">
        <v>4316</v>
      </c>
      <c r="K75" s="331" t="s">
        <v>4317</v>
      </c>
      <c r="L75" s="332">
        <v>39806</v>
      </c>
      <c r="M75" s="332" t="s">
        <v>3958</v>
      </c>
      <c r="N75" s="333">
        <v>2007</v>
      </c>
      <c r="Q75" s="244">
        <v>12</v>
      </c>
      <c r="R75" s="245">
        <v>40267</v>
      </c>
      <c r="S75" s="311" t="s">
        <v>4177</v>
      </c>
      <c r="T75" s="245">
        <v>40998</v>
      </c>
      <c r="U75" s="231" t="s">
        <v>4193</v>
      </c>
      <c r="Z75" s="231">
        <v>1</v>
      </c>
      <c r="AA75" s="231" t="s">
        <v>4179</v>
      </c>
      <c r="AB75" s="231"/>
      <c r="AC75" s="231" t="s">
        <v>4318</v>
      </c>
      <c r="AD75" s="231" t="s">
        <v>4319</v>
      </c>
    </row>
    <row r="76" spans="1:30" x14ac:dyDescent="0.25">
      <c r="A76" s="190">
        <v>74</v>
      </c>
      <c r="B76" s="186" t="s">
        <v>4320</v>
      </c>
      <c r="C76" s="186">
        <v>2</v>
      </c>
      <c r="D76" s="210" t="s">
        <v>4321</v>
      </c>
      <c r="E76" s="210" t="s">
        <v>4322</v>
      </c>
      <c r="F76" s="334"/>
      <c r="G76" s="231" t="s">
        <v>1961</v>
      </c>
      <c r="H76" s="231" t="s">
        <v>4323</v>
      </c>
      <c r="I76" s="186"/>
      <c r="K76" s="262" t="s">
        <v>4324</v>
      </c>
      <c r="L76" s="335">
        <v>40085</v>
      </c>
      <c r="M76" s="262" t="s">
        <v>3958</v>
      </c>
      <c r="N76" s="242">
        <v>2012</v>
      </c>
      <c r="Q76" s="336"/>
      <c r="R76" s="245"/>
      <c r="AB76" s="231"/>
      <c r="AC76" s="231"/>
      <c r="AD76" s="231"/>
    </row>
    <row r="77" spans="1:30" x14ac:dyDescent="0.25">
      <c r="A77" s="190">
        <v>75</v>
      </c>
      <c r="B77" s="186" t="s">
        <v>4325</v>
      </c>
      <c r="C77" s="306">
        <v>2</v>
      </c>
      <c r="D77" s="337" t="s">
        <v>4326</v>
      </c>
      <c r="E77" s="337" t="s">
        <v>830</v>
      </c>
      <c r="F77" s="337"/>
      <c r="G77" s="231" t="s">
        <v>1961</v>
      </c>
      <c r="H77" s="231" t="s">
        <v>4304</v>
      </c>
      <c r="I77" s="186">
        <v>100</v>
      </c>
      <c r="K77" s="338" t="s">
        <v>4327</v>
      </c>
      <c r="L77" s="339">
        <v>40253</v>
      </c>
      <c r="M77" s="340" t="s">
        <v>3958</v>
      </c>
      <c r="N77" s="307">
        <v>2009</v>
      </c>
      <c r="Q77" s="336"/>
      <c r="R77" s="245"/>
      <c r="AB77" s="231"/>
      <c r="AC77" s="231"/>
      <c r="AD77" s="231"/>
    </row>
    <row r="78" spans="1:30" x14ac:dyDescent="0.25">
      <c r="A78" s="190">
        <v>76</v>
      </c>
      <c r="B78" s="186" t="s">
        <v>4325</v>
      </c>
      <c r="C78" s="186"/>
      <c r="D78" s="210" t="s">
        <v>4328</v>
      </c>
      <c r="E78" s="210" t="s">
        <v>4329</v>
      </c>
      <c r="F78" s="210"/>
      <c r="G78" s="231" t="s">
        <v>1961</v>
      </c>
      <c r="H78" s="231" t="s">
        <v>4304</v>
      </c>
      <c r="I78" s="186">
        <v>100</v>
      </c>
      <c r="K78" s="262" t="s">
        <v>4327</v>
      </c>
      <c r="L78" s="263">
        <v>40253</v>
      </c>
      <c r="M78" s="231" t="s">
        <v>3958</v>
      </c>
      <c r="N78" s="242">
        <v>2010</v>
      </c>
      <c r="Q78" s="336"/>
      <c r="R78" s="245"/>
      <c r="AB78" s="231"/>
      <c r="AC78" s="231"/>
      <c r="AD78" s="231"/>
    </row>
    <row r="79" spans="1:30" x14ac:dyDescent="0.25">
      <c r="A79" s="190">
        <v>77</v>
      </c>
      <c r="B79" s="186" t="s">
        <v>4330</v>
      </c>
      <c r="C79" s="186"/>
      <c r="D79" s="210" t="s">
        <v>4331</v>
      </c>
      <c r="E79" s="210" t="s">
        <v>4332</v>
      </c>
      <c r="F79" s="210"/>
      <c r="G79" s="231" t="s">
        <v>1961</v>
      </c>
      <c r="H79" s="231" t="s">
        <v>4304</v>
      </c>
      <c r="I79" s="186">
        <v>350</v>
      </c>
      <c r="K79" s="262" t="s">
        <v>4333</v>
      </c>
      <c r="L79" s="263">
        <v>41254</v>
      </c>
      <c r="M79" s="263" t="s">
        <v>3958</v>
      </c>
      <c r="N79" s="242">
        <v>2005</v>
      </c>
      <c r="Q79" s="336"/>
      <c r="R79" s="245"/>
      <c r="AB79" s="231"/>
      <c r="AC79" s="231"/>
      <c r="AD79" s="231"/>
    </row>
    <row r="80" spans="1:30" x14ac:dyDescent="0.25">
      <c r="A80" s="309">
        <v>78</v>
      </c>
      <c r="B80" s="186" t="s">
        <v>4330</v>
      </c>
      <c r="C80" s="186"/>
      <c r="D80" s="210" t="s">
        <v>788</v>
      </c>
      <c r="E80" s="210" t="s">
        <v>787</v>
      </c>
      <c r="F80" s="210"/>
      <c r="G80" s="231" t="s">
        <v>1961</v>
      </c>
      <c r="H80" s="231" t="s">
        <v>4304</v>
      </c>
      <c r="I80" s="186">
        <v>350</v>
      </c>
      <c r="K80" s="262" t="s">
        <v>4333</v>
      </c>
      <c r="L80" s="263">
        <v>41254</v>
      </c>
      <c r="M80" s="263" t="s">
        <v>3958</v>
      </c>
      <c r="N80" s="242">
        <v>2005</v>
      </c>
      <c r="Q80" s="336"/>
      <c r="R80" s="245"/>
      <c r="AB80" s="231"/>
      <c r="AC80" s="231"/>
      <c r="AD80" s="231"/>
    </row>
    <row r="81" spans="1:30" x14ac:dyDescent="0.25">
      <c r="A81" s="190">
        <v>79</v>
      </c>
      <c r="B81" s="186" t="s">
        <v>4334</v>
      </c>
      <c r="C81" s="186"/>
      <c r="D81" s="210" t="s">
        <v>991</v>
      </c>
      <c r="E81" s="210" t="s">
        <v>990</v>
      </c>
      <c r="F81" s="210"/>
      <c r="G81" s="231" t="s">
        <v>1961</v>
      </c>
      <c r="H81" s="231" t="s">
        <v>4304</v>
      </c>
      <c r="I81" s="186">
        <v>80</v>
      </c>
      <c r="K81" s="262" t="s">
        <v>4335</v>
      </c>
      <c r="L81" s="263">
        <v>41120</v>
      </c>
      <c r="M81" s="231" t="s">
        <v>3958</v>
      </c>
      <c r="N81" s="242">
        <v>2012</v>
      </c>
      <c r="Q81" s="336" t="s">
        <v>4336</v>
      </c>
      <c r="R81" s="245"/>
      <c r="AB81" s="231"/>
      <c r="AC81" s="231"/>
      <c r="AD81" s="231"/>
    </row>
    <row r="82" spans="1:30" x14ac:dyDescent="0.25">
      <c r="A82" s="190">
        <v>80</v>
      </c>
      <c r="B82" s="186" t="s">
        <v>4337</v>
      </c>
      <c r="C82" s="186"/>
      <c r="D82" s="210" t="s">
        <v>900</v>
      </c>
      <c r="E82" s="210" t="s">
        <v>899</v>
      </c>
      <c r="F82" s="210"/>
      <c r="G82" s="231" t="s">
        <v>1961</v>
      </c>
      <c r="H82" s="231" t="s">
        <v>4304</v>
      </c>
      <c r="I82" s="186">
        <v>600</v>
      </c>
      <c r="K82" s="262" t="s">
        <v>4338</v>
      </c>
      <c r="L82" s="263">
        <v>38909</v>
      </c>
      <c r="M82" s="263">
        <v>40735</v>
      </c>
      <c r="N82" s="242">
        <v>2007</v>
      </c>
      <c r="Q82" s="336" t="s">
        <v>4336</v>
      </c>
      <c r="R82" s="245"/>
      <c r="AB82" s="231"/>
      <c r="AC82" s="231" t="s">
        <v>4339</v>
      </c>
      <c r="AD82" s="231"/>
    </row>
    <row r="83" spans="1:30" x14ac:dyDescent="0.25">
      <c r="A83" s="190">
        <v>81</v>
      </c>
      <c r="B83" s="186" t="s">
        <v>4340</v>
      </c>
      <c r="C83" s="186"/>
      <c r="D83" s="210"/>
      <c r="E83" s="210" t="s">
        <v>937</v>
      </c>
      <c r="F83" s="210"/>
      <c r="G83" s="231" t="s">
        <v>1961</v>
      </c>
      <c r="H83" s="231" t="s">
        <v>4304</v>
      </c>
      <c r="I83" s="186"/>
      <c r="L83" s="231"/>
      <c r="M83" s="231"/>
      <c r="N83" s="242"/>
      <c r="Q83" s="336"/>
      <c r="R83" s="245"/>
      <c r="AB83" s="231"/>
      <c r="AC83" s="231"/>
      <c r="AD83" s="231"/>
    </row>
    <row r="84" spans="1:30" x14ac:dyDescent="0.25">
      <c r="A84" s="190">
        <v>82</v>
      </c>
      <c r="B84" s="186" t="s">
        <v>4341</v>
      </c>
      <c r="C84" s="186"/>
      <c r="D84" s="210" t="s">
        <v>4342</v>
      </c>
      <c r="E84" s="210" t="s">
        <v>765</v>
      </c>
      <c r="F84" s="210"/>
      <c r="G84" s="231" t="s">
        <v>1961</v>
      </c>
      <c r="H84" s="231" t="s">
        <v>4343</v>
      </c>
      <c r="I84" s="186">
        <v>360</v>
      </c>
      <c r="K84" s="262" t="s">
        <v>4336</v>
      </c>
      <c r="N84" s="242"/>
      <c r="Q84" s="336"/>
      <c r="R84" s="245"/>
      <c r="AB84" s="231"/>
      <c r="AC84" s="231"/>
      <c r="AD84" s="231"/>
    </row>
    <row r="85" spans="1:30" x14ac:dyDescent="0.25">
      <c r="A85" s="190">
        <v>83</v>
      </c>
      <c r="B85" s="186" t="s">
        <v>4344</v>
      </c>
      <c r="C85" s="186"/>
      <c r="D85" s="210" t="s">
        <v>957</v>
      </c>
      <c r="E85" s="210" t="s">
        <v>4345</v>
      </c>
      <c r="F85" s="210"/>
      <c r="G85" s="231" t="s">
        <v>1961</v>
      </c>
      <c r="H85" s="231" t="s">
        <v>4346</v>
      </c>
      <c r="I85" s="186">
        <v>360</v>
      </c>
      <c r="K85" s="262" t="s">
        <v>4336</v>
      </c>
      <c r="N85" s="242"/>
      <c r="Q85" s="336"/>
      <c r="R85" s="245"/>
      <c r="AB85" s="231"/>
      <c r="AC85" s="231"/>
      <c r="AD85" s="231"/>
    </row>
    <row r="86" spans="1:30" x14ac:dyDescent="0.25">
      <c r="A86" s="190">
        <v>84</v>
      </c>
      <c r="B86" s="186" t="s">
        <v>4347</v>
      </c>
      <c r="C86" s="186"/>
      <c r="D86" s="210" t="s">
        <v>4348</v>
      </c>
      <c r="E86" s="210" t="s">
        <v>777</v>
      </c>
      <c r="F86" s="210"/>
      <c r="G86" s="231" t="s">
        <v>1961</v>
      </c>
      <c r="H86" s="231" t="s">
        <v>4349</v>
      </c>
      <c r="I86" s="186">
        <v>360</v>
      </c>
      <c r="K86" s="262" t="s">
        <v>4336</v>
      </c>
      <c r="N86" s="242"/>
      <c r="Q86" s="336"/>
      <c r="R86" s="245"/>
      <c r="AB86" s="231"/>
      <c r="AC86" s="231"/>
      <c r="AD86" s="231"/>
    </row>
    <row r="87" spans="1:30" x14ac:dyDescent="0.25">
      <c r="A87" s="309">
        <v>85</v>
      </c>
      <c r="B87" s="186" t="s">
        <v>4350</v>
      </c>
      <c r="C87" s="186"/>
      <c r="D87" s="210" t="s">
        <v>959</v>
      </c>
      <c r="E87" s="210" t="s">
        <v>4345</v>
      </c>
      <c r="F87" s="210"/>
      <c r="G87" s="231" t="s">
        <v>1961</v>
      </c>
      <c r="H87" s="231" t="s">
        <v>4346</v>
      </c>
      <c r="I87" s="186"/>
      <c r="K87" s="262" t="s">
        <v>4336</v>
      </c>
      <c r="N87" s="242"/>
      <c r="Q87" s="336"/>
      <c r="R87" s="245"/>
      <c r="AB87" s="231"/>
      <c r="AC87" s="231"/>
      <c r="AD87" s="231"/>
    </row>
    <row r="88" spans="1:30" x14ac:dyDescent="0.25">
      <c r="A88" s="190">
        <v>86</v>
      </c>
      <c r="B88" s="186" t="s">
        <v>4351</v>
      </c>
      <c r="C88" s="186"/>
      <c r="D88" s="210" t="s">
        <v>4352</v>
      </c>
      <c r="E88" s="210" t="s">
        <v>765</v>
      </c>
      <c r="F88" s="210"/>
      <c r="G88" s="231" t="s">
        <v>1961</v>
      </c>
      <c r="H88" s="231" t="s">
        <v>4343</v>
      </c>
      <c r="I88" s="186"/>
      <c r="K88" s="262" t="s">
        <v>4336</v>
      </c>
      <c r="N88" s="242"/>
      <c r="Q88" s="336"/>
      <c r="R88" s="245"/>
      <c r="AB88" s="231"/>
      <c r="AC88" s="231"/>
      <c r="AD88" s="231"/>
    </row>
    <row r="89" spans="1:30" x14ac:dyDescent="0.25">
      <c r="A89" s="190">
        <v>87</v>
      </c>
      <c r="B89" s="186" t="s">
        <v>4353</v>
      </c>
      <c r="C89" s="186"/>
      <c r="D89" s="210" t="s">
        <v>4354</v>
      </c>
      <c r="E89" s="210" t="s">
        <v>777</v>
      </c>
      <c r="F89" s="210"/>
      <c r="G89" s="231" t="s">
        <v>1961</v>
      </c>
      <c r="H89" s="231" t="s">
        <v>4349</v>
      </c>
      <c r="I89" s="186"/>
      <c r="K89" s="262" t="s">
        <v>4336</v>
      </c>
      <c r="N89" s="242"/>
      <c r="Q89" s="336"/>
      <c r="R89" s="245"/>
      <c r="AB89" s="231"/>
      <c r="AC89" s="231"/>
      <c r="AD89" s="231"/>
    </row>
    <row r="90" spans="1:30" x14ac:dyDescent="0.25">
      <c r="A90" s="190">
        <v>88</v>
      </c>
      <c r="B90" s="186" t="s">
        <v>4355</v>
      </c>
      <c r="C90" s="186"/>
      <c r="D90" s="210" t="s">
        <v>4356</v>
      </c>
      <c r="E90" s="210" t="s">
        <v>4357</v>
      </c>
      <c r="F90" s="210"/>
      <c r="G90" s="231" t="s">
        <v>1961</v>
      </c>
      <c r="H90" s="231" t="s">
        <v>4304</v>
      </c>
      <c r="I90" s="186"/>
      <c r="K90" s="262" t="s">
        <v>4358</v>
      </c>
      <c r="L90" s="231"/>
      <c r="M90" s="231"/>
      <c r="N90" s="242">
        <v>2011</v>
      </c>
      <c r="Q90" s="336"/>
      <c r="R90" s="245"/>
      <c r="AB90" s="231"/>
      <c r="AC90" s="231"/>
      <c r="AD90" s="231"/>
    </row>
    <row r="91" spans="1:30" x14ac:dyDescent="0.25">
      <c r="A91" s="190">
        <v>89</v>
      </c>
      <c r="B91" s="186" t="s">
        <v>4355</v>
      </c>
      <c r="C91" s="186"/>
      <c r="D91" s="210" t="s">
        <v>4359</v>
      </c>
      <c r="E91" s="210" t="s">
        <v>4360</v>
      </c>
      <c r="F91" s="210"/>
      <c r="G91" s="231" t="s">
        <v>1961</v>
      </c>
      <c r="H91" s="231" t="s">
        <v>4304</v>
      </c>
      <c r="I91" s="186"/>
      <c r="K91" s="262" t="s">
        <v>4358</v>
      </c>
      <c r="L91" s="231"/>
      <c r="M91" s="231"/>
      <c r="N91" s="242">
        <v>2011</v>
      </c>
      <c r="Q91" s="336"/>
      <c r="R91" s="245"/>
      <c r="AB91" s="231"/>
      <c r="AC91" s="231"/>
      <c r="AD91" s="231"/>
    </row>
    <row r="92" spans="1:30" x14ac:dyDescent="0.25">
      <c r="A92" s="190">
        <v>90</v>
      </c>
      <c r="B92" s="186" t="s">
        <v>4355</v>
      </c>
      <c r="C92" s="186"/>
      <c r="D92" s="210" t="s">
        <v>866</v>
      </c>
      <c r="E92" s="210" t="s">
        <v>4361</v>
      </c>
      <c r="F92" s="210"/>
      <c r="G92" s="231" t="s">
        <v>1961</v>
      </c>
      <c r="H92" s="231" t="s">
        <v>4304</v>
      </c>
      <c r="I92" s="186"/>
      <c r="K92" s="262" t="s">
        <v>4358</v>
      </c>
      <c r="L92" s="231"/>
      <c r="M92" s="231"/>
      <c r="N92" s="242">
        <v>2011</v>
      </c>
      <c r="Q92" s="336"/>
      <c r="R92" s="245"/>
      <c r="AB92" s="231"/>
      <c r="AC92" s="231"/>
      <c r="AD92" s="231"/>
    </row>
    <row r="93" spans="1:30" x14ac:dyDescent="0.25">
      <c r="A93" s="190">
        <v>91</v>
      </c>
      <c r="B93" s="186" t="s">
        <v>4362</v>
      </c>
      <c r="C93" s="186"/>
      <c r="D93" s="210" t="s">
        <v>4363</v>
      </c>
      <c r="E93" s="210" t="s">
        <v>4364</v>
      </c>
      <c r="F93" s="210"/>
      <c r="G93" s="231" t="s">
        <v>1961</v>
      </c>
      <c r="H93" s="231" t="s">
        <v>4304</v>
      </c>
      <c r="I93" s="186"/>
      <c r="K93" s="262" t="s">
        <v>4365</v>
      </c>
      <c r="L93" s="310">
        <v>40259</v>
      </c>
      <c r="M93" s="231" t="s">
        <v>3958</v>
      </c>
      <c r="N93" s="242">
        <v>2006</v>
      </c>
      <c r="Q93" s="336" t="s">
        <v>4336</v>
      </c>
      <c r="R93" s="245"/>
      <c r="AB93" s="231"/>
      <c r="AC93" s="231" t="s">
        <v>4366</v>
      </c>
      <c r="AD93" s="231"/>
    </row>
    <row r="94" spans="1:30" x14ac:dyDescent="0.25">
      <c r="A94" s="309">
        <v>92</v>
      </c>
      <c r="B94" s="186" t="s">
        <v>4367</v>
      </c>
      <c r="C94" s="186"/>
      <c r="D94" s="210" t="s">
        <v>4368</v>
      </c>
      <c r="E94" s="210" t="s">
        <v>4369</v>
      </c>
      <c r="F94" s="210"/>
      <c r="G94" s="231" t="s">
        <v>1961</v>
      </c>
      <c r="H94" s="231" t="s">
        <v>4304</v>
      </c>
      <c r="I94" s="186"/>
      <c r="K94" s="262" t="s">
        <v>4365</v>
      </c>
      <c r="L94" s="310">
        <v>40259</v>
      </c>
      <c r="M94" s="231" t="s">
        <v>3958</v>
      </c>
      <c r="N94" s="242">
        <v>2006</v>
      </c>
      <c r="Q94" s="336" t="s">
        <v>4336</v>
      </c>
      <c r="R94" s="245"/>
      <c r="AB94" s="231"/>
      <c r="AC94" s="231"/>
      <c r="AD94" s="231"/>
    </row>
    <row r="95" spans="1:30" x14ac:dyDescent="0.25">
      <c r="A95" s="190">
        <v>93</v>
      </c>
      <c r="B95" s="186" t="s">
        <v>4370</v>
      </c>
      <c r="C95" s="186"/>
      <c r="D95" s="210" t="s">
        <v>4371</v>
      </c>
      <c r="E95" s="210" t="s">
        <v>4372</v>
      </c>
      <c r="F95" s="210"/>
      <c r="G95" s="231" t="s">
        <v>1961</v>
      </c>
      <c r="H95" s="231" t="s">
        <v>4304</v>
      </c>
      <c r="I95" s="186"/>
      <c r="K95" s="262" t="s">
        <v>4365</v>
      </c>
      <c r="L95" s="310">
        <v>40259</v>
      </c>
      <c r="M95" s="231" t="s">
        <v>3958</v>
      </c>
      <c r="N95" s="242">
        <v>2006</v>
      </c>
      <c r="Q95" s="336" t="s">
        <v>4336</v>
      </c>
      <c r="R95" s="245"/>
      <c r="AB95" s="231"/>
      <c r="AC95" s="231"/>
      <c r="AD95" s="231"/>
    </row>
    <row r="96" spans="1:30" x14ac:dyDescent="0.25">
      <c r="A96" s="190">
        <v>94</v>
      </c>
      <c r="B96" s="186" t="s">
        <v>4373</v>
      </c>
      <c r="C96" s="186"/>
      <c r="D96" s="210" t="s">
        <v>4374</v>
      </c>
      <c r="E96" s="210" t="s">
        <v>924</v>
      </c>
      <c r="F96" s="210"/>
      <c r="G96" s="231" t="s">
        <v>1961</v>
      </c>
      <c r="H96" s="231" t="s">
        <v>4375</v>
      </c>
      <c r="I96" s="186"/>
      <c r="K96" s="262" t="s">
        <v>4376</v>
      </c>
      <c r="L96" s="231"/>
      <c r="M96" s="231"/>
      <c r="N96" s="242">
        <v>2008</v>
      </c>
      <c r="Q96" s="336" t="s">
        <v>4336</v>
      </c>
      <c r="R96" s="245"/>
      <c r="AB96" s="231"/>
      <c r="AC96" s="231" t="s">
        <v>4318</v>
      </c>
      <c r="AD96" s="231"/>
    </row>
    <row r="97" spans="1:30" x14ac:dyDescent="0.25">
      <c r="A97" s="190">
        <v>95</v>
      </c>
      <c r="B97" s="186" t="s">
        <v>4377</v>
      </c>
      <c r="C97" s="186"/>
      <c r="D97" s="210" t="s">
        <v>4378</v>
      </c>
      <c r="E97" s="210" t="s">
        <v>4379</v>
      </c>
      <c r="F97" s="210"/>
      <c r="G97" s="231" t="s">
        <v>1961</v>
      </c>
      <c r="H97" s="231" t="s">
        <v>4380</v>
      </c>
      <c r="I97" s="186"/>
      <c r="K97" s="262" t="s">
        <v>4376</v>
      </c>
      <c r="L97" s="231"/>
      <c r="M97" s="231"/>
      <c r="N97" s="242">
        <v>2008</v>
      </c>
      <c r="Q97" s="336" t="s">
        <v>4336</v>
      </c>
      <c r="R97" s="245"/>
      <c r="AB97" s="231"/>
      <c r="AC97" s="231"/>
      <c r="AD97" s="231"/>
    </row>
    <row r="98" spans="1:30" x14ac:dyDescent="0.25">
      <c r="A98" s="190">
        <v>96</v>
      </c>
      <c r="B98" s="186" t="s">
        <v>4377</v>
      </c>
      <c r="C98" s="186"/>
      <c r="D98" s="210" t="s">
        <v>883</v>
      </c>
      <c r="E98" s="210" t="s">
        <v>4381</v>
      </c>
      <c r="F98" s="210"/>
      <c r="G98" s="231" t="s">
        <v>1961</v>
      </c>
      <c r="H98" s="231" t="s">
        <v>4382</v>
      </c>
      <c r="I98" s="186"/>
      <c r="K98" s="262" t="s">
        <v>4376</v>
      </c>
      <c r="L98" s="231"/>
      <c r="M98" s="231"/>
      <c r="N98" s="242">
        <v>2008</v>
      </c>
      <c r="Q98" s="336" t="s">
        <v>4336</v>
      </c>
      <c r="R98" s="245"/>
      <c r="AB98" s="231"/>
      <c r="AC98" s="231"/>
      <c r="AD98" s="231"/>
    </row>
    <row r="99" spans="1:30" x14ac:dyDescent="0.25">
      <c r="A99" s="190">
        <v>97</v>
      </c>
      <c r="B99" s="186" t="s">
        <v>4383</v>
      </c>
      <c r="C99" s="186"/>
      <c r="D99" s="210" t="s">
        <v>883</v>
      </c>
      <c r="E99" s="210" t="s">
        <v>953</v>
      </c>
      <c r="F99" s="210"/>
      <c r="G99" s="231" t="s">
        <v>1961</v>
      </c>
      <c r="H99" s="231" t="s">
        <v>4304</v>
      </c>
      <c r="I99" s="186"/>
      <c r="K99" s="262" t="s">
        <v>4047</v>
      </c>
      <c r="L99" s="263">
        <v>41272</v>
      </c>
      <c r="M99" s="231" t="s">
        <v>3958</v>
      </c>
      <c r="N99" s="242">
        <v>2011</v>
      </c>
      <c r="Q99" s="336" t="s">
        <v>4336</v>
      </c>
      <c r="R99" s="245"/>
      <c r="AB99" s="231"/>
      <c r="AC99" s="231"/>
      <c r="AD99" s="231"/>
    </row>
    <row r="100" spans="1:30" x14ac:dyDescent="0.25">
      <c r="A100" s="190">
        <v>98</v>
      </c>
      <c r="B100" s="186" t="s">
        <v>4383</v>
      </c>
      <c r="C100" s="220"/>
      <c r="D100" s="341" t="s">
        <v>4384</v>
      </c>
      <c r="E100" s="341" t="s">
        <v>953</v>
      </c>
      <c r="F100" s="341"/>
      <c r="G100" s="231" t="s">
        <v>1961</v>
      </c>
      <c r="H100" s="231" t="s">
        <v>4304</v>
      </c>
      <c r="I100" s="186"/>
      <c r="K100" s="331" t="s">
        <v>4047</v>
      </c>
      <c r="L100" s="332">
        <v>41272</v>
      </c>
      <c r="M100" s="342" t="s">
        <v>3958</v>
      </c>
      <c r="N100" s="333">
        <v>2011</v>
      </c>
      <c r="Q100" s="336" t="s">
        <v>4336</v>
      </c>
      <c r="R100" s="245"/>
      <c r="AB100" s="231"/>
      <c r="AC100" s="231"/>
      <c r="AD100" s="231"/>
    </row>
    <row r="101" spans="1:30" x14ac:dyDescent="0.25">
      <c r="A101" s="309">
        <v>99</v>
      </c>
      <c r="B101" s="186" t="s">
        <v>4385</v>
      </c>
      <c r="C101" s="186">
        <v>2</v>
      </c>
      <c r="D101" s="210" t="s">
        <v>871</v>
      </c>
      <c r="E101" s="210" t="s">
        <v>4386</v>
      </c>
      <c r="F101" s="334"/>
      <c r="G101" s="231" t="s">
        <v>1961</v>
      </c>
      <c r="H101" s="231" t="s">
        <v>4304</v>
      </c>
      <c r="I101" s="186">
        <v>2100</v>
      </c>
      <c r="K101" s="262" t="s">
        <v>4387</v>
      </c>
      <c r="L101" s="335">
        <v>40791</v>
      </c>
      <c r="M101" s="262" t="s">
        <v>3958</v>
      </c>
      <c r="N101" s="242">
        <v>2012</v>
      </c>
      <c r="Q101" s="336"/>
      <c r="R101" s="245"/>
      <c r="AB101" s="231"/>
      <c r="AC101" s="231" t="s">
        <v>4388</v>
      </c>
      <c r="AD101" s="231"/>
    </row>
    <row r="102" spans="1:30" x14ac:dyDescent="0.25">
      <c r="A102" s="190">
        <v>100</v>
      </c>
      <c r="B102" s="186" t="s">
        <v>4389</v>
      </c>
      <c r="C102" s="186">
        <v>2</v>
      </c>
      <c r="D102" s="210" t="s">
        <v>836</v>
      </c>
      <c r="E102" s="210" t="s">
        <v>4269</v>
      </c>
      <c r="F102" s="231" t="s">
        <v>4390</v>
      </c>
      <c r="G102" s="231" t="s">
        <v>1961</v>
      </c>
      <c r="H102" s="231" t="s">
        <v>4323</v>
      </c>
      <c r="I102" s="186"/>
      <c r="K102" s="262" t="s">
        <v>4391</v>
      </c>
      <c r="L102" s="335">
        <v>39022</v>
      </c>
      <c r="M102" s="335">
        <v>42675</v>
      </c>
      <c r="N102" s="242">
        <v>2008</v>
      </c>
      <c r="Q102" s="336"/>
      <c r="R102" s="245"/>
      <c r="AB102" s="231"/>
      <c r="AC102" s="231"/>
      <c r="AD102" s="231"/>
    </row>
    <row r="103" spans="1:30" x14ac:dyDescent="0.25">
      <c r="A103" s="190">
        <v>101</v>
      </c>
      <c r="B103" s="186" t="s">
        <v>4392</v>
      </c>
      <c r="C103" s="306"/>
      <c r="D103" s="337" t="s">
        <v>836</v>
      </c>
      <c r="E103" s="337" t="s">
        <v>838</v>
      </c>
      <c r="F103" s="337"/>
      <c r="G103" s="231" t="s">
        <v>1961</v>
      </c>
      <c r="H103" s="231" t="s">
        <v>4323</v>
      </c>
      <c r="I103" s="186">
        <v>150</v>
      </c>
      <c r="K103" s="338" t="s">
        <v>4393</v>
      </c>
      <c r="L103" s="339">
        <v>38224</v>
      </c>
      <c r="M103" s="339">
        <v>41876</v>
      </c>
      <c r="N103" s="307">
        <v>2008</v>
      </c>
      <c r="Q103" s="336"/>
      <c r="R103" s="245"/>
      <c r="AB103" s="231"/>
      <c r="AC103" s="231"/>
      <c r="AD103" s="231"/>
    </row>
    <row r="104" spans="1:30" x14ac:dyDescent="0.25">
      <c r="A104" s="190">
        <v>102</v>
      </c>
      <c r="B104" s="186" t="s">
        <v>4394</v>
      </c>
      <c r="C104" s="186"/>
      <c r="D104" s="210" t="s">
        <v>836</v>
      </c>
      <c r="E104" s="210" t="s">
        <v>943</v>
      </c>
      <c r="F104" s="210"/>
      <c r="G104" s="231" t="s">
        <v>1961</v>
      </c>
      <c r="H104" s="231" t="s">
        <v>4323</v>
      </c>
      <c r="I104" s="186">
        <v>500</v>
      </c>
      <c r="K104" s="262" t="s">
        <v>4393</v>
      </c>
      <c r="L104" s="263">
        <v>38224</v>
      </c>
      <c r="M104" s="263">
        <v>41876</v>
      </c>
      <c r="N104" s="242">
        <v>2008</v>
      </c>
      <c r="Q104" s="336"/>
      <c r="R104" s="245"/>
      <c r="AB104" s="231"/>
      <c r="AC104" s="231"/>
      <c r="AD104" s="231"/>
    </row>
    <row r="105" spans="1:30" x14ac:dyDescent="0.25">
      <c r="A105" s="190">
        <v>103</v>
      </c>
      <c r="B105" s="186" t="s">
        <v>4395</v>
      </c>
      <c r="C105" s="186"/>
      <c r="D105" s="210" t="s">
        <v>836</v>
      </c>
      <c r="E105" s="210" t="s">
        <v>855</v>
      </c>
      <c r="F105" s="210"/>
      <c r="G105" s="231" t="s">
        <v>1961</v>
      </c>
      <c r="H105" s="231" t="s">
        <v>4323</v>
      </c>
      <c r="I105" s="186">
        <v>150</v>
      </c>
      <c r="K105" s="262" t="s">
        <v>4393</v>
      </c>
      <c r="L105" s="263">
        <v>38224</v>
      </c>
      <c r="M105" s="263">
        <v>41876</v>
      </c>
      <c r="N105" s="242">
        <v>2008</v>
      </c>
      <c r="Q105" s="336"/>
      <c r="R105" s="245"/>
      <c r="AB105" s="231"/>
      <c r="AC105" s="231"/>
      <c r="AD105" s="231"/>
    </row>
    <row r="106" spans="1:30" x14ac:dyDescent="0.25">
      <c r="A106" s="190">
        <v>104</v>
      </c>
      <c r="B106" s="186" t="s">
        <v>4396</v>
      </c>
      <c r="C106" s="220"/>
      <c r="D106" s="341" t="s">
        <v>836</v>
      </c>
      <c r="E106" s="341" t="s">
        <v>835</v>
      </c>
      <c r="F106" s="341"/>
      <c r="G106" s="231" t="s">
        <v>1961</v>
      </c>
      <c r="H106" s="231" t="s">
        <v>4323</v>
      </c>
      <c r="I106" s="186">
        <v>1380</v>
      </c>
      <c r="K106" s="331" t="s">
        <v>4393</v>
      </c>
      <c r="L106" s="332">
        <v>38224</v>
      </c>
      <c r="M106" s="332">
        <v>41876</v>
      </c>
      <c r="N106" s="333">
        <v>2008</v>
      </c>
      <c r="Q106" s="336"/>
      <c r="R106" s="245"/>
      <c r="AB106" s="231"/>
      <c r="AC106" s="231"/>
      <c r="AD106" s="231"/>
    </row>
    <row r="107" spans="1:30" x14ac:dyDescent="0.25">
      <c r="A107" s="190">
        <v>105</v>
      </c>
      <c r="B107" s="186" t="s">
        <v>4397</v>
      </c>
      <c r="C107" s="186">
        <v>2</v>
      </c>
      <c r="D107" s="210" t="s">
        <v>930</v>
      </c>
      <c r="E107" s="210" t="s">
        <v>4269</v>
      </c>
      <c r="F107" s="231" t="s">
        <v>4390</v>
      </c>
      <c r="G107" s="231" t="s">
        <v>1961</v>
      </c>
      <c r="H107" s="231" t="s">
        <v>4398</v>
      </c>
      <c r="I107" s="186"/>
      <c r="K107" s="262" t="s">
        <v>4391</v>
      </c>
      <c r="L107" s="335">
        <v>39022</v>
      </c>
      <c r="M107" s="335">
        <v>42675</v>
      </c>
      <c r="N107" s="242">
        <v>2012</v>
      </c>
      <c r="Q107" s="336"/>
      <c r="R107" s="245"/>
      <c r="AB107" s="231"/>
      <c r="AC107" s="231"/>
      <c r="AD107" s="231"/>
    </row>
    <row r="108" spans="1:30" x14ac:dyDescent="0.25">
      <c r="A108" s="309">
        <v>106</v>
      </c>
      <c r="B108" s="186" t="s">
        <v>4399</v>
      </c>
      <c r="C108" s="306"/>
      <c r="D108" s="337" t="s">
        <v>930</v>
      </c>
      <c r="E108" s="337" t="s">
        <v>846</v>
      </c>
      <c r="F108" s="337"/>
      <c r="G108" s="231" t="s">
        <v>1961</v>
      </c>
      <c r="H108" s="231" t="s">
        <v>4398</v>
      </c>
      <c r="I108" s="186">
        <v>150</v>
      </c>
      <c r="K108" s="338" t="s">
        <v>4393</v>
      </c>
      <c r="L108" s="339">
        <v>38224</v>
      </c>
      <c r="M108" s="339">
        <v>41876</v>
      </c>
      <c r="N108" s="307">
        <v>2012</v>
      </c>
      <c r="Q108" s="336"/>
      <c r="R108" s="245"/>
      <c r="AB108" s="231"/>
      <c r="AC108" s="231"/>
      <c r="AD108" s="231"/>
    </row>
    <row r="109" spans="1:30" x14ac:dyDescent="0.25">
      <c r="A109" s="190">
        <v>107</v>
      </c>
      <c r="B109" s="186" t="s">
        <v>4400</v>
      </c>
      <c r="C109" s="186"/>
      <c r="D109" s="210" t="s">
        <v>930</v>
      </c>
      <c r="E109" s="210" t="s">
        <v>859</v>
      </c>
      <c r="F109" s="210"/>
      <c r="G109" s="231" t="s">
        <v>1961</v>
      </c>
      <c r="H109" s="231" t="s">
        <v>4398</v>
      </c>
      <c r="I109" s="186">
        <v>500</v>
      </c>
      <c r="K109" s="262" t="s">
        <v>4393</v>
      </c>
      <c r="L109" s="263">
        <v>38224</v>
      </c>
      <c r="M109" s="263">
        <v>41876</v>
      </c>
      <c r="N109" s="242">
        <v>2012</v>
      </c>
      <c r="Q109" s="336"/>
      <c r="R109" s="245"/>
      <c r="AB109" s="231"/>
      <c r="AC109" s="231"/>
      <c r="AD109" s="231"/>
    </row>
    <row r="110" spans="1:30" x14ac:dyDescent="0.25">
      <c r="A110" s="190">
        <v>108</v>
      </c>
      <c r="B110" s="186" t="s">
        <v>4401</v>
      </c>
      <c r="C110" s="186"/>
      <c r="D110" s="210" t="s">
        <v>930</v>
      </c>
      <c r="E110" s="210" t="s">
        <v>4402</v>
      </c>
      <c r="F110" s="210"/>
      <c r="G110" s="231" t="s">
        <v>1961</v>
      </c>
      <c r="H110" s="231" t="s">
        <v>4398</v>
      </c>
      <c r="I110" s="186">
        <v>150</v>
      </c>
      <c r="K110" s="262" t="s">
        <v>4393</v>
      </c>
      <c r="L110" s="263">
        <v>38224</v>
      </c>
      <c r="M110" s="263">
        <v>41876</v>
      </c>
      <c r="N110" s="242">
        <v>2012</v>
      </c>
      <c r="Q110" s="336"/>
      <c r="R110" s="245"/>
      <c r="AB110" s="231"/>
      <c r="AC110" s="231"/>
      <c r="AD110" s="231"/>
    </row>
    <row r="111" spans="1:30" x14ac:dyDescent="0.25">
      <c r="A111" s="190">
        <v>109</v>
      </c>
      <c r="B111" s="186" t="s">
        <v>4403</v>
      </c>
      <c r="C111" s="220"/>
      <c r="D111" s="341" t="s">
        <v>930</v>
      </c>
      <c r="E111" s="341" t="s">
        <v>834</v>
      </c>
      <c r="F111" s="341"/>
      <c r="G111" s="231" t="s">
        <v>1961</v>
      </c>
      <c r="H111" s="231" t="s">
        <v>4398</v>
      </c>
      <c r="I111" s="186">
        <v>1380</v>
      </c>
      <c r="K111" s="331" t="s">
        <v>4393</v>
      </c>
      <c r="L111" s="332">
        <v>38224</v>
      </c>
      <c r="M111" s="332">
        <v>41876</v>
      </c>
      <c r="N111" s="333">
        <v>2012</v>
      </c>
      <c r="Q111" s="336"/>
      <c r="R111" s="245"/>
      <c r="AB111" s="231"/>
      <c r="AC111" s="231"/>
      <c r="AD111" s="231"/>
    </row>
    <row r="112" spans="1:30" x14ac:dyDescent="0.25">
      <c r="A112" s="190">
        <v>110</v>
      </c>
      <c r="B112" s="186" t="s">
        <v>4404</v>
      </c>
      <c r="C112" s="186">
        <v>2</v>
      </c>
      <c r="D112" s="210" t="s">
        <v>935</v>
      </c>
      <c r="E112" s="210" t="s">
        <v>4269</v>
      </c>
      <c r="F112" s="231" t="s">
        <v>4390</v>
      </c>
      <c r="G112" s="231" t="s">
        <v>1961</v>
      </c>
      <c r="H112" s="231" t="s">
        <v>4398</v>
      </c>
      <c r="I112" s="186"/>
      <c r="K112" s="262" t="s">
        <v>4391</v>
      </c>
      <c r="L112" s="335">
        <v>39022</v>
      </c>
      <c r="M112" s="335">
        <v>42675</v>
      </c>
      <c r="N112" s="242">
        <v>2012</v>
      </c>
      <c r="Q112" s="336"/>
      <c r="R112" s="245"/>
      <c r="AB112" s="231"/>
      <c r="AC112" s="231"/>
      <c r="AD112" s="231"/>
    </row>
    <row r="113" spans="1:30" x14ac:dyDescent="0.25">
      <c r="A113" s="190">
        <v>111</v>
      </c>
      <c r="B113" s="186" t="s">
        <v>4405</v>
      </c>
      <c r="C113" s="306"/>
      <c r="D113" s="337" t="s">
        <v>935</v>
      </c>
      <c r="E113" s="337" t="s">
        <v>931</v>
      </c>
      <c r="F113" s="337"/>
      <c r="G113" s="231" t="s">
        <v>1961</v>
      </c>
      <c r="H113" s="231" t="s">
        <v>4398</v>
      </c>
      <c r="I113" s="186">
        <v>150</v>
      </c>
      <c r="K113" s="338" t="s">
        <v>4393</v>
      </c>
      <c r="L113" s="339">
        <v>38224</v>
      </c>
      <c r="M113" s="339">
        <v>41876</v>
      </c>
      <c r="N113" s="307">
        <v>2012</v>
      </c>
      <c r="Q113" s="336"/>
      <c r="R113" s="245"/>
      <c r="AB113" s="231"/>
      <c r="AC113" s="231"/>
      <c r="AD113" s="231"/>
    </row>
    <row r="114" spans="1:30" x14ac:dyDescent="0.25">
      <c r="A114" s="190">
        <v>112</v>
      </c>
      <c r="B114" s="186" t="s">
        <v>4400</v>
      </c>
      <c r="C114" s="186"/>
      <c r="D114" s="210" t="s">
        <v>935</v>
      </c>
      <c r="E114" s="210" t="s">
        <v>944</v>
      </c>
      <c r="F114" s="210"/>
      <c r="G114" s="231" t="s">
        <v>1961</v>
      </c>
      <c r="H114" s="231" t="s">
        <v>4398</v>
      </c>
      <c r="I114" s="186">
        <v>500</v>
      </c>
      <c r="K114" s="262" t="s">
        <v>4393</v>
      </c>
      <c r="L114" s="263">
        <v>38224</v>
      </c>
      <c r="M114" s="263">
        <v>41876</v>
      </c>
      <c r="N114" s="242">
        <v>2012</v>
      </c>
      <c r="Q114" s="336"/>
      <c r="R114" s="245"/>
      <c r="AB114" s="231"/>
      <c r="AC114" s="231"/>
      <c r="AD114" s="231"/>
    </row>
    <row r="115" spans="1:30" x14ac:dyDescent="0.25">
      <c r="A115" s="309">
        <v>113</v>
      </c>
      <c r="B115" s="186" t="s">
        <v>4401</v>
      </c>
      <c r="C115" s="186"/>
      <c r="D115" s="210" t="s">
        <v>935</v>
      </c>
      <c r="E115" s="210" t="s">
        <v>941</v>
      </c>
      <c r="F115" s="210"/>
      <c r="G115" s="231" t="s">
        <v>1961</v>
      </c>
      <c r="H115" s="231" t="s">
        <v>4398</v>
      </c>
      <c r="I115" s="186">
        <v>150</v>
      </c>
      <c r="K115" s="262" t="s">
        <v>4393</v>
      </c>
      <c r="L115" s="263">
        <v>38224</v>
      </c>
      <c r="M115" s="263">
        <v>41876</v>
      </c>
      <c r="N115" s="242">
        <v>2012</v>
      </c>
      <c r="Q115" s="336"/>
      <c r="R115" s="245"/>
      <c r="AB115" s="231"/>
      <c r="AC115" s="231"/>
      <c r="AD115" s="231"/>
    </row>
    <row r="116" spans="1:30" x14ac:dyDescent="0.25">
      <c r="A116" s="190">
        <v>114</v>
      </c>
      <c r="B116" s="186" t="s">
        <v>4403</v>
      </c>
      <c r="C116" s="186"/>
      <c r="D116" s="210" t="s">
        <v>935</v>
      </c>
      <c r="E116" s="210" t="s">
        <v>4406</v>
      </c>
      <c r="F116" s="210"/>
      <c r="G116" s="231" t="s">
        <v>1961</v>
      </c>
      <c r="H116" s="231" t="s">
        <v>4398</v>
      </c>
      <c r="I116" s="186">
        <v>1380</v>
      </c>
      <c r="K116" s="262" t="s">
        <v>4393</v>
      </c>
      <c r="L116" s="263">
        <v>38224</v>
      </c>
      <c r="M116" s="263">
        <v>41876</v>
      </c>
      <c r="N116" s="242">
        <v>2012</v>
      </c>
      <c r="Q116" s="336"/>
      <c r="R116" s="245"/>
      <c r="AB116" s="231"/>
      <c r="AC116" s="231"/>
      <c r="AD116" s="231"/>
    </row>
    <row r="117" spans="1:30" x14ac:dyDescent="0.25">
      <c r="A117" s="190">
        <v>115</v>
      </c>
      <c r="B117" s="186" t="s">
        <v>4407</v>
      </c>
      <c r="C117" s="220"/>
      <c r="D117" s="341" t="s">
        <v>935</v>
      </c>
      <c r="E117" s="341"/>
      <c r="F117" s="341"/>
      <c r="G117" s="231" t="s">
        <v>1961</v>
      </c>
      <c r="H117" s="231" t="s">
        <v>4398</v>
      </c>
      <c r="I117" s="186"/>
      <c r="K117" s="331" t="s">
        <v>4393</v>
      </c>
      <c r="L117" s="332">
        <v>38224</v>
      </c>
      <c r="M117" s="332">
        <v>41876</v>
      </c>
      <c r="N117" s="333">
        <v>2012</v>
      </c>
      <c r="Q117" s="336"/>
      <c r="R117" s="245"/>
      <c r="AB117" s="231"/>
      <c r="AC117" s="231"/>
      <c r="AD117" s="231"/>
    </row>
    <row r="118" spans="1:30" x14ac:dyDescent="0.25">
      <c r="A118" s="190">
        <v>116</v>
      </c>
      <c r="B118" s="186" t="s">
        <v>4408</v>
      </c>
      <c r="C118" s="186">
        <v>2</v>
      </c>
      <c r="D118" s="210" t="s">
        <v>4409</v>
      </c>
      <c r="E118" s="210" t="s">
        <v>4269</v>
      </c>
      <c r="F118" s="334"/>
      <c r="G118" s="231" t="s">
        <v>1961</v>
      </c>
      <c r="H118" s="231" t="s">
        <v>4323</v>
      </c>
      <c r="I118" s="186"/>
      <c r="K118" s="262" t="s">
        <v>4410</v>
      </c>
      <c r="L118" s="335">
        <v>38959</v>
      </c>
      <c r="M118" s="335">
        <v>42612</v>
      </c>
      <c r="N118" s="242">
        <v>2011</v>
      </c>
      <c r="Q118" s="336"/>
      <c r="R118" s="245"/>
      <c r="AB118" s="231"/>
      <c r="AC118" s="231"/>
      <c r="AD118" s="231"/>
    </row>
    <row r="119" spans="1:30" x14ac:dyDescent="0.25">
      <c r="A119" s="190">
        <v>117</v>
      </c>
      <c r="B119" s="186" t="s">
        <v>4411</v>
      </c>
      <c r="C119" s="306"/>
      <c r="D119" s="337" t="s">
        <v>4409</v>
      </c>
      <c r="E119" s="337" t="s">
        <v>4412</v>
      </c>
      <c r="F119" s="337"/>
      <c r="G119" s="231" t="s">
        <v>1961</v>
      </c>
      <c r="H119" s="231" t="s">
        <v>4323</v>
      </c>
      <c r="I119" s="186">
        <v>50</v>
      </c>
      <c r="K119" s="338" t="s">
        <v>4413</v>
      </c>
      <c r="L119" s="339">
        <v>38959</v>
      </c>
      <c r="M119" s="339">
        <v>42612</v>
      </c>
      <c r="N119" s="307">
        <v>2011</v>
      </c>
      <c r="Q119" s="336"/>
      <c r="R119" s="245"/>
      <c r="AB119" s="231"/>
      <c r="AC119" s="231"/>
      <c r="AD119" s="231"/>
    </row>
    <row r="120" spans="1:30" x14ac:dyDescent="0.25">
      <c r="A120" s="190">
        <v>118</v>
      </c>
      <c r="B120" s="186" t="s">
        <v>4414</v>
      </c>
      <c r="C120" s="186"/>
      <c r="D120" s="210" t="s">
        <v>4409</v>
      </c>
      <c r="E120" s="210" t="s">
        <v>844</v>
      </c>
      <c r="F120" s="210"/>
      <c r="G120" s="231" t="s">
        <v>1961</v>
      </c>
      <c r="H120" s="231" t="s">
        <v>4323</v>
      </c>
      <c r="I120" s="186">
        <v>900</v>
      </c>
      <c r="K120" s="262" t="s">
        <v>4413</v>
      </c>
      <c r="L120" s="263">
        <v>38959</v>
      </c>
      <c r="M120" s="263">
        <v>42612</v>
      </c>
      <c r="N120" s="242">
        <v>2011</v>
      </c>
      <c r="Q120" s="336"/>
      <c r="R120" s="245"/>
      <c r="AB120" s="231"/>
      <c r="AC120" s="231"/>
      <c r="AD120" s="231"/>
    </row>
    <row r="121" spans="1:30" x14ac:dyDescent="0.25">
      <c r="A121" s="190">
        <v>119</v>
      </c>
      <c r="B121" s="186" t="s">
        <v>4415</v>
      </c>
      <c r="C121" s="186"/>
      <c r="D121" s="210" t="s">
        <v>4409</v>
      </c>
      <c r="E121" s="210" t="s">
        <v>4416</v>
      </c>
      <c r="F121" s="210"/>
      <c r="G121" s="231" t="s">
        <v>1961</v>
      </c>
      <c r="H121" s="231" t="s">
        <v>4323</v>
      </c>
      <c r="I121" s="186">
        <v>72</v>
      </c>
      <c r="K121" s="262" t="s">
        <v>4413</v>
      </c>
      <c r="L121" s="263">
        <v>38959</v>
      </c>
      <c r="M121" s="263">
        <v>42612</v>
      </c>
      <c r="N121" s="242">
        <v>2011</v>
      </c>
      <c r="Q121" s="336"/>
      <c r="R121" s="245"/>
      <c r="AB121" s="231"/>
      <c r="AC121" s="231"/>
      <c r="AD121" s="231"/>
    </row>
    <row r="122" spans="1:30" x14ac:dyDescent="0.25">
      <c r="A122" s="309">
        <v>120</v>
      </c>
      <c r="B122" s="186" t="s">
        <v>4417</v>
      </c>
      <c r="C122" s="220"/>
      <c r="D122" s="341" t="s">
        <v>4409</v>
      </c>
      <c r="E122" s="341" t="s">
        <v>821</v>
      </c>
      <c r="F122" s="341"/>
      <c r="G122" s="231" t="s">
        <v>1961</v>
      </c>
      <c r="H122" s="231" t="s">
        <v>4323</v>
      </c>
      <c r="I122" s="186">
        <v>250</v>
      </c>
      <c r="K122" s="331" t="s">
        <v>4413</v>
      </c>
      <c r="L122" s="332">
        <v>38959</v>
      </c>
      <c r="M122" s="332">
        <v>42612</v>
      </c>
      <c r="N122" s="333">
        <v>2011</v>
      </c>
      <c r="Q122" s="336"/>
      <c r="R122" s="245"/>
      <c r="AB122" s="231"/>
      <c r="AC122" s="231"/>
      <c r="AD122" s="231"/>
    </row>
    <row r="123" spans="1:30" x14ac:dyDescent="0.25">
      <c r="A123" s="190">
        <v>121</v>
      </c>
      <c r="B123" s="186" t="s">
        <v>4418</v>
      </c>
      <c r="C123" s="186">
        <v>2</v>
      </c>
      <c r="D123" s="210" t="s">
        <v>4419</v>
      </c>
      <c r="E123" s="210" t="s">
        <v>894</v>
      </c>
      <c r="F123" s="334"/>
      <c r="G123" s="231" t="s">
        <v>1961</v>
      </c>
      <c r="H123" s="231" t="s">
        <v>4323</v>
      </c>
      <c r="I123" s="186">
        <v>500</v>
      </c>
      <c r="K123" s="262" t="s">
        <v>4420</v>
      </c>
      <c r="L123" s="335">
        <v>38981</v>
      </c>
      <c r="M123" s="335">
        <v>42634</v>
      </c>
      <c r="N123" s="242">
        <v>2011</v>
      </c>
      <c r="Q123" s="336" t="s">
        <v>4336</v>
      </c>
      <c r="R123" s="245"/>
      <c r="AB123" s="231"/>
      <c r="AC123" s="231"/>
      <c r="AD123" s="231"/>
    </row>
    <row r="124" spans="1:30" x14ac:dyDescent="0.25">
      <c r="A124" s="190">
        <v>122</v>
      </c>
      <c r="B124" s="186" t="s">
        <v>4421</v>
      </c>
      <c r="C124" s="306"/>
      <c r="D124" s="337"/>
      <c r="E124" s="337"/>
      <c r="F124" s="337"/>
      <c r="G124" s="231" t="s">
        <v>1961</v>
      </c>
      <c r="H124" s="231" t="s">
        <v>4422</v>
      </c>
      <c r="I124" s="186"/>
      <c r="K124" s="338" t="s">
        <v>4423</v>
      </c>
      <c r="L124" s="340"/>
      <c r="M124" s="340"/>
      <c r="N124" s="307"/>
      <c r="Q124" s="336"/>
      <c r="R124" s="245"/>
      <c r="AB124" s="231"/>
      <c r="AC124" s="231"/>
      <c r="AD124" s="231"/>
    </row>
    <row r="125" spans="1:30" x14ac:dyDescent="0.25">
      <c r="A125" s="190">
        <v>123</v>
      </c>
      <c r="B125" s="186" t="s">
        <v>4424</v>
      </c>
      <c r="C125" s="186"/>
      <c r="D125" s="210" t="s">
        <v>806</v>
      </c>
      <c r="E125" s="210" t="s">
        <v>805</v>
      </c>
      <c r="F125" s="210"/>
      <c r="G125" s="231" t="s">
        <v>1961</v>
      </c>
      <c r="H125" s="231" t="s">
        <v>4422</v>
      </c>
      <c r="I125" s="186"/>
      <c r="K125" s="262" t="s">
        <v>4393</v>
      </c>
      <c r="L125" s="231"/>
      <c r="M125" s="231"/>
      <c r="N125" s="242"/>
      <c r="Q125" s="336"/>
      <c r="R125" s="245"/>
      <c r="AB125" s="231"/>
      <c r="AC125" s="231"/>
      <c r="AD125" s="231"/>
    </row>
    <row r="126" spans="1:30" x14ac:dyDescent="0.25">
      <c r="A126" s="190">
        <v>124</v>
      </c>
      <c r="B126" s="186" t="s">
        <v>4425</v>
      </c>
      <c r="C126" s="186"/>
      <c r="D126" s="210" t="s">
        <v>984</v>
      </c>
      <c r="E126" s="210" t="s">
        <v>983</v>
      </c>
      <c r="F126" s="210"/>
      <c r="G126" s="231" t="s">
        <v>1961</v>
      </c>
      <c r="H126" s="231" t="s">
        <v>4316</v>
      </c>
      <c r="I126" s="186"/>
      <c r="L126" s="231"/>
      <c r="M126" s="231"/>
      <c r="N126" s="242">
        <v>2011</v>
      </c>
      <c r="Q126" s="336"/>
      <c r="R126" s="245"/>
      <c r="AB126" s="231"/>
      <c r="AC126" s="231"/>
      <c r="AD126" s="231"/>
    </row>
    <row r="127" spans="1:30" x14ac:dyDescent="0.25">
      <c r="A127" s="190">
        <v>125</v>
      </c>
      <c r="B127" s="186" t="s">
        <v>4426</v>
      </c>
      <c r="C127" s="220"/>
      <c r="D127" s="341" t="s">
        <v>4427</v>
      </c>
      <c r="E127" s="341"/>
      <c r="F127" s="341"/>
      <c r="G127" s="231" t="s">
        <v>1961</v>
      </c>
      <c r="H127" s="231" t="s">
        <v>4323</v>
      </c>
      <c r="I127" s="186"/>
      <c r="K127" s="331"/>
      <c r="L127" s="342"/>
      <c r="M127" s="342"/>
      <c r="N127" s="333"/>
      <c r="Q127" s="336"/>
      <c r="R127" s="245"/>
      <c r="AB127" s="231"/>
      <c r="AC127" s="231"/>
      <c r="AD127" s="231"/>
    </row>
    <row r="128" spans="1:30" x14ac:dyDescent="0.25">
      <c r="A128" s="190">
        <v>126</v>
      </c>
      <c r="B128" s="186" t="s">
        <v>4428</v>
      </c>
      <c r="C128" s="186">
        <v>2</v>
      </c>
      <c r="D128" s="210" t="s">
        <v>773</v>
      </c>
      <c r="E128" s="209"/>
      <c r="G128" s="231" t="s">
        <v>1961</v>
      </c>
      <c r="H128" s="231" t="s">
        <v>4323</v>
      </c>
      <c r="I128" s="186"/>
      <c r="K128" s="210" t="s">
        <v>4429</v>
      </c>
      <c r="L128" s="210" t="s">
        <v>4430</v>
      </c>
      <c r="M128" s="210" t="s">
        <v>3958</v>
      </c>
      <c r="N128" s="242">
        <v>2012</v>
      </c>
      <c r="Q128" s="336" t="s">
        <v>4336</v>
      </c>
      <c r="R128" s="245"/>
      <c r="AB128" s="231"/>
      <c r="AC128" s="231"/>
      <c r="AD128" s="231"/>
    </row>
    <row r="129" spans="1:30" x14ac:dyDescent="0.25">
      <c r="A129" s="309">
        <v>127</v>
      </c>
      <c r="B129" s="186" t="s">
        <v>4431</v>
      </c>
      <c r="C129" s="306" t="s">
        <v>4432</v>
      </c>
      <c r="D129" s="337" t="s">
        <v>773</v>
      </c>
      <c r="E129" s="344" t="s">
        <v>4433</v>
      </c>
      <c r="F129" s="344"/>
      <c r="G129" s="231" t="s">
        <v>1961</v>
      </c>
      <c r="H129" s="231" t="s">
        <v>4323</v>
      </c>
      <c r="I129" s="186"/>
      <c r="K129" s="337" t="s">
        <v>4434</v>
      </c>
      <c r="L129" s="337" t="s">
        <v>4430</v>
      </c>
      <c r="M129" s="337" t="s">
        <v>3958</v>
      </c>
      <c r="N129" s="307">
        <v>2012</v>
      </c>
      <c r="Q129" s="336"/>
      <c r="R129" s="245"/>
      <c r="AB129" s="231"/>
      <c r="AC129" s="231"/>
      <c r="AD129" s="231"/>
    </row>
    <row r="130" spans="1:30" x14ac:dyDescent="0.25">
      <c r="A130" s="190">
        <v>128</v>
      </c>
      <c r="B130" s="186" t="s">
        <v>4435</v>
      </c>
      <c r="C130" s="186" t="s">
        <v>4432</v>
      </c>
      <c r="D130" s="210" t="s">
        <v>773</v>
      </c>
      <c r="E130" s="209" t="s">
        <v>782</v>
      </c>
      <c r="F130" s="209"/>
      <c r="G130" s="231" t="s">
        <v>1961</v>
      </c>
      <c r="H130" s="231" t="s">
        <v>4323</v>
      </c>
      <c r="I130" s="186"/>
      <c r="K130" s="210" t="s">
        <v>4434</v>
      </c>
      <c r="L130" s="210" t="s">
        <v>4430</v>
      </c>
      <c r="M130" s="210" t="s">
        <v>3958</v>
      </c>
      <c r="N130" s="242">
        <v>2012</v>
      </c>
      <c r="Q130" s="336"/>
      <c r="R130" s="245"/>
      <c r="AB130" s="231"/>
      <c r="AC130" s="231"/>
      <c r="AD130" s="231"/>
    </row>
    <row r="131" spans="1:30" x14ac:dyDescent="0.25">
      <c r="A131" s="190">
        <v>129</v>
      </c>
      <c r="B131" s="186" t="s">
        <v>4436</v>
      </c>
      <c r="C131" s="186"/>
      <c r="D131" s="210" t="s">
        <v>966</v>
      </c>
      <c r="E131" s="210" t="s">
        <v>965</v>
      </c>
      <c r="F131" s="210"/>
      <c r="G131" s="231" t="s">
        <v>1961</v>
      </c>
      <c r="H131" s="231" t="s">
        <v>4398</v>
      </c>
      <c r="I131" s="186">
        <v>100</v>
      </c>
      <c r="K131" s="262" t="s">
        <v>4437</v>
      </c>
      <c r="L131" s="231"/>
      <c r="M131" s="231"/>
      <c r="N131" s="242"/>
      <c r="Q131" s="336" t="s">
        <v>4336</v>
      </c>
      <c r="R131" s="245"/>
      <c r="AB131" s="231"/>
      <c r="AC131" s="231"/>
      <c r="AD131" s="231"/>
    </row>
    <row r="132" spans="1:30" x14ac:dyDescent="0.25">
      <c r="A132" s="190">
        <v>130</v>
      </c>
      <c r="B132" s="186" t="s">
        <v>4287</v>
      </c>
      <c r="C132" s="220"/>
      <c r="D132" s="342"/>
      <c r="E132" s="341"/>
      <c r="F132" s="172" t="s">
        <v>4438</v>
      </c>
      <c r="G132" s="231" t="s">
        <v>1961</v>
      </c>
      <c r="H132" s="231" t="s">
        <v>4439</v>
      </c>
      <c r="I132" s="186">
        <v>100</v>
      </c>
      <c r="K132" s="331" t="s">
        <v>4288</v>
      </c>
      <c r="L132" s="310">
        <v>37578</v>
      </c>
      <c r="M132" s="310">
        <v>41231</v>
      </c>
      <c r="N132" s="333">
        <v>2012</v>
      </c>
      <c r="Q132" s="336" t="s">
        <v>4336</v>
      </c>
      <c r="R132" s="245"/>
      <c r="AB132" s="231"/>
      <c r="AC132" s="231"/>
      <c r="AD132" s="231"/>
    </row>
    <row r="133" spans="1:30" x14ac:dyDescent="0.25">
      <c r="A133" s="190">
        <v>131</v>
      </c>
      <c r="B133" s="186" t="s">
        <v>4440</v>
      </c>
      <c r="C133" s="186">
        <v>2</v>
      </c>
      <c r="D133" s="210" t="s">
        <v>918</v>
      </c>
      <c r="E133" s="210"/>
      <c r="F133" s="231" t="s">
        <v>4441</v>
      </c>
      <c r="G133" s="231" t="s">
        <v>1961</v>
      </c>
      <c r="H133" s="231" t="s">
        <v>4442</v>
      </c>
      <c r="I133" s="186">
        <v>100</v>
      </c>
      <c r="K133" s="262" t="s">
        <v>4443</v>
      </c>
      <c r="L133" s="335">
        <v>37781</v>
      </c>
      <c r="M133" s="335">
        <v>41434</v>
      </c>
      <c r="N133" s="242"/>
      <c r="Q133" s="336" t="s">
        <v>4336</v>
      </c>
      <c r="R133" s="245"/>
      <c r="AB133" s="231"/>
      <c r="AC133" s="231"/>
      <c r="AD133" s="231"/>
    </row>
    <row r="134" spans="1:30" x14ac:dyDescent="0.25">
      <c r="A134" s="190">
        <v>132</v>
      </c>
      <c r="B134" s="186" t="s">
        <v>4444</v>
      </c>
      <c r="C134" s="306"/>
      <c r="D134" s="337" t="s">
        <v>824</v>
      </c>
      <c r="E134" s="337"/>
      <c r="F134" s="337"/>
      <c r="G134" s="231" t="s">
        <v>1961</v>
      </c>
      <c r="H134" s="231" t="s">
        <v>4445</v>
      </c>
      <c r="I134" s="186"/>
      <c r="K134" s="338"/>
      <c r="L134" s="340"/>
      <c r="M134" s="340"/>
      <c r="N134" s="307"/>
      <c r="Q134" s="336"/>
      <c r="R134" s="245"/>
      <c r="AB134" s="231"/>
      <c r="AC134" s="231"/>
      <c r="AD134" s="231"/>
    </row>
    <row r="135" spans="1:30" x14ac:dyDescent="0.25">
      <c r="A135" s="190">
        <v>133</v>
      </c>
      <c r="B135" s="186" t="s">
        <v>4446</v>
      </c>
      <c r="C135" s="186"/>
      <c r="D135" s="210" t="s">
        <v>978</v>
      </c>
      <c r="E135" s="210"/>
      <c r="F135" s="210"/>
      <c r="G135" s="231" t="s">
        <v>1961</v>
      </c>
      <c r="H135" s="231" t="s">
        <v>4256</v>
      </c>
      <c r="I135" s="186"/>
      <c r="L135" s="231"/>
      <c r="M135" s="231"/>
      <c r="N135" s="242"/>
      <c r="Q135" s="336"/>
      <c r="R135" s="245"/>
      <c r="AB135" s="231"/>
      <c r="AC135" s="231"/>
      <c r="AD135" s="231"/>
    </row>
    <row r="136" spans="1:30" x14ac:dyDescent="0.25">
      <c r="A136" s="309">
        <v>134</v>
      </c>
      <c r="B136" s="186" t="s">
        <v>4447</v>
      </c>
      <c r="C136" s="186"/>
      <c r="D136" s="210" t="s">
        <v>809</v>
      </c>
      <c r="E136" s="210" t="s">
        <v>808</v>
      </c>
      <c r="F136" s="210"/>
      <c r="G136" s="231" t="s">
        <v>1961</v>
      </c>
      <c r="H136" s="231" t="s">
        <v>4256</v>
      </c>
      <c r="I136" s="186"/>
      <c r="L136" s="231"/>
      <c r="M136" s="231"/>
      <c r="N136" s="242"/>
      <c r="Q136" s="336"/>
      <c r="R136" s="245"/>
      <c r="AB136" s="231"/>
      <c r="AC136" s="231"/>
      <c r="AD136" s="231"/>
    </row>
    <row r="137" spans="1:30" x14ac:dyDescent="0.25">
      <c r="A137" s="190">
        <v>135</v>
      </c>
      <c r="B137" s="186" t="s">
        <v>4448</v>
      </c>
      <c r="C137" s="186"/>
      <c r="D137" s="210" t="s">
        <v>803</v>
      </c>
      <c r="E137" s="210" t="s">
        <v>802</v>
      </c>
      <c r="F137" s="210"/>
      <c r="G137" s="231" t="s">
        <v>1961</v>
      </c>
      <c r="H137" s="231" t="s">
        <v>4256</v>
      </c>
      <c r="I137" s="186"/>
      <c r="L137" s="231"/>
      <c r="M137" s="231"/>
      <c r="N137" s="242"/>
      <c r="Q137" s="336"/>
      <c r="R137" s="245"/>
      <c r="AB137" s="231"/>
      <c r="AC137" s="231"/>
      <c r="AD137" s="231"/>
    </row>
    <row r="138" spans="1:30" x14ac:dyDescent="0.25">
      <c r="A138" s="190">
        <v>136</v>
      </c>
      <c r="B138" s="186" t="s">
        <v>4449</v>
      </c>
      <c r="C138" s="186"/>
      <c r="D138" s="210" t="s">
        <v>974</v>
      </c>
      <c r="E138" s="210" t="s">
        <v>4336</v>
      </c>
      <c r="F138" s="210"/>
      <c r="G138" s="231" t="s">
        <v>1961</v>
      </c>
      <c r="H138" s="231" t="s">
        <v>4450</v>
      </c>
      <c r="I138" s="186"/>
      <c r="L138" s="231"/>
      <c r="M138" s="231"/>
      <c r="N138" s="242"/>
      <c r="Q138" s="336"/>
      <c r="R138" s="245"/>
      <c r="AB138" s="231"/>
      <c r="AC138" s="231"/>
      <c r="AD138" s="231"/>
    </row>
    <row r="139" spans="1:30" x14ac:dyDescent="0.25">
      <c r="A139" s="190">
        <v>137</v>
      </c>
      <c r="B139" s="186" t="s">
        <v>4451</v>
      </c>
      <c r="C139" s="186"/>
      <c r="D139" s="210" t="s">
        <v>980</v>
      </c>
      <c r="E139" s="210"/>
      <c r="F139" s="210"/>
      <c r="G139" s="231" t="s">
        <v>1961</v>
      </c>
      <c r="H139" s="231" t="s">
        <v>4256</v>
      </c>
      <c r="I139" s="186"/>
      <c r="L139" s="231"/>
      <c r="M139" s="231"/>
      <c r="N139" s="242"/>
      <c r="Q139" s="336"/>
      <c r="R139" s="245"/>
      <c r="AB139" s="231"/>
      <c r="AC139" s="231"/>
      <c r="AD139" s="231"/>
    </row>
    <row r="140" spans="1:30" x14ac:dyDescent="0.25">
      <c r="A140" s="190">
        <v>138</v>
      </c>
      <c r="B140" s="186" t="s">
        <v>4452</v>
      </c>
      <c r="C140" s="186"/>
      <c r="D140" s="210" t="s">
        <v>841</v>
      </c>
      <c r="E140" s="210" t="s">
        <v>4336</v>
      </c>
      <c r="F140" s="210"/>
      <c r="G140" s="231" t="s">
        <v>1961</v>
      </c>
      <c r="H140" s="231" t="s">
        <v>4450</v>
      </c>
      <c r="I140" s="186"/>
      <c r="L140" s="231"/>
      <c r="M140" s="231"/>
      <c r="N140" s="242"/>
      <c r="Q140" s="336"/>
      <c r="R140" s="245"/>
      <c r="AB140" s="231"/>
      <c r="AC140" s="231"/>
      <c r="AD140" s="231"/>
    </row>
    <row r="141" spans="1:30" x14ac:dyDescent="0.25">
      <c r="A141" s="190">
        <v>139</v>
      </c>
      <c r="B141" s="186" t="s">
        <v>4453</v>
      </c>
      <c r="C141" s="186"/>
      <c r="D141" s="210" t="s">
        <v>976</v>
      </c>
      <c r="E141" s="210" t="s">
        <v>4336</v>
      </c>
      <c r="F141" s="210"/>
      <c r="G141" s="231" t="s">
        <v>1961</v>
      </c>
      <c r="H141" s="231" t="s">
        <v>4450</v>
      </c>
      <c r="I141" s="186"/>
      <c r="L141" s="231"/>
      <c r="M141" s="231"/>
      <c r="N141" s="242"/>
      <c r="Q141" s="336"/>
      <c r="R141" s="245"/>
      <c r="AB141" s="231"/>
      <c r="AC141" s="231"/>
      <c r="AD141" s="231"/>
    </row>
    <row r="142" spans="1:30" x14ac:dyDescent="0.25">
      <c r="A142" s="190">
        <v>170</v>
      </c>
      <c r="B142" s="185" t="s">
        <v>3770</v>
      </c>
      <c r="C142" s="186"/>
      <c r="D142" s="187" t="s">
        <v>465</v>
      </c>
      <c r="E142" s="188" t="s">
        <v>463</v>
      </c>
      <c r="F142" s="209"/>
      <c r="G142" s="224" t="s">
        <v>442</v>
      </c>
      <c r="H142" s="225" t="s">
        <v>3932</v>
      </c>
      <c r="I142" s="186"/>
      <c r="K142" s="240" t="s">
        <v>3955</v>
      </c>
      <c r="L142" s="241">
        <v>2000</v>
      </c>
      <c r="M142" s="241">
        <v>2006</v>
      </c>
      <c r="N142" s="242">
        <v>2006</v>
      </c>
      <c r="O142" s="243">
        <v>2008</v>
      </c>
      <c r="P142" s="243" t="s">
        <v>3956</v>
      </c>
      <c r="Q142" s="244"/>
      <c r="R142" s="245"/>
      <c r="AB142" s="231"/>
      <c r="AC142" s="231"/>
      <c r="AD142" s="231"/>
    </row>
    <row r="143" spans="1:30" x14ac:dyDescent="0.25">
      <c r="A143" s="309">
        <v>169</v>
      </c>
      <c r="B143" s="189" t="s">
        <v>3771</v>
      </c>
      <c r="C143" s="190"/>
      <c r="D143" s="191"/>
      <c r="E143" s="191" t="s">
        <v>3772</v>
      </c>
      <c r="F143" s="345"/>
      <c r="G143" s="226" t="s">
        <v>442</v>
      </c>
      <c r="H143" s="227" t="s">
        <v>667</v>
      </c>
      <c r="K143" s="246"/>
      <c r="L143" s="226"/>
      <c r="M143" s="226"/>
      <c r="N143" s="247"/>
      <c r="O143" s="247"/>
      <c r="P143" s="247"/>
      <c r="Q143" s="244"/>
      <c r="R143" s="245"/>
      <c r="T143" s="245"/>
      <c r="U143" s="231" t="s">
        <v>4454</v>
      </c>
      <c r="AA143" s="231" t="s">
        <v>4179</v>
      </c>
      <c r="AB143" s="231"/>
      <c r="AC143" s="231"/>
      <c r="AD143" s="231"/>
    </row>
    <row r="144" spans="1:30" ht="30" x14ac:dyDescent="0.25">
      <c r="A144" s="309"/>
      <c r="B144" s="192" t="s">
        <v>3773</v>
      </c>
      <c r="C144" s="190"/>
      <c r="D144" s="188" t="s">
        <v>3774</v>
      </c>
      <c r="E144" s="188" t="s">
        <v>3775</v>
      </c>
      <c r="F144" s="346"/>
      <c r="G144" s="225" t="s">
        <v>442</v>
      </c>
      <c r="H144" s="227" t="s">
        <v>667</v>
      </c>
      <c r="K144" s="248" t="s">
        <v>3957</v>
      </c>
      <c r="L144" s="249">
        <v>42501</v>
      </c>
      <c r="M144" s="225" t="s">
        <v>3958</v>
      </c>
      <c r="N144" s="250" t="s">
        <v>3959</v>
      </c>
      <c r="O144" s="250"/>
      <c r="P144" s="250" t="s">
        <v>3960</v>
      </c>
      <c r="Q144" s="244"/>
      <c r="R144" s="245"/>
      <c r="T144" s="245"/>
      <c r="AB144" s="231"/>
      <c r="AC144" s="231"/>
      <c r="AD144" s="231"/>
    </row>
    <row r="145" spans="1:30" x14ac:dyDescent="0.25">
      <c r="A145" s="190">
        <v>184</v>
      </c>
      <c r="B145" s="185" t="s">
        <v>3776</v>
      </c>
      <c r="C145" s="186"/>
      <c r="D145" s="187" t="s">
        <v>666</v>
      </c>
      <c r="E145" s="188" t="s">
        <v>665</v>
      </c>
      <c r="F145" s="346"/>
      <c r="G145" s="224" t="s">
        <v>442</v>
      </c>
      <c r="H145" s="225" t="s">
        <v>667</v>
      </c>
      <c r="I145" s="186"/>
      <c r="K145" s="240" t="s">
        <v>3961</v>
      </c>
      <c r="L145" s="251">
        <v>37585</v>
      </c>
      <c r="M145" s="241">
        <v>2012</v>
      </c>
      <c r="N145" s="242">
        <v>2010</v>
      </c>
      <c r="O145" s="243">
        <v>2011</v>
      </c>
      <c r="P145" s="243" t="s">
        <v>3962</v>
      </c>
      <c r="Q145" s="244"/>
      <c r="R145" s="245"/>
      <c r="AB145" s="231"/>
      <c r="AC145" s="231"/>
      <c r="AD145" s="231"/>
    </row>
    <row r="146" spans="1:30" x14ac:dyDescent="0.25">
      <c r="A146" s="347">
        <v>176</v>
      </c>
      <c r="B146" s="193" t="s">
        <v>3777</v>
      </c>
      <c r="C146" s="194" t="s">
        <v>3778</v>
      </c>
      <c r="D146" s="187" t="s">
        <v>601</v>
      </c>
      <c r="E146" s="195" t="s">
        <v>600</v>
      </c>
      <c r="F146" s="346"/>
      <c r="G146" s="205" t="s">
        <v>442</v>
      </c>
      <c r="H146" s="227" t="s">
        <v>667</v>
      </c>
      <c r="I146" s="186">
        <v>830</v>
      </c>
      <c r="K146" s="248" t="s">
        <v>3963</v>
      </c>
      <c r="L146" s="249">
        <v>40661</v>
      </c>
      <c r="M146" s="225" t="s">
        <v>3958</v>
      </c>
      <c r="N146" s="252">
        <v>2011</v>
      </c>
      <c r="O146" s="243">
        <v>2014</v>
      </c>
      <c r="P146" s="243" t="s">
        <v>3964</v>
      </c>
      <c r="AC146" s="229" t="s">
        <v>4088</v>
      </c>
    </row>
    <row r="147" spans="1:30" x14ac:dyDescent="0.25">
      <c r="A147" s="211">
        <v>177</v>
      </c>
      <c r="B147" s="193" t="s">
        <v>3777</v>
      </c>
      <c r="C147" s="194" t="s">
        <v>3778</v>
      </c>
      <c r="D147" s="187" t="s">
        <v>569</v>
      </c>
      <c r="E147" s="196" t="s">
        <v>568</v>
      </c>
      <c r="F147" s="346"/>
      <c r="G147" s="205" t="s">
        <v>442</v>
      </c>
      <c r="H147" s="227" t="s">
        <v>667</v>
      </c>
      <c r="I147" s="186">
        <v>830</v>
      </c>
      <c r="K147" s="248" t="s">
        <v>3963</v>
      </c>
      <c r="L147" s="249">
        <v>40661</v>
      </c>
      <c r="M147" s="225" t="s">
        <v>3958</v>
      </c>
      <c r="N147" s="255">
        <v>2012</v>
      </c>
      <c r="O147" s="243"/>
      <c r="P147" s="243"/>
      <c r="AC147" s="229" t="s">
        <v>4089</v>
      </c>
    </row>
    <row r="148" spans="1:30" x14ac:dyDescent="0.25">
      <c r="A148" s="211">
        <v>178</v>
      </c>
      <c r="B148" s="193" t="s">
        <v>3777</v>
      </c>
      <c r="C148" s="194" t="s">
        <v>3778</v>
      </c>
      <c r="D148" s="187" t="s">
        <v>603</v>
      </c>
      <c r="E148" s="195" t="s">
        <v>602</v>
      </c>
      <c r="F148" s="209"/>
      <c r="G148" s="205" t="s">
        <v>442</v>
      </c>
      <c r="H148" s="227" t="s">
        <v>667</v>
      </c>
      <c r="I148" s="186">
        <v>830</v>
      </c>
      <c r="K148" s="248" t="s">
        <v>3963</v>
      </c>
      <c r="L148" s="249">
        <v>40661</v>
      </c>
      <c r="M148" s="225" t="s">
        <v>3958</v>
      </c>
      <c r="N148" s="255">
        <v>2008</v>
      </c>
      <c r="O148" s="243"/>
      <c r="P148" s="243"/>
    </row>
    <row r="149" spans="1:30" x14ac:dyDescent="0.25">
      <c r="B149" s="193" t="s">
        <v>3779</v>
      </c>
      <c r="C149" s="194">
        <v>21</v>
      </c>
      <c r="D149" s="187" t="s">
        <v>3780</v>
      </c>
      <c r="E149" s="195" t="s">
        <v>3762</v>
      </c>
      <c r="F149" s="209"/>
      <c r="G149" s="205" t="s">
        <v>442</v>
      </c>
      <c r="H149" s="227" t="s">
        <v>667</v>
      </c>
      <c r="I149" s="186"/>
      <c r="K149" s="248" t="s">
        <v>3965</v>
      </c>
      <c r="L149" s="249">
        <v>42632</v>
      </c>
      <c r="M149" s="225" t="s">
        <v>3958</v>
      </c>
      <c r="N149" s="255">
        <v>2020</v>
      </c>
      <c r="O149" s="256">
        <v>44870</v>
      </c>
      <c r="P149" s="247" t="s">
        <v>3966</v>
      </c>
      <c r="R149" s="257"/>
      <c r="AD149" s="289"/>
    </row>
    <row r="150" spans="1:30" x14ac:dyDescent="0.25">
      <c r="B150" s="193" t="s">
        <v>3779</v>
      </c>
      <c r="C150" s="194">
        <v>21</v>
      </c>
      <c r="D150" s="187" t="s">
        <v>3781</v>
      </c>
      <c r="E150" s="195" t="s">
        <v>3782</v>
      </c>
      <c r="F150" s="209"/>
      <c r="G150" s="205" t="s">
        <v>442</v>
      </c>
      <c r="H150" s="227" t="s">
        <v>667</v>
      </c>
      <c r="I150" s="186"/>
      <c r="K150" s="248" t="s">
        <v>3965</v>
      </c>
      <c r="L150" s="249">
        <v>42632</v>
      </c>
      <c r="M150" s="225" t="s">
        <v>3958</v>
      </c>
      <c r="N150" s="255">
        <v>2020</v>
      </c>
      <c r="O150" s="256">
        <v>44870</v>
      </c>
      <c r="P150" s="247" t="s">
        <v>3966</v>
      </c>
      <c r="R150" s="257"/>
      <c r="AD150" s="289"/>
    </row>
    <row r="151" spans="1:30" x14ac:dyDescent="0.25">
      <c r="A151" s="211">
        <v>181</v>
      </c>
      <c r="B151" s="193" t="s">
        <v>3783</v>
      </c>
      <c r="C151" s="194" t="s">
        <v>3778</v>
      </c>
      <c r="D151" s="187" t="s">
        <v>598</v>
      </c>
      <c r="E151" s="195" t="s">
        <v>597</v>
      </c>
      <c r="F151" s="209"/>
      <c r="G151" s="205" t="s">
        <v>442</v>
      </c>
      <c r="H151" s="227" t="s">
        <v>667</v>
      </c>
      <c r="I151" s="186">
        <v>830</v>
      </c>
      <c r="K151" s="248" t="s">
        <v>3967</v>
      </c>
      <c r="L151" s="249">
        <v>39778</v>
      </c>
      <c r="M151" s="225" t="s">
        <v>3958</v>
      </c>
      <c r="N151" s="255">
        <v>2012</v>
      </c>
      <c r="O151" s="243">
        <v>2007</v>
      </c>
      <c r="P151" s="243" t="s">
        <v>3968</v>
      </c>
      <c r="R151" s="257"/>
      <c r="AD151" s="289"/>
    </row>
    <row r="152" spans="1:30" x14ac:dyDescent="0.25">
      <c r="A152" s="211">
        <v>179</v>
      </c>
      <c r="B152" s="193" t="s">
        <v>3784</v>
      </c>
      <c r="C152" s="194" t="s">
        <v>3778</v>
      </c>
      <c r="D152" s="187" t="s">
        <v>566</v>
      </c>
      <c r="E152" s="195" t="s">
        <v>565</v>
      </c>
      <c r="F152" s="209"/>
      <c r="G152" s="205" t="s">
        <v>442</v>
      </c>
      <c r="H152" s="227" t="s">
        <v>667</v>
      </c>
      <c r="I152" s="186">
        <v>830</v>
      </c>
      <c r="K152" s="248" t="s">
        <v>3963</v>
      </c>
      <c r="L152" s="249">
        <v>40661</v>
      </c>
      <c r="M152" s="225" t="s">
        <v>3958</v>
      </c>
      <c r="N152" s="255">
        <v>2008</v>
      </c>
      <c r="O152" s="243" t="s">
        <v>3969</v>
      </c>
      <c r="P152" s="243" t="s">
        <v>3970</v>
      </c>
      <c r="AC152" s="229" t="s">
        <v>4090</v>
      </c>
    </row>
    <row r="153" spans="1:30" x14ac:dyDescent="0.25">
      <c r="A153" s="211">
        <v>171</v>
      </c>
      <c r="B153" s="193" t="s">
        <v>3785</v>
      </c>
      <c r="C153" s="194" t="s">
        <v>3778</v>
      </c>
      <c r="D153" s="187" t="s">
        <v>351</v>
      </c>
      <c r="E153" s="195" t="s">
        <v>441</v>
      </c>
      <c r="F153" s="209"/>
      <c r="G153" s="205" t="s">
        <v>442</v>
      </c>
      <c r="H153" s="227" t="s">
        <v>3933</v>
      </c>
      <c r="I153" s="186">
        <v>70</v>
      </c>
      <c r="K153" s="258" t="s">
        <v>3971</v>
      </c>
      <c r="L153" s="259">
        <v>40525</v>
      </c>
      <c r="M153" s="260" t="s">
        <v>3958</v>
      </c>
      <c r="N153" s="261">
        <v>1999</v>
      </c>
      <c r="O153" s="243"/>
      <c r="P153" s="243"/>
    </row>
    <row r="154" spans="1:30" x14ac:dyDescent="0.25">
      <c r="A154" s="211">
        <v>172</v>
      </c>
      <c r="B154" s="197" t="s">
        <v>3786</v>
      </c>
      <c r="C154" s="197" t="s">
        <v>3778</v>
      </c>
      <c r="D154" s="198" t="s">
        <v>728</v>
      </c>
      <c r="E154" s="199" t="s">
        <v>727</v>
      </c>
      <c r="F154" s="209"/>
      <c r="G154" s="228" t="s">
        <v>3934</v>
      </c>
      <c r="I154" s="186">
        <v>70</v>
      </c>
      <c r="K154" s="262" t="s">
        <v>3971</v>
      </c>
      <c r="L154" s="263">
        <v>40525</v>
      </c>
      <c r="M154" s="231" t="s">
        <v>3958</v>
      </c>
      <c r="N154" s="255">
        <v>2006</v>
      </c>
    </row>
    <row r="155" spans="1:30" x14ac:dyDescent="0.25">
      <c r="A155" s="211">
        <v>173</v>
      </c>
      <c r="B155" s="197" t="s">
        <v>3787</v>
      </c>
      <c r="C155" s="197" t="s">
        <v>3778</v>
      </c>
      <c r="D155" s="198" t="s">
        <v>731</v>
      </c>
      <c r="E155" s="199" t="s">
        <v>730</v>
      </c>
      <c r="F155" s="209"/>
      <c r="G155" s="228" t="s">
        <v>3808</v>
      </c>
      <c r="H155" s="229" t="s">
        <v>3935</v>
      </c>
      <c r="I155" s="186">
        <v>70</v>
      </c>
      <c r="K155" s="262" t="s">
        <v>3971</v>
      </c>
      <c r="L155" s="263">
        <v>40525</v>
      </c>
      <c r="M155" s="231" t="s">
        <v>3958</v>
      </c>
      <c r="N155" s="255">
        <v>2009</v>
      </c>
    </row>
    <row r="156" spans="1:30" x14ac:dyDescent="0.25">
      <c r="B156" s="193" t="s">
        <v>3787</v>
      </c>
      <c r="C156" s="194"/>
      <c r="D156" s="187" t="s">
        <v>525</v>
      </c>
      <c r="E156" s="195" t="s">
        <v>3788</v>
      </c>
      <c r="F156" s="209"/>
      <c r="G156" s="205" t="s">
        <v>442</v>
      </c>
      <c r="H156" s="227" t="s">
        <v>3936</v>
      </c>
      <c r="I156" s="186"/>
      <c r="K156" s="248" t="s">
        <v>3971</v>
      </c>
      <c r="L156" s="249" t="s">
        <v>3972</v>
      </c>
      <c r="M156" s="225" t="s">
        <v>3958</v>
      </c>
      <c r="N156" s="255">
        <v>2014</v>
      </c>
      <c r="O156" s="243">
        <v>2018</v>
      </c>
      <c r="P156" s="243" t="s">
        <v>3973</v>
      </c>
    </row>
    <row r="157" spans="1:30" x14ac:dyDescent="0.25">
      <c r="A157" s="211">
        <v>174</v>
      </c>
      <c r="B157" s="193" t="s">
        <v>3787</v>
      </c>
      <c r="C157" s="194" t="s">
        <v>3778</v>
      </c>
      <c r="D157" s="187" t="s">
        <v>3789</v>
      </c>
      <c r="E157" s="195" t="s">
        <v>3790</v>
      </c>
      <c r="F157" s="209"/>
      <c r="G157" s="205" t="s">
        <v>442</v>
      </c>
      <c r="H157" s="227" t="s">
        <v>3936</v>
      </c>
      <c r="I157" s="186">
        <v>70</v>
      </c>
      <c r="K157" s="248" t="s">
        <v>3971</v>
      </c>
      <c r="L157" s="249">
        <v>40525</v>
      </c>
      <c r="M157" s="225" t="s">
        <v>3958</v>
      </c>
      <c r="N157" s="255">
        <v>2009</v>
      </c>
    </row>
    <row r="158" spans="1:30" x14ac:dyDescent="0.25">
      <c r="A158" s="211">
        <v>175</v>
      </c>
      <c r="B158" s="193" t="s">
        <v>3787</v>
      </c>
      <c r="C158" s="194" t="s">
        <v>3778</v>
      </c>
      <c r="D158" s="187" t="s">
        <v>3791</v>
      </c>
      <c r="E158" s="195" t="s">
        <v>3792</v>
      </c>
      <c r="F158" s="209"/>
      <c r="G158" s="205" t="s">
        <v>442</v>
      </c>
      <c r="H158" s="227" t="s">
        <v>3936</v>
      </c>
      <c r="I158" s="186">
        <v>70</v>
      </c>
      <c r="K158" s="248" t="s">
        <v>3971</v>
      </c>
      <c r="L158" s="249">
        <v>62447</v>
      </c>
      <c r="M158" s="225" t="s">
        <v>3958</v>
      </c>
      <c r="N158" s="255">
        <v>2008</v>
      </c>
      <c r="O158" s="243">
        <v>2010</v>
      </c>
      <c r="P158" s="243" t="s">
        <v>3974</v>
      </c>
    </row>
    <row r="159" spans="1:30" x14ac:dyDescent="0.25">
      <c r="B159" s="193" t="s">
        <v>3793</v>
      </c>
      <c r="C159" s="194"/>
      <c r="D159" s="187" t="s">
        <v>658</v>
      </c>
      <c r="E159" s="195" t="s">
        <v>661</v>
      </c>
      <c r="F159" s="209"/>
      <c r="G159" s="205" t="s">
        <v>442</v>
      </c>
      <c r="H159" s="227" t="s">
        <v>667</v>
      </c>
      <c r="I159" s="186"/>
      <c r="K159" s="246"/>
      <c r="L159" s="264"/>
      <c r="M159" s="226"/>
      <c r="N159" s="255"/>
      <c r="O159" s="247"/>
      <c r="P159" s="247"/>
    </row>
    <row r="160" spans="1:30" x14ac:dyDescent="0.25">
      <c r="A160" s="309">
        <v>253</v>
      </c>
      <c r="B160" s="192" t="s">
        <v>3794</v>
      </c>
      <c r="C160" s="186"/>
      <c r="D160" s="187" t="s">
        <v>457</v>
      </c>
      <c r="E160" s="188" t="s">
        <v>3795</v>
      </c>
      <c r="F160" s="209"/>
      <c r="G160" s="225" t="s">
        <v>442</v>
      </c>
      <c r="H160" s="225" t="s">
        <v>3937</v>
      </c>
      <c r="I160" s="186"/>
      <c r="L160" s="231"/>
      <c r="M160" s="231"/>
      <c r="N160" s="242">
        <v>2013</v>
      </c>
      <c r="O160" s="243"/>
      <c r="P160" s="243"/>
      <c r="Q160" s="244">
        <v>12</v>
      </c>
      <c r="R160" s="265" t="s">
        <v>3975</v>
      </c>
      <c r="AB160" s="231"/>
      <c r="AC160" s="231"/>
      <c r="AD160" s="231"/>
    </row>
    <row r="161" spans="1:30" x14ac:dyDescent="0.25">
      <c r="A161" s="190">
        <v>164</v>
      </c>
      <c r="B161" s="192" t="s">
        <v>3796</v>
      </c>
      <c r="C161" s="190"/>
      <c r="D161" s="188" t="s">
        <v>736</v>
      </c>
      <c r="E161" s="188" t="s">
        <v>3797</v>
      </c>
      <c r="F161" s="209"/>
      <c r="G161" s="225" t="s">
        <v>442</v>
      </c>
      <c r="H161" s="227" t="s">
        <v>667</v>
      </c>
      <c r="K161" s="240"/>
      <c r="L161" s="241"/>
      <c r="M161" s="241"/>
      <c r="N161" s="242">
        <v>2010</v>
      </c>
      <c r="O161" s="243">
        <v>2012</v>
      </c>
      <c r="P161" s="243" t="s">
        <v>3976</v>
      </c>
      <c r="Q161" s="244">
        <v>12</v>
      </c>
      <c r="R161" s="265" t="s">
        <v>3977</v>
      </c>
      <c r="S161" s="311" t="s">
        <v>4177</v>
      </c>
      <c r="T161" s="245">
        <v>41187</v>
      </c>
      <c r="U161" s="231" t="s">
        <v>4179</v>
      </c>
      <c r="Z161" s="231">
        <v>1</v>
      </c>
      <c r="AA161" s="231" t="s">
        <v>4179</v>
      </c>
      <c r="AB161" s="231"/>
      <c r="AC161" s="231" t="s">
        <v>4091</v>
      </c>
      <c r="AD161" s="226"/>
    </row>
    <row r="162" spans="1:30" x14ac:dyDescent="0.25">
      <c r="A162" s="190">
        <v>163</v>
      </c>
      <c r="B162" s="192" t="s">
        <v>3798</v>
      </c>
      <c r="C162" s="200"/>
      <c r="D162" s="188" t="s">
        <v>3799</v>
      </c>
      <c r="E162" s="188" t="s">
        <v>3800</v>
      </c>
      <c r="F162" s="209"/>
      <c r="G162" s="225" t="s">
        <v>442</v>
      </c>
      <c r="H162" s="227" t="s">
        <v>667</v>
      </c>
      <c r="L162" s="231"/>
      <c r="M162" s="231"/>
      <c r="N162" s="242"/>
      <c r="O162" s="243"/>
      <c r="P162" s="243"/>
      <c r="Q162" s="244">
        <v>12</v>
      </c>
      <c r="R162" s="266">
        <v>42248</v>
      </c>
      <c r="S162" s="311" t="s">
        <v>4177</v>
      </c>
      <c r="T162" s="245">
        <v>41187</v>
      </c>
      <c r="U162" s="231" t="s">
        <v>4179</v>
      </c>
      <c r="Z162" s="231">
        <v>1</v>
      </c>
      <c r="AA162" s="231" t="s">
        <v>4179</v>
      </c>
      <c r="AB162" s="231"/>
      <c r="AC162" s="231"/>
      <c r="AD162" s="231"/>
    </row>
    <row r="163" spans="1:30" x14ac:dyDescent="0.25">
      <c r="A163" s="190"/>
      <c r="B163" s="192" t="s">
        <v>3801</v>
      </c>
      <c r="C163" s="200"/>
      <c r="D163" s="188" t="s">
        <v>469</v>
      </c>
      <c r="E163" s="188" t="s">
        <v>3802</v>
      </c>
      <c r="F163" s="209"/>
      <c r="G163" s="225" t="s">
        <v>442</v>
      </c>
      <c r="H163" s="225" t="s">
        <v>667</v>
      </c>
      <c r="L163" s="231"/>
      <c r="M163" s="231"/>
      <c r="N163" s="242">
        <v>2015</v>
      </c>
      <c r="O163" s="243"/>
      <c r="P163" s="243"/>
      <c r="Q163" s="244">
        <v>12</v>
      </c>
      <c r="R163" s="265">
        <v>43755</v>
      </c>
      <c r="T163" s="245"/>
      <c r="AB163" s="231"/>
      <c r="AC163" s="231"/>
      <c r="AD163" s="227" t="s">
        <v>4092</v>
      </c>
    </row>
    <row r="164" spans="1:30" x14ac:dyDescent="0.25">
      <c r="A164" s="190"/>
      <c r="B164" s="192" t="s">
        <v>3801</v>
      </c>
      <c r="C164" s="200"/>
      <c r="D164" s="188" t="s">
        <v>471</v>
      </c>
      <c r="E164" s="188" t="s">
        <v>3803</v>
      </c>
      <c r="F164" s="209"/>
      <c r="G164" s="225" t="s">
        <v>442</v>
      </c>
      <c r="H164" s="225" t="s">
        <v>667</v>
      </c>
      <c r="L164" s="231"/>
      <c r="M164" s="231"/>
      <c r="N164" s="242">
        <v>2015</v>
      </c>
      <c r="O164" s="243"/>
      <c r="P164" s="243"/>
      <c r="Q164" s="244">
        <v>12</v>
      </c>
      <c r="R164" s="265">
        <v>43755</v>
      </c>
      <c r="T164" s="245"/>
      <c r="AB164" s="231"/>
      <c r="AC164" s="231"/>
      <c r="AD164" s="225" t="s">
        <v>4093</v>
      </c>
    </row>
    <row r="165" spans="1:30" x14ac:dyDescent="0.25">
      <c r="A165" s="190">
        <v>185</v>
      </c>
      <c r="B165" s="185" t="s">
        <v>3804</v>
      </c>
      <c r="C165" s="186"/>
      <c r="D165" s="187" t="s">
        <v>528</v>
      </c>
      <c r="E165" s="188" t="s">
        <v>3805</v>
      </c>
      <c r="F165" s="209"/>
      <c r="G165" s="224" t="s">
        <v>442</v>
      </c>
      <c r="H165" s="225" t="s">
        <v>3936</v>
      </c>
      <c r="I165" s="186"/>
      <c r="K165" s="248" t="s">
        <v>3978</v>
      </c>
      <c r="L165" s="249">
        <v>40101</v>
      </c>
      <c r="M165" s="225" t="s">
        <v>3958</v>
      </c>
      <c r="N165" s="247">
        <v>2014</v>
      </c>
      <c r="O165" s="243">
        <v>2014</v>
      </c>
      <c r="P165" s="243" t="s">
        <v>3979</v>
      </c>
      <c r="Q165" s="244"/>
      <c r="R165" s="245"/>
      <c r="AB165" s="231"/>
      <c r="AC165" s="231" t="s">
        <v>4094</v>
      </c>
      <c r="AD165" s="231"/>
    </row>
    <row r="166" spans="1:30" x14ac:dyDescent="0.25">
      <c r="A166" s="190">
        <v>186</v>
      </c>
      <c r="B166" s="201" t="s">
        <v>3804</v>
      </c>
      <c r="C166" s="201"/>
      <c r="D166" s="198">
        <v>8104897</v>
      </c>
      <c r="E166" s="202" t="s">
        <v>737</v>
      </c>
      <c r="F166" s="209"/>
      <c r="G166" s="230" t="s">
        <v>3934</v>
      </c>
      <c r="H166" s="231"/>
      <c r="I166" s="186"/>
      <c r="K166" s="262" t="s">
        <v>3978</v>
      </c>
      <c r="L166" s="263">
        <v>40101</v>
      </c>
      <c r="M166" s="231" t="s">
        <v>3958</v>
      </c>
      <c r="N166" s="247"/>
      <c r="O166" s="247"/>
      <c r="P166" s="247"/>
      <c r="Q166" s="244"/>
      <c r="R166" s="245"/>
      <c r="AB166" s="231"/>
      <c r="AC166" s="231"/>
      <c r="AD166" s="231"/>
    </row>
    <row r="167" spans="1:30" x14ac:dyDescent="0.25">
      <c r="A167" s="347">
        <v>141</v>
      </c>
      <c r="B167" s="203" t="s">
        <v>3806</v>
      </c>
      <c r="C167" s="203">
        <v>1</v>
      </c>
      <c r="D167" s="187" t="s">
        <v>372</v>
      </c>
      <c r="E167" s="195" t="s">
        <v>371</v>
      </c>
      <c r="F167" s="209"/>
      <c r="G167" s="227" t="s">
        <v>442</v>
      </c>
      <c r="H167" s="227" t="s">
        <v>3938</v>
      </c>
      <c r="K167" s="240" t="s">
        <v>3980</v>
      </c>
      <c r="L167" s="263">
        <v>38051</v>
      </c>
      <c r="M167" s="251">
        <v>41703</v>
      </c>
      <c r="N167" s="255">
        <v>2007</v>
      </c>
      <c r="O167" s="243">
        <v>2008</v>
      </c>
      <c r="P167" s="243" t="s">
        <v>3981</v>
      </c>
      <c r="Q167" s="253">
        <v>12</v>
      </c>
      <c r="R167" s="267">
        <v>43755</v>
      </c>
      <c r="S167" s="311" t="s">
        <v>4192</v>
      </c>
      <c r="T167" s="245">
        <v>41186</v>
      </c>
      <c r="U167" s="231" t="s">
        <v>4178</v>
      </c>
      <c r="Z167" s="231">
        <v>1</v>
      </c>
      <c r="AA167" s="231" t="s">
        <v>4179</v>
      </c>
      <c r="AC167" s="229" t="s">
        <v>4095</v>
      </c>
      <c r="AD167" s="227" t="s">
        <v>4096</v>
      </c>
    </row>
    <row r="168" spans="1:30" x14ac:dyDescent="0.25">
      <c r="A168" s="211">
        <v>142</v>
      </c>
      <c r="B168" s="193" t="s">
        <v>3807</v>
      </c>
      <c r="C168" s="193">
        <v>2</v>
      </c>
      <c r="D168" s="187" t="s">
        <v>610</v>
      </c>
      <c r="E168" s="204">
        <v>85457</v>
      </c>
      <c r="F168" s="262"/>
      <c r="G168" s="205" t="s">
        <v>442</v>
      </c>
      <c r="H168" s="227" t="s">
        <v>667</v>
      </c>
      <c r="I168" s="186"/>
      <c r="K168" s="248" t="s">
        <v>3982</v>
      </c>
      <c r="L168" s="249">
        <v>40142</v>
      </c>
      <c r="M168" s="225" t="s">
        <v>3958</v>
      </c>
      <c r="N168" s="255"/>
      <c r="O168" s="243">
        <v>2012</v>
      </c>
      <c r="P168" s="243" t="s">
        <v>3983</v>
      </c>
      <c r="Q168" s="253">
        <v>12</v>
      </c>
      <c r="R168" s="267">
        <v>43451</v>
      </c>
      <c r="AD168" s="229" t="s">
        <v>4097</v>
      </c>
    </row>
    <row r="169" spans="1:30" x14ac:dyDescent="0.25">
      <c r="A169" s="211">
        <v>143</v>
      </c>
      <c r="B169" s="193" t="s">
        <v>3807</v>
      </c>
      <c r="C169" s="193">
        <v>1</v>
      </c>
      <c r="D169" s="187" t="s">
        <v>3808</v>
      </c>
      <c r="E169" s="204"/>
      <c r="F169" s="262"/>
      <c r="G169" s="205"/>
      <c r="H169" s="227" t="s">
        <v>3936</v>
      </c>
      <c r="I169" s="186"/>
      <c r="K169" s="248" t="s">
        <v>3982</v>
      </c>
      <c r="L169" s="249">
        <v>40142</v>
      </c>
      <c r="M169" s="225" t="s">
        <v>3958</v>
      </c>
      <c r="N169" s="255"/>
      <c r="O169" s="243">
        <v>2012</v>
      </c>
      <c r="P169" s="243" t="s">
        <v>3983</v>
      </c>
      <c r="Q169" s="253">
        <v>12</v>
      </c>
      <c r="R169" s="267">
        <v>43451</v>
      </c>
      <c r="AD169" s="229" t="s">
        <v>4098</v>
      </c>
    </row>
    <row r="170" spans="1:30" x14ac:dyDescent="0.25">
      <c r="B170" s="193" t="s">
        <v>3809</v>
      </c>
      <c r="C170" s="193"/>
      <c r="D170" s="187" t="s">
        <v>3810</v>
      </c>
      <c r="E170" s="204">
        <v>49713375</v>
      </c>
      <c r="F170" s="262"/>
      <c r="G170" s="205" t="s">
        <v>3939</v>
      </c>
      <c r="H170" s="227" t="s">
        <v>3940</v>
      </c>
      <c r="I170" s="186"/>
      <c r="K170" s="248" t="s">
        <v>3984</v>
      </c>
      <c r="L170" s="249" t="s">
        <v>3985</v>
      </c>
      <c r="M170" s="225"/>
      <c r="N170" s="255"/>
      <c r="O170" s="243">
        <v>2007</v>
      </c>
      <c r="P170" s="243" t="s">
        <v>3986</v>
      </c>
      <c r="Q170" s="253">
        <v>12</v>
      </c>
      <c r="R170" s="267" t="s">
        <v>3987</v>
      </c>
      <c r="AC170" s="229" t="s">
        <v>4099</v>
      </c>
    </row>
    <row r="171" spans="1:30" x14ac:dyDescent="0.25">
      <c r="B171" s="193" t="s">
        <v>3811</v>
      </c>
      <c r="C171" s="193"/>
      <c r="D171" s="187" t="s">
        <v>475</v>
      </c>
      <c r="E171" s="204">
        <v>8652</v>
      </c>
      <c r="F171" s="262"/>
      <c r="G171" s="205" t="s">
        <v>442</v>
      </c>
      <c r="H171" s="227" t="s">
        <v>667</v>
      </c>
      <c r="I171" s="186"/>
      <c r="K171" s="248" t="s">
        <v>3988</v>
      </c>
      <c r="L171" s="249">
        <v>40400</v>
      </c>
      <c r="M171" s="225" t="s">
        <v>3958</v>
      </c>
      <c r="N171" s="255">
        <v>2013</v>
      </c>
      <c r="O171" s="243">
        <v>2016</v>
      </c>
      <c r="P171" s="243" t="s">
        <v>3989</v>
      </c>
      <c r="R171" s="268" t="s">
        <v>3990</v>
      </c>
    </row>
    <row r="172" spans="1:30" x14ac:dyDescent="0.25">
      <c r="A172" s="190">
        <v>188</v>
      </c>
      <c r="B172" s="185" t="s">
        <v>3812</v>
      </c>
      <c r="C172" s="186"/>
      <c r="D172" s="187" t="s">
        <v>3813</v>
      </c>
      <c r="E172" s="188" t="s">
        <v>3814</v>
      </c>
      <c r="F172" s="209"/>
      <c r="G172" s="224" t="s">
        <v>442</v>
      </c>
      <c r="H172" s="225" t="s">
        <v>3941</v>
      </c>
      <c r="I172" s="186"/>
      <c r="K172" s="248" t="s">
        <v>3991</v>
      </c>
      <c r="L172" s="249">
        <v>41247</v>
      </c>
      <c r="M172" s="225" t="s">
        <v>3958</v>
      </c>
      <c r="N172" s="269">
        <v>2014</v>
      </c>
      <c r="O172" s="243">
        <v>2015</v>
      </c>
      <c r="P172" s="243"/>
      <c r="Q172" s="244"/>
      <c r="R172" s="245"/>
      <c r="AB172" s="231"/>
      <c r="AC172" s="231" t="s">
        <v>4100</v>
      </c>
      <c r="AD172" s="231"/>
    </row>
    <row r="173" spans="1:30" x14ac:dyDescent="0.25">
      <c r="A173" s="190">
        <v>189</v>
      </c>
      <c r="B173" s="185" t="s">
        <v>3815</v>
      </c>
      <c r="C173" s="186"/>
      <c r="D173" s="187" t="s">
        <v>705</v>
      </c>
      <c r="E173" s="188" t="s">
        <v>3816</v>
      </c>
      <c r="F173" s="209"/>
      <c r="G173" s="224" t="s">
        <v>442</v>
      </c>
      <c r="H173" s="225" t="s">
        <v>3941</v>
      </c>
      <c r="I173" s="186"/>
      <c r="K173" s="248" t="s">
        <v>3991</v>
      </c>
      <c r="L173" s="225">
        <v>41247</v>
      </c>
      <c r="M173" s="225" t="s">
        <v>3958</v>
      </c>
      <c r="N173" s="269">
        <v>2014</v>
      </c>
      <c r="O173" s="243">
        <v>2015</v>
      </c>
      <c r="P173" s="243"/>
      <c r="Q173" s="244"/>
      <c r="R173" s="245"/>
      <c r="AB173" s="231"/>
      <c r="AC173" s="231" t="s">
        <v>4100</v>
      </c>
      <c r="AD173" s="231"/>
    </row>
    <row r="174" spans="1:30" x14ac:dyDescent="0.25">
      <c r="A174" s="309">
        <v>190</v>
      </c>
      <c r="B174" s="185" t="s">
        <v>3815</v>
      </c>
      <c r="C174" s="186"/>
      <c r="D174" s="187" t="s">
        <v>476</v>
      </c>
      <c r="E174" s="188" t="s">
        <v>3817</v>
      </c>
      <c r="F174" s="209"/>
      <c r="G174" s="224" t="s">
        <v>442</v>
      </c>
      <c r="H174" s="225" t="s">
        <v>667</v>
      </c>
      <c r="I174" s="186"/>
      <c r="K174" s="248" t="s">
        <v>3991</v>
      </c>
      <c r="L174" s="225">
        <v>41247</v>
      </c>
      <c r="M174" s="225" t="s">
        <v>3958</v>
      </c>
      <c r="N174" s="269">
        <v>2014</v>
      </c>
      <c r="O174" s="243">
        <v>2015</v>
      </c>
      <c r="P174" s="243"/>
      <c r="Q174" s="244"/>
      <c r="R174" s="245"/>
      <c r="AB174" s="231"/>
      <c r="AC174" s="231" t="s">
        <v>4100</v>
      </c>
      <c r="AD174" s="231"/>
    </row>
    <row r="175" spans="1:30" x14ac:dyDescent="0.25">
      <c r="B175" s="197" t="s">
        <v>3818</v>
      </c>
      <c r="C175" s="197"/>
      <c r="D175" s="198" t="s">
        <v>743</v>
      </c>
      <c r="E175" s="199" t="s">
        <v>742</v>
      </c>
      <c r="F175" s="209"/>
      <c r="G175" s="228" t="s">
        <v>3808</v>
      </c>
      <c r="I175" s="186"/>
      <c r="L175" s="263"/>
      <c r="M175" s="231"/>
      <c r="N175" s="255"/>
    </row>
    <row r="176" spans="1:30" x14ac:dyDescent="0.25">
      <c r="B176" s="193" t="s">
        <v>3818</v>
      </c>
      <c r="C176" s="194"/>
      <c r="D176" s="187" t="s">
        <v>537</v>
      </c>
      <c r="E176" s="195" t="s">
        <v>3819</v>
      </c>
      <c r="F176" s="209"/>
      <c r="G176" s="205" t="s">
        <v>442</v>
      </c>
      <c r="H176" s="227" t="s">
        <v>3936</v>
      </c>
      <c r="I176" s="186"/>
      <c r="K176" s="248" t="s">
        <v>3992</v>
      </c>
      <c r="L176" s="249" t="s">
        <v>3993</v>
      </c>
      <c r="M176" s="225" t="s">
        <v>3958</v>
      </c>
      <c r="N176" s="255"/>
      <c r="O176" s="243" t="s">
        <v>3994</v>
      </c>
      <c r="P176" s="243" t="s">
        <v>3995</v>
      </c>
    </row>
    <row r="177" spans="1:30" x14ac:dyDescent="0.25">
      <c r="A177" s="190">
        <v>192</v>
      </c>
      <c r="B177" s="201" t="s">
        <v>3818</v>
      </c>
      <c r="C177" s="201"/>
      <c r="D177" s="198" t="s">
        <v>740</v>
      </c>
      <c r="E177" s="202" t="s">
        <v>739</v>
      </c>
      <c r="F177" s="209"/>
      <c r="G177" s="230" t="s">
        <v>3942</v>
      </c>
      <c r="H177" s="231"/>
      <c r="I177" s="186"/>
      <c r="L177" s="231"/>
      <c r="M177" s="231"/>
      <c r="N177" s="242"/>
      <c r="Q177" s="244"/>
      <c r="R177" s="245"/>
      <c r="AB177" s="231"/>
      <c r="AC177" s="231"/>
      <c r="AD177" s="231"/>
    </row>
    <row r="178" spans="1:30" ht="30" x14ac:dyDescent="0.25">
      <c r="A178" s="190">
        <v>194</v>
      </c>
      <c r="B178" s="185" t="s">
        <v>3820</v>
      </c>
      <c r="C178" s="186"/>
      <c r="D178" s="187" t="s">
        <v>745</v>
      </c>
      <c r="E178" s="188" t="s">
        <v>744</v>
      </c>
      <c r="F178" s="209"/>
      <c r="G178" s="224" t="s">
        <v>442</v>
      </c>
      <c r="H178" s="225" t="s">
        <v>667</v>
      </c>
      <c r="I178" s="186"/>
      <c r="K178" s="248" t="s">
        <v>3996</v>
      </c>
      <c r="L178" s="249">
        <v>40319</v>
      </c>
      <c r="M178" s="225" t="s">
        <v>3958</v>
      </c>
      <c r="N178" s="250">
        <v>2012</v>
      </c>
      <c r="O178" s="243">
        <v>2014</v>
      </c>
      <c r="P178" s="243" t="s">
        <v>3997</v>
      </c>
      <c r="Q178" s="244"/>
      <c r="R178" s="245"/>
      <c r="AB178" s="231"/>
      <c r="AC178" s="231" t="s">
        <v>4101</v>
      </c>
      <c r="AD178" s="231"/>
    </row>
    <row r="179" spans="1:30" x14ac:dyDescent="0.25">
      <c r="A179" s="190"/>
      <c r="B179" s="185"/>
      <c r="C179" s="186"/>
      <c r="D179" s="187"/>
      <c r="E179" s="188"/>
      <c r="F179" s="209"/>
      <c r="G179" s="224"/>
      <c r="H179" s="225"/>
      <c r="I179" s="186"/>
      <c r="K179" s="248"/>
      <c r="L179" s="249"/>
      <c r="M179" s="225"/>
      <c r="N179" s="250"/>
      <c r="O179" s="243"/>
      <c r="P179" s="243"/>
      <c r="Q179" s="244"/>
      <c r="R179" s="245"/>
      <c r="AB179" s="231"/>
      <c r="AC179" s="231"/>
      <c r="AD179" s="231"/>
    </row>
    <row r="180" spans="1:30" x14ac:dyDescent="0.25">
      <c r="A180" s="190"/>
      <c r="B180" s="185" t="s">
        <v>3821</v>
      </c>
      <c r="C180" s="186"/>
      <c r="D180" s="187" t="s">
        <v>612</v>
      </c>
      <c r="E180" s="188" t="s">
        <v>611</v>
      </c>
      <c r="F180" s="209"/>
      <c r="G180" s="224" t="s">
        <v>442</v>
      </c>
      <c r="H180" s="225" t="s">
        <v>667</v>
      </c>
      <c r="I180" s="186"/>
      <c r="K180" s="248" t="s">
        <v>3998</v>
      </c>
      <c r="L180" s="249">
        <v>43152</v>
      </c>
      <c r="M180" s="225" t="s">
        <v>3958</v>
      </c>
      <c r="N180" s="250">
        <v>2019</v>
      </c>
      <c r="O180" s="250">
        <v>2020</v>
      </c>
      <c r="P180" s="250" t="s">
        <v>3999</v>
      </c>
      <c r="Q180" s="244"/>
      <c r="R180" s="245"/>
      <c r="AB180" s="231"/>
      <c r="AC180" s="231"/>
      <c r="AD180" s="231"/>
    </row>
    <row r="181" spans="1:30" ht="30" x14ac:dyDescent="0.25">
      <c r="A181" s="190">
        <v>193</v>
      </c>
      <c r="B181" s="205" t="s">
        <v>3822</v>
      </c>
      <c r="C181" s="205"/>
      <c r="D181" s="187" t="s">
        <v>3823</v>
      </c>
      <c r="E181" s="188" t="s">
        <v>614</v>
      </c>
      <c r="F181" s="209"/>
      <c r="G181" s="224" t="s">
        <v>442</v>
      </c>
      <c r="H181" s="225" t="s">
        <v>667</v>
      </c>
      <c r="I181" s="314"/>
      <c r="K181" s="248" t="s">
        <v>4000</v>
      </c>
      <c r="L181" s="249">
        <v>41550</v>
      </c>
      <c r="M181" s="249" t="s">
        <v>3958</v>
      </c>
      <c r="N181" s="250">
        <v>2016</v>
      </c>
      <c r="O181" s="243">
        <v>2017</v>
      </c>
      <c r="P181" s="243" t="s">
        <v>4001</v>
      </c>
      <c r="Q181" s="244"/>
      <c r="R181" s="245"/>
      <c r="AB181" s="231"/>
      <c r="AC181" s="231" t="s">
        <v>4102</v>
      </c>
      <c r="AD181" s="231"/>
    </row>
    <row r="182" spans="1:30" x14ac:dyDescent="0.25">
      <c r="A182" s="190"/>
      <c r="B182" s="206" t="s">
        <v>3821</v>
      </c>
      <c r="C182" s="206"/>
      <c r="D182" s="207" t="s">
        <v>3824</v>
      </c>
      <c r="E182" s="208" t="s">
        <v>744</v>
      </c>
      <c r="F182" s="209"/>
      <c r="G182" s="232" t="s">
        <v>3943</v>
      </c>
      <c r="H182" s="233"/>
      <c r="I182" s="314"/>
      <c r="K182" s="270"/>
      <c r="L182" s="271"/>
      <c r="M182" s="271"/>
      <c r="N182" s="272"/>
      <c r="O182" s="272"/>
      <c r="P182" s="272"/>
      <c r="Q182" s="244"/>
      <c r="R182" s="245"/>
      <c r="AB182" s="231"/>
      <c r="AC182" s="231"/>
      <c r="AD182" s="231"/>
    </row>
    <row r="183" spans="1:30" x14ac:dyDescent="0.25">
      <c r="A183" s="190">
        <v>196</v>
      </c>
      <c r="B183" s="185" t="s">
        <v>3825</v>
      </c>
      <c r="C183" s="185"/>
      <c r="D183" s="187" t="s">
        <v>671</v>
      </c>
      <c r="E183" s="188" t="s">
        <v>670</v>
      </c>
      <c r="F183" s="209"/>
      <c r="G183" s="224" t="s">
        <v>442</v>
      </c>
      <c r="H183" s="225" t="s">
        <v>667</v>
      </c>
      <c r="I183" s="186"/>
      <c r="K183" s="240" t="s">
        <v>4002</v>
      </c>
      <c r="L183" s="251">
        <v>38392</v>
      </c>
      <c r="M183" s="251">
        <v>42044</v>
      </c>
      <c r="N183" s="242"/>
      <c r="O183" s="243">
        <v>2014</v>
      </c>
      <c r="P183" s="243" t="s">
        <v>4003</v>
      </c>
      <c r="Q183" s="244"/>
      <c r="R183" s="245"/>
      <c r="AB183" s="231"/>
      <c r="AC183" s="231" t="s">
        <v>4103</v>
      </c>
      <c r="AD183" s="231"/>
    </row>
    <row r="184" spans="1:30" x14ac:dyDescent="0.25">
      <c r="A184" s="309">
        <v>197</v>
      </c>
      <c r="B184" s="185" t="s">
        <v>3826</v>
      </c>
      <c r="C184" s="186"/>
      <c r="D184" s="187">
        <v>4700007</v>
      </c>
      <c r="E184" s="209"/>
      <c r="F184" s="209"/>
      <c r="G184" s="224" t="s">
        <v>442</v>
      </c>
      <c r="H184" s="225" t="s">
        <v>667</v>
      </c>
      <c r="I184" s="186"/>
      <c r="L184" s="231"/>
      <c r="M184" s="231"/>
      <c r="N184" s="242">
        <v>2006</v>
      </c>
      <c r="Q184" s="244"/>
      <c r="R184" s="245"/>
      <c r="AB184" s="231"/>
      <c r="AC184" s="231"/>
      <c r="AD184" s="231"/>
    </row>
    <row r="185" spans="1:30" x14ac:dyDescent="0.25">
      <c r="A185" s="190">
        <v>198</v>
      </c>
      <c r="B185" s="185" t="s">
        <v>3827</v>
      </c>
      <c r="C185" s="186"/>
      <c r="D185" s="187">
        <v>4700006</v>
      </c>
      <c r="E185" s="209"/>
      <c r="F185" s="209"/>
      <c r="G185" s="224" t="s">
        <v>442</v>
      </c>
      <c r="H185" s="225" t="s">
        <v>667</v>
      </c>
      <c r="I185" s="186"/>
      <c r="L185" s="231"/>
      <c r="M185" s="231"/>
      <c r="N185" s="242"/>
      <c r="Q185" s="244"/>
      <c r="R185" s="245"/>
      <c r="AB185" s="231"/>
      <c r="AC185" s="231"/>
      <c r="AD185" s="231"/>
    </row>
    <row r="186" spans="1:30" x14ac:dyDescent="0.25">
      <c r="A186" s="190"/>
      <c r="B186" s="185" t="s">
        <v>3828</v>
      </c>
      <c r="C186" s="186"/>
      <c r="D186" s="187" t="s">
        <v>3829</v>
      </c>
      <c r="E186" s="188" t="s">
        <v>570</v>
      </c>
      <c r="F186" s="209"/>
      <c r="G186" s="224" t="s">
        <v>442</v>
      </c>
      <c r="H186" s="225" t="s">
        <v>667</v>
      </c>
      <c r="I186" s="186"/>
      <c r="K186" s="248" t="s">
        <v>4004</v>
      </c>
      <c r="L186" s="249">
        <v>41089</v>
      </c>
      <c r="M186" s="225" t="s">
        <v>3958</v>
      </c>
      <c r="N186" s="250">
        <v>2017</v>
      </c>
      <c r="O186" s="243">
        <v>2018</v>
      </c>
      <c r="P186" s="243" t="s">
        <v>4005</v>
      </c>
      <c r="Q186" s="244"/>
      <c r="R186" s="245"/>
      <c r="AB186" s="231"/>
      <c r="AC186" s="231" t="s">
        <v>4104</v>
      </c>
      <c r="AD186" s="231"/>
    </row>
    <row r="187" spans="1:30" x14ac:dyDescent="0.25">
      <c r="A187" s="190">
        <v>199</v>
      </c>
      <c r="B187" s="186" t="s">
        <v>3830</v>
      </c>
      <c r="C187" s="186"/>
      <c r="D187" s="187"/>
      <c r="E187" s="209"/>
      <c r="F187" s="209"/>
      <c r="G187" s="224" t="s">
        <v>442</v>
      </c>
      <c r="H187" s="225"/>
      <c r="I187" s="186"/>
      <c r="K187" s="248" t="s">
        <v>4006</v>
      </c>
      <c r="L187" s="225" t="s">
        <v>4007</v>
      </c>
      <c r="M187" s="225" t="s">
        <v>3958</v>
      </c>
      <c r="N187" s="242"/>
      <c r="O187" s="243"/>
      <c r="P187" s="243"/>
      <c r="Q187" s="244"/>
      <c r="R187" s="245"/>
      <c r="AB187" s="231"/>
      <c r="AC187" s="231"/>
      <c r="AD187" s="231"/>
    </row>
    <row r="188" spans="1:30" x14ac:dyDescent="0.25">
      <c r="A188" s="190">
        <v>200</v>
      </c>
      <c r="B188" s="186" t="s">
        <v>3831</v>
      </c>
      <c r="C188" s="186"/>
      <c r="D188" s="210" t="s">
        <v>749</v>
      </c>
      <c r="E188" s="209"/>
      <c r="F188" s="209"/>
      <c r="G188" s="234" t="s">
        <v>442</v>
      </c>
      <c r="H188" s="231"/>
      <c r="I188" s="186"/>
      <c r="L188" s="231"/>
      <c r="M188" s="231"/>
      <c r="N188" s="242"/>
      <c r="Q188" s="244"/>
      <c r="R188" s="245"/>
      <c r="AB188" s="231"/>
      <c r="AC188" s="231"/>
      <c r="AD188" s="231"/>
    </row>
    <row r="189" spans="1:30" x14ac:dyDescent="0.25">
      <c r="A189" s="190"/>
      <c r="B189" s="185" t="s">
        <v>3832</v>
      </c>
      <c r="C189" s="186"/>
      <c r="D189" s="187" t="s">
        <v>480</v>
      </c>
      <c r="E189" s="188" t="s">
        <v>3833</v>
      </c>
      <c r="F189" s="209"/>
      <c r="G189" s="224" t="s">
        <v>442</v>
      </c>
      <c r="H189" s="225" t="s">
        <v>667</v>
      </c>
      <c r="I189" s="186"/>
      <c r="K189" s="248" t="s">
        <v>4008</v>
      </c>
      <c r="L189" s="249">
        <v>40714</v>
      </c>
      <c r="M189" s="225" t="s">
        <v>3958</v>
      </c>
      <c r="N189" s="242">
        <v>2016</v>
      </c>
      <c r="O189" s="243">
        <v>2019</v>
      </c>
      <c r="P189" s="243" t="s">
        <v>4009</v>
      </c>
      <c r="Q189" s="244"/>
      <c r="R189" s="245"/>
      <c r="AB189" s="231"/>
      <c r="AC189" s="231"/>
      <c r="AD189" s="231"/>
    </row>
    <row r="190" spans="1:30" x14ac:dyDescent="0.25">
      <c r="A190" s="190">
        <v>201</v>
      </c>
      <c r="B190" s="201" t="s">
        <v>3834</v>
      </c>
      <c r="C190" s="201"/>
      <c r="D190" s="198" t="s">
        <v>751</v>
      </c>
      <c r="E190" s="202" t="s">
        <v>750</v>
      </c>
      <c r="F190" s="209"/>
      <c r="G190" s="230" t="s">
        <v>3942</v>
      </c>
      <c r="H190" s="235"/>
      <c r="I190" s="186"/>
      <c r="K190" s="262" t="s">
        <v>4010</v>
      </c>
      <c r="L190" s="263">
        <v>38843</v>
      </c>
      <c r="M190" s="263">
        <v>42496</v>
      </c>
      <c r="N190" s="242"/>
      <c r="Q190" s="244"/>
      <c r="R190" s="245"/>
      <c r="AB190" s="231"/>
      <c r="AC190" s="231"/>
      <c r="AD190" s="231"/>
    </row>
    <row r="191" spans="1:30" ht="30" x14ac:dyDescent="0.25">
      <c r="A191" s="190"/>
      <c r="B191" s="185" t="s">
        <v>3834</v>
      </c>
      <c r="C191" s="185"/>
      <c r="D191" s="187" t="s">
        <v>3835</v>
      </c>
      <c r="E191" s="188" t="s">
        <v>3836</v>
      </c>
      <c r="F191" s="209"/>
      <c r="G191" s="224" t="s">
        <v>442</v>
      </c>
      <c r="H191" s="235" t="s">
        <v>3941</v>
      </c>
      <c r="I191" s="186"/>
      <c r="K191" s="262" t="s">
        <v>3746</v>
      </c>
      <c r="L191" s="263">
        <v>44119</v>
      </c>
      <c r="M191" s="263" t="s">
        <v>3958</v>
      </c>
      <c r="N191" s="242"/>
      <c r="O191" s="242" t="s">
        <v>4011</v>
      </c>
      <c r="P191" s="243" t="s">
        <v>4012</v>
      </c>
      <c r="Q191" s="244"/>
      <c r="R191" s="245"/>
      <c r="AB191" s="231"/>
      <c r="AC191" s="231"/>
      <c r="AD191" s="231"/>
    </row>
    <row r="192" spans="1:30" x14ac:dyDescent="0.25">
      <c r="A192" s="190"/>
      <c r="B192" s="185" t="s">
        <v>3837</v>
      </c>
      <c r="C192" s="186"/>
      <c r="D192" s="187" t="s">
        <v>546</v>
      </c>
      <c r="E192" s="188" t="s">
        <v>3838</v>
      </c>
      <c r="F192" s="209"/>
      <c r="G192" s="224" t="s">
        <v>442</v>
      </c>
      <c r="H192" s="225" t="s">
        <v>3936</v>
      </c>
      <c r="I192" s="186"/>
      <c r="K192" s="248" t="s">
        <v>4013</v>
      </c>
      <c r="L192" s="249" t="s">
        <v>4014</v>
      </c>
      <c r="M192" s="249" t="s">
        <v>3958</v>
      </c>
      <c r="N192" s="242">
        <v>2012</v>
      </c>
      <c r="O192" s="243">
        <v>2015</v>
      </c>
      <c r="P192" s="243" t="s">
        <v>4015</v>
      </c>
      <c r="Q192" s="244"/>
      <c r="R192" s="245"/>
      <c r="AB192" s="231"/>
      <c r="AC192" s="231" t="s">
        <v>4105</v>
      </c>
      <c r="AD192" s="231"/>
    </row>
    <row r="193" spans="1:30" x14ac:dyDescent="0.25">
      <c r="A193" s="190"/>
      <c r="B193" s="185" t="s">
        <v>3839</v>
      </c>
      <c r="C193" s="186"/>
      <c r="D193" s="187" t="s">
        <v>518</v>
      </c>
      <c r="E193" s="188" t="s">
        <v>517</v>
      </c>
      <c r="F193" s="209"/>
      <c r="G193" s="224" t="s">
        <v>442</v>
      </c>
      <c r="H193" s="225" t="s">
        <v>3936</v>
      </c>
      <c r="I193" s="186"/>
      <c r="K193" s="248" t="s">
        <v>4013</v>
      </c>
      <c r="L193" s="249" t="s">
        <v>4014</v>
      </c>
      <c r="M193" s="249" t="s">
        <v>3958</v>
      </c>
      <c r="N193" s="242">
        <v>2015</v>
      </c>
      <c r="O193" s="243">
        <v>2015</v>
      </c>
      <c r="P193" s="243" t="s">
        <v>4015</v>
      </c>
      <c r="Q193" s="244"/>
      <c r="R193" s="245"/>
      <c r="AB193" s="231"/>
      <c r="AC193" s="231" t="s">
        <v>4105</v>
      </c>
      <c r="AD193" s="231"/>
    </row>
    <row r="194" spans="1:30" x14ac:dyDescent="0.25">
      <c r="A194" s="211">
        <v>146</v>
      </c>
      <c r="B194" s="203" t="s">
        <v>3840</v>
      </c>
      <c r="C194" s="211">
        <v>1</v>
      </c>
      <c r="D194" s="187" t="s">
        <v>629</v>
      </c>
      <c r="E194" s="195" t="s">
        <v>628</v>
      </c>
      <c r="F194" s="209"/>
      <c r="G194" s="227" t="s">
        <v>442</v>
      </c>
      <c r="H194" s="227" t="s">
        <v>3936</v>
      </c>
      <c r="I194" s="190">
        <v>70</v>
      </c>
      <c r="K194" s="258" t="s">
        <v>3740</v>
      </c>
      <c r="L194" s="259">
        <v>40204</v>
      </c>
      <c r="M194" s="259" t="s">
        <v>3958</v>
      </c>
      <c r="N194" s="255">
        <v>2005</v>
      </c>
      <c r="O194" s="243"/>
      <c r="P194" s="243"/>
      <c r="Q194" s="253">
        <v>12</v>
      </c>
      <c r="R194" s="267">
        <v>43752</v>
      </c>
      <c r="S194" s="311" t="s">
        <v>4192</v>
      </c>
      <c r="T194" s="245">
        <v>41186</v>
      </c>
      <c r="U194" s="231" t="s">
        <v>4178</v>
      </c>
      <c r="Z194" s="231">
        <v>1</v>
      </c>
      <c r="AA194" s="231" t="s">
        <v>4179</v>
      </c>
      <c r="AC194" s="229" t="s">
        <v>4106</v>
      </c>
      <c r="AD194" s="227" t="s">
        <v>4107</v>
      </c>
    </row>
    <row r="195" spans="1:30" ht="15.75" x14ac:dyDescent="0.25">
      <c r="A195" s="211">
        <v>147</v>
      </c>
      <c r="B195" s="203" t="s">
        <v>3840</v>
      </c>
      <c r="C195" s="211">
        <v>1</v>
      </c>
      <c r="D195" s="187" t="s">
        <v>447</v>
      </c>
      <c r="E195" s="195" t="s">
        <v>446</v>
      </c>
      <c r="F195" s="209"/>
      <c r="G195" s="227" t="s">
        <v>442</v>
      </c>
      <c r="H195" s="227" t="s">
        <v>3944</v>
      </c>
      <c r="I195" s="190">
        <v>70</v>
      </c>
      <c r="K195" s="258" t="s">
        <v>3740</v>
      </c>
      <c r="L195" s="259">
        <v>40204</v>
      </c>
      <c r="M195" s="259" t="s">
        <v>3958</v>
      </c>
      <c r="N195" s="255">
        <v>2007</v>
      </c>
      <c r="O195" s="243" t="s">
        <v>4016</v>
      </c>
      <c r="P195" s="243" t="s">
        <v>4017</v>
      </c>
      <c r="Q195" s="253">
        <v>12</v>
      </c>
      <c r="R195" s="267">
        <v>43752</v>
      </c>
      <c r="S195" s="311" t="s">
        <v>4192</v>
      </c>
      <c r="T195" s="245">
        <v>41186</v>
      </c>
      <c r="U195" s="231" t="s">
        <v>4178</v>
      </c>
      <c r="Z195" s="231">
        <v>1</v>
      </c>
      <c r="AA195" s="231" t="s">
        <v>4179</v>
      </c>
      <c r="AC195" s="229" t="s">
        <v>4108</v>
      </c>
      <c r="AD195" s="290" t="s">
        <v>4109</v>
      </c>
    </row>
    <row r="196" spans="1:30" x14ac:dyDescent="0.25">
      <c r="A196" s="347">
        <v>148</v>
      </c>
      <c r="B196" s="212" t="s">
        <v>3840</v>
      </c>
      <c r="C196" s="212">
        <v>1</v>
      </c>
      <c r="D196" s="198" t="s">
        <v>753</v>
      </c>
      <c r="E196" s="199" t="s">
        <v>752</v>
      </c>
      <c r="F196" s="209"/>
      <c r="G196" s="236" t="s">
        <v>3934</v>
      </c>
      <c r="H196" s="227"/>
      <c r="I196" s="190">
        <v>70</v>
      </c>
      <c r="K196" s="246"/>
      <c r="L196" s="264"/>
      <c r="M196" s="264"/>
      <c r="N196" s="273"/>
      <c r="O196" s="243"/>
      <c r="P196" s="243"/>
      <c r="Q196" s="274"/>
      <c r="R196" s="275"/>
      <c r="S196" s="311" t="s">
        <v>4192</v>
      </c>
      <c r="T196" s="245">
        <v>41186</v>
      </c>
      <c r="U196" s="231" t="s">
        <v>4178</v>
      </c>
      <c r="Z196" s="231">
        <v>1</v>
      </c>
      <c r="AA196" s="231" t="s">
        <v>4179</v>
      </c>
      <c r="AB196" s="291"/>
      <c r="AC196" s="291"/>
      <c r="AD196" s="291"/>
    </row>
    <row r="197" spans="1:30" x14ac:dyDescent="0.25">
      <c r="A197" s="211">
        <v>149</v>
      </c>
      <c r="B197" s="203" t="s">
        <v>3840</v>
      </c>
      <c r="C197" s="211">
        <v>1</v>
      </c>
      <c r="D197" s="187" t="s">
        <v>673</v>
      </c>
      <c r="E197" s="195" t="s">
        <v>672</v>
      </c>
      <c r="F197" s="209"/>
      <c r="G197" s="227" t="s">
        <v>442</v>
      </c>
      <c r="H197" s="227" t="s">
        <v>667</v>
      </c>
      <c r="I197" s="190">
        <v>70</v>
      </c>
      <c r="K197" s="258" t="s">
        <v>3740</v>
      </c>
      <c r="L197" s="259">
        <v>40204</v>
      </c>
      <c r="M197" s="259" t="s">
        <v>3958</v>
      </c>
      <c r="N197" s="255">
        <v>2006</v>
      </c>
      <c r="O197" s="243" t="s">
        <v>4016</v>
      </c>
      <c r="P197" s="243" t="s">
        <v>4017</v>
      </c>
      <c r="Q197" s="253">
        <v>12</v>
      </c>
      <c r="R197" s="267">
        <v>43752</v>
      </c>
      <c r="S197" s="311" t="s">
        <v>4192</v>
      </c>
      <c r="T197" s="245">
        <v>41186</v>
      </c>
      <c r="U197" s="231" t="s">
        <v>4178</v>
      </c>
      <c r="Z197" s="231">
        <v>1</v>
      </c>
      <c r="AA197" s="231" t="s">
        <v>4179</v>
      </c>
      <c r="AC197" s="229" t="s">
        <v>4108</v>
      </c>
      <c r="AD197" s="227" t="s">
        <v>4110</v>
      </c>
    </row>
    <row r="198" spans="1:30" x14ac:dyDescent="0.25">
      <c r="A198" s="211">
        <v>150</v>
      </c>
      <c r="B198" s="203" t="s">
        <v>3840</v>
      </c>
      <c r="C198" s="211">
        <v>1</v>
      </c>
      <c r="D198" s="187" t="s">
        <v>627</v>
      </c>
      <c r="E198" s="195" t="s">
        <v>626</v>
      </c>
      <c r="F198" s="209"/>
      <c r="G198" s="227" t="s">
        <v>442</v>
      </c>
      <c r="H198" s="227" t="s">
        <v>667</v>
      </c>
      <c r="I198" s="190">
        <v>70</v>
      </c>
      <c r="K198" s="258" t="s">
        <v>3740</v>
      </c>
      <c r="L198" s="259">
        <v>40204</v>
      </c>
      <c r="M198" s="259" t="s">
        <v>3958</v>
      </c>
      <c r="N198" s="255">
        <v>2005</v>
      </c>
      <c r="O198" s="243"/>
      <c r="P198" s="243"/>
      <c r="Q198" s="253">
        <v>12</v>
      </c>
      <c r="R198" s="267">
        <v>43752</v>
      </c>
      <c r="S198" s="311" t="s">
        <v>4192</v>
      </c>
      <c r="T198" s="245">
        <v>41186</v>
      </c>
      <c r="U198" s="231" t="s">
        <v>4178</v>
      </c>
      <c r="Z198" s="231">
        <v>1</v>
      </c>
      <c r="AA198" s="231" t="s">
        <v>4179</v>
      </c>
      <c r="AC198" s="229" t="s">
        <v>4106</v>
      </c>
      <c r="AD198" s="227" t="s">
        <v>4111</v>
      </c>
    </row>
    <row r="199" spans="1:30" x14ac:dyDescent="0.25">
      <c r="A199" s="211">
        <v>151</v>
      </c>
      <c r="B199" s="203" t="s">
        <v>3840</v>
      </c>
      <c r="C199" s="211">
        <v>1</v>
      </c>
      <c r="D199" s="187" t="s">
        <v>551</v>
      </c>
      <c r="E199" s="195" t="s">
        <v>549</v>
      </c>
      <c r="F199" s="209"/>
      <c r="G199" s="227" t="s">
        <v>442</v>
      </c>
      <c r="H199" s="227" t="s">
        <v>667</v>
      </c>
      <c r="I199" s="190">
        <v>70</v>
      </c>
      <c r="K199" s="258" t="s">
        <v>3740</v>
      </c>
      <c r="L199" s="259">
        <v>40204</v>
      </c>
      <c r="M199" s="259" t="s">
        <v>3958</v>
      </c>
      <c r="N199" s="255">
        <v>2005</v>
      </c>
      <c r="O199" s="243"/>
      <c r="P199" s="243"/>
      <c r="Q199" s="253">
        <v>12</v>
      </c>
      <c r="R199" s="267">
        <v>43752</v>
      </c>
      <c r="S199" s="311" t="s">
        <v>4192</v>
      </c>
      <c r="T199" s="245">
        <v>41186</v>
      </c>
      <c r="U199" s="231" t="s">
        <v>4178</v>
      </c>
      <c r="Z199" s="231">
        <v>1</v>
      </c>
      <c r="AA199" s="231" t="s">
        <v>4179</v>
      </c>
      <c r="AC199" s="229" t="s">
        <v>4106</v>
      </c>
      <c r="AD199" s="227" t="s">
        <v>4112</v>
      </c>
    </row>
    <row r="200" spans="1:30" x14ac:dyDescent="0.25">
      <c r="A200" s="211">
        <v>152</v>
      </c>
      <c r="B200" s="203" t="s">
        <v>3840</v>
      </c>
      <c r="C200" s="211">
        <v>1</v>
      </c>
      <c r="D200" s="187" t="s">
        <v>580</v>
      </c>
      <c r="E200" s="195" t="s">
        <v>3841</v>
      </c>
      <c r="F200" s="209"/>
      <c r="G200" s="227" t="s">
        <v>442</v>
      </c>
      <c r="H200" s="227" t="s">
        <v>667</v>
      </c>
      <c r="I200" s="190">
        <v>70</v>
      </c>
      <c r="K200" s="258" t="s">
        <v>3740</v>
      </c>
      <c r="L200" s="259">
        <v>40204</v>
      </c>
      <c r="M200" s="259" t="s">
        <v>3958</v>
      </c>
      <c r="N200" s="255">
        <v>2006</v>
      </c>
      <c r="O200" s="243" t="s">
        <v>4016</v>
      </c>
      <c r="P200" s="243" t="s">
        <v>4017</v>
      </c>
      <c r="Q200" s="253">
        <v>12</v>
      </c>
      <c r="R200" s="267">
        <v>43752</v>
      </c>
      <c r="S200" s="311" t="s">
        <v>4192</v>
      </c>
      <c r="T200" s="245">
        <v>41186</v>
      </c>
      <c r="U200" s="231" t="s">
        <v>4178</v>
      </c>
      <c r="Z200" s="231">
        <v>1</v>
      </c>
      <c r="AA200" s="231" t="s">
        <v>4179</v>
      </c>
      <c r="AC200" s="229" t="s">
        <v>4108</v>
      </c>
      <c r="AD200" s="227" t="s">
        <v>4113</v>
      </c>
    </row>
    <row r="201" spans="1:30" x14ac:dyDescent="0.25">
      <c r="A201" s="211">
        <v>153</v>
      </c>
      <c r="B201" s="203" t="s">
        <v>3840</v>
      </c>
      <c r="C201" s="211">
        <v>1</v>
      </c>
      <c r="D201" s="187" t="s">
        <v>675</v>
      </c>
      <c r="E201" s="195" t="s">
        <v>674</v>
      </c>
      <c r="F201" s="209"/>
      <c r="G201" s="227" t="s">
        <v>442</v>
      </c>
      <c r="H201" s="227" t="s">
        <v>667</v>
      </c>
      <c r="I201" s="190">
        <v>70</v>
      </c>
      <c r="K201" s="258" t="s">
        <v>3740</v>
      </c>
      <c r="L201" s="259">
        <v>40204</v>
      </c>
      <c r="M201" s="259" t="s">
        <v>3958</v>
      </c>
      <c r="N201" s="255">
        <v>2008</v>
      </c>
      <c r="O201" s="243" t="s">
        <v>4018</v>
      </c>
      <c r="P201" s="243" t="s">
        <v>4019</v>
      </c>
      <c r="Q201" s="253">
        <v>12</v>
      </c>
      <c r="R201" s="267">
        <v>43752</v>
      </c>
      <c r="S201" s="311" t="s">
        <v>4192</v>
      </c>
      <c r="T201" s="245">
        <v>41186</v>
      </c>
      <c r="U201" s="231" t="s">
        <v>4178</v>
      </c>
      <c r="Z201" s="231">
        <v>1</v>
      </c>
      <c r="AA201" s="231" t="s">
        <v>4179</v>
      </c>
      <c r="AC201" s="229" t="s">
        <v>4105</v>
      </c>
      <c r="AD201" s="227" t="s">
        <v>4114</v>
      </c>
    </row>
    <row r="202" spans="1:30" x14ac:dyDescent="0.25">
      <c r="A202" s="211">
        <v>154</v>
      </c>
      <c r="B202" s="203" t="s">
        <v>3840</v>
      </c>
      <c r="C202" s="211">
        <v>1</v>
      </c>
      <c r="D202" s="187" t="s">
        <v>582</v>
      </c>
      <c r="E202" s="195" t="s">
        <v>581</v>
      </c>
      <c r="F202" s="209"/>
      <c r="G202" s="227" t="s">
        <v>442</v>
      </c>
      <c r="H202" s="227" t="s">
        <v>667</v>
      </c>
      <c r="I202" s="190">
        <v>70</v>
      </c>
      <c r="K202" s="258" t="s">
        <v>3740</v>
      </c>
      <c r="L202" s="259">
        <v>40204</v>
      </c>
      <c r="M202" s="259" t="s">
        <v>3958</v>
      </c>
      <c r="N202" s="255">
        <v>2008</v>
      </c>
      <c r="O202" s="243" t="s">
        <v>4018</v>
      </c>
      <c r="P202" s="243" t="s">
        <v>4019</v>
      </c>
      <c r="Q202" s="253">
        <v>12</v>
      </c>
      <c r="R202" s="267">
        <v>43752</v>
      </c>
      <c r="S202" s="311" t="s">
        <v>4192</v>
      </c>
      <c r="T202" s="245">
        <v>41186</v>
      </c>
      <c r="U202" s="231" t="s">
        <v>4178</v>
      </c>
      <c r="Z202" s="231">
        <v>1</v>
      </c>
      <c r="AA202" s="231" t="s">
        <v>4179</v>
      </c>
      <c r="AC202" s="229" t="s">
        <v>4105</v>
      </c>
      <c r="AD202" s="227" t="s">
        <v>4115</v>
      </c>
    </row>
    <row r="203" spans="1:30" x14ac:dyDescent="0.25">
      <c r="A203" s="347">
        <v>155</v>
      </c>
      <c r="B203" s="203" t="s">
        <v>3840</v>
      </c>
      <c r="C203" s="211">
        <v>1</v>
      </c>
      <c r="D203" s="187" t="s">
        <v>548</v>
      </c>
      <c r="E203" s="195" t="s">
        <v>547</v>
      </c>
      <c r="F203" s="209"/>
      <c r="G203" s="227" t="s">
        <v>442</v>
      </c>
      <c r="H203" s="227" t="s">
        <v>667</v>
      </c>
      <c r="I203" s="190">
        <v>70</v>
      </c>
      <c r="K203" s="258" t="s">
        <v>3740</v>
      </c>
      <c r="L203" s="259">
        <v>40204</v>
      </c>
      <c r="M203" s="259" t="s">
        <v>3958</v>
      </c>
      <c r="N203" s="255">
        <v>2008</v>
      </c>
      <c r="O203" s="243" t="s">
        <v>4018</v>
      </c>
      <c r="P203" s="243" t="s">
        <v>4019</v>
      </c>
      <c r="Q203" s="253">
        <v>12</v>
      </c>
      <c r="R203" s="267">
        <v>43752</v>
      </c>
      <c r="S203" s="311" t="s">
        <v>4192</v>
      </c>
      <c r="T203" s="245">
        <v>41186</v>
      </c>
      <c r="U203" s="231" t="s">
        <v>4178</v>
      </c>
      <c r="Z203" s="231">
        <v>1</v>
      </c>
      <c r="AA203" s="231" t="s">
        <v>4179</v>
      </c>
      <c r="AC203" s="229" t="s">
        <v>4105</v>
      </c>
      <c r="AD203" s="227" t="s">
        <v>4116</v>
      </c>
    </row>
    <row r="204" spans="1:30" x14ac:dyDescent="0.25">
      <c r="B204" s="203" t="s">
        <v>3842</v>
      </c>
      <c r="C204" s="211">
        <v>1</v>
      </c>
      <c r="D204" s="187" t="s">
        <v>633</v>
      </c>
      <c r="E204" s="195" t="s">
        <v>3843</v>
      </c>
      <c r="F204" s="209"/>
      <c r="G204" s="227" t="s">
        <v>442</v>
      </c>
      <c r="H204" s="227" t="s">
        <v>667</v>
      </c>
      <c r="K204" s="248" t="s">
        <v>3742</v>
      </c>
      <c r="L204" s="249">
        <v>41060</v>
      </c>
      <c r="M204" s="249" t="s">
        <v>3958</v>
      </c>
      <c r="N204" s="252">
        <v>2013</v>
      </c>
      <c r="O204" s="243">
        <v>2016</v>
      </c>
      <c r="P204" s="243" t="s">
        <v>4020</v>
      </c>
      <c r="Q204" s="276">
        <v>12</v>
      </c>
      <c r="R204" s="267">
        <v>43752</v>
      </c>
      <c r="T204" s="245"/>
      <c r="AB204" s="227"/>
      <c r="AC204" s="227" t="s">
        <v>4117</v>
      </c>
      <c r="AD204" s="227" t="s">
        <v>4118</v>
      </c>
    </row>
    <row r="205" spans="1:30" x14ac:dyDescent="0.25">
      <c r="B205" s="203" t="s">
        <v>3842</v>
      </c>
      <c r="C205" s="211">
        <v>1</v>
      </c>
      <c r="D205" s="187" t="s">
        <v>632</v>
      </c>
      <c r="E205" s="195" t="s">
        <v>631</v>
      </c>
      <c r="F205" s="209"/>
      <c r="G205" s="227" t="s">
        <v>442</v>
      </c>
      <c r="H205" s="227" t="s">
        <v>667</v>
      </c>
      <c r="K205" s="248" t="s">
        <v>3742</v>
      </c>
      <c r="L205" s="249">
        <v>41060</v>
      </c>
      <c r="M205" s="249" t="s">
        <v>3958</v>
      </c>
      <c r="N205" s="252">
        <v>2013</v>
      </c>
      <c r="O205" s="243">
        <v>2016</v>
      </c>
      <c r="P205" s="243" t="s">
        <v>4020</v>
      </c>
      <c r="Q205" s="276">
        <v>12</v>
      </c>
      <c r="R205" s="267">
        <v>43752</v>
      </c>
      <c r="T205" s="245"/>
      <c r="AB205" s="227"/>
      <c r="AC205" s="227" t="s">
        <v>4117</v>
      </c>
      <c r="AD205" s="227" t="s">
        <v>4119</v>
      </c>
    </row>
    <row r="206" spans="1:30" x14ac:dyDescent="0.25">
      <c r="B206" s="203" t="s">
        <v>3844</v>
      </c>
      <c r="C206" s="211">
        <v>21</v>
      </c>
      <c r="D206" s="187" t="s">
        <v>3845</v>
      </c>
      <c r="E206" s="195" t="s">
        <v>3846</v>
      </c>
      <c r="F206" s="209"/>
      <c r="G206" s="227" t="s">
        <v>442</v>
      </c>
      <c r="H206" s="227" t="s">
        <v>3945</v>
      </c>
      <c r="K206" s="248" t="s">
        <v>3744</v>
      </c>
      <c r="L206" s="249">
        <v>41240</v>
      </c>
      <c r="M206" s="249" t="s">
        <v>3958</v>
      </c>
      <c r="N206" s="252">
        <v>2020</v>
      </c>
      <c r="O206" s="243">
        <v>2021</v>
      </c>
      <c r="P206" s="243" t="s">
        <v>4021</v>
      </c>
      <c r="Q206" s="276">
        <v>12</v>
      </c>
      <c r="R206" s="267"/>
      <c r="T206" s="245"/>
      <c r="AB206" s="227"/>
      <c r="AC206" s="227"/>
      <c r="AD206" s="227"/>
    </row>
    <row r="207" spans="1:30" x14ac:dyDescent="0.25">
      <c r="B207" s="203" t="s">
        <v>3844</v>
      </c>
      <c r="C207" s="211">
        <v>21</v>
      </c>
      <c r="D207" s="187" t="s">
        <v>3847</v>
      </c>
      <c r="E207" s="195" t="s">
        <v>3848</v>
      </c>
      <c r="F207" s="209"/>
      <c r="G207" s="227" t="s">
        <v>442</v>
      </c>
      <c r="H207" s="227" t="s">
        <v>3946</v>
      </c>
      <c r="K207" s="248" t="s">
        <v>3744</v>
      </c>
      <c r="L207" s="249">
        <v>41240</v>
      </c>
      <c r="M207" s="249" t="s">
        <v>3958</v>
      </c>
      <c r="N207" s="252">
        <v>2020</v>
      </c>
      <c r="O207" s="243">
        <v>2021</v>
      </c>
      <c r="P207" s="243" t="s">
        <v>4021</v>
      </c>
      <c r="Q207" s="276">
        <v>12</v>
      </c>
      <c r="R207" s="267"/>
      <c r="T207" s="245"/>
      <c r="AB207" s="227"/>
      <c r="AC207" s="227"/>
      <c r="AD207" s="227"/>
    </row>
    <row r="208" spans="1:30" x14ac:dyDescent="0.25">
      <c r="B208" s="203" t="s">
        <v>3844</v>
      </c>
      <c r="C208" s="211">
        <v>21</v>
      </c>
      <c r="D208" s="187" t="s">
        <v>3849</v>
      </c>
      <c r="E208" s="195" t="s">
        <v>3850</v>
      </c>
      <c r="F208" s="209"/>
      <c r="G208" s="227" t="s">
        <v>442</v>
      </c>
      <c r="H208" s="227" t="s">
        <v>3945</v>
      </c>
      <c r="K208" s="248" t="s">
        <v>3744</v>
      </c>
      <c r="L208" s="249">
        <v>41240</v>
      </c>
      <c r="M208" s="249" t="s">
        <v>3958</v>
      </c>
      <c r="N208" s="252">
        <v>2020</v>
      </c>
      <c r="O208" s="243">
        <v>2021</v>
      </c>
      <c r="P208" s="243" t="s">
        <v>4021</v>
      </c>
      <c r="Q208" s="276">
        <v>12</v>
      </c>
      <c r="R208" s="267"/>
      <c r="T208" s="245"/>
      <c r="AB208" s="227"/>
      <c r="AC208" s="227"/>
      <c r="AD208" s="227"/>
    </row>
    <row r="209" spans="1:30" x14ac:dyDescent="0.25">
      <c r="B209" s="203" t="s">
        <v>3851</v>
      </c>
      <c r="C209" s="211">
        <v>21</v>
      </c>
      <c r="D209" s="187" t="s">
        <v>3852</v>
      </c>
      <c r="E209" s="195" t="s">
        <v>3853</v>
      </c>
      <c r="F209" s="209"/>
      <c r="G209" s="227" t="s">
        <v>442</v>
      </c>
      <c r="H209" s="227" t="s">
        <v>667</v>
      </c>
      <c r="K209" s="248" t="s">
        <v>4022</v>
      </c>
      <c r="L209" s="249">
        <v>42973</v>
      </c>
      <c r="M209" s="249" t="s">
        <v>3958</v>
      </c>
      <c r="N209" s="252">
        <v>2020</v>
      </c>
      <c r="O209" s="256">
        <v>45177</v>
      </c>
      <c r="P209" s="247" t="s">
        <v>4023</v>
      </c>
      <c r="Q209" s="276"/>
      <c r="R209" s="267"/>
      <c r="T209" s="245"/>
      <c r="AB209" s="227"/>
      <c r="AC209" s="227"/>
      <c r="AD209" s="227"/>
    </row>
    <row r="210" spans="1:30" x14ac:dyDescent="0.25">
      <c r="B210" s="203" t="s">
        <v>3851</v>
      </c>
      <c r="C210" s="211">
        <v>21</v>
      </c>
      <c r="D210" s="187" t="s">
        <v>3854</v>
      </c>
      <c r="E210" s="195" t="s">
        <v>3855</v>
      </c>
      <c r="F210" s="209"/>
      <c r="G210" s="227" t="s">
        <v>3939</v>
      </c>
      <c r="H210" s="227" t="s">
        <v>667</v>
      </c>
      <c r="K210" s="248" t="s">
        <v>4022</v>
      </c>
      <c r="L210" s="249">
        <v>42973</v>
      </c>
      <c r="M210" s="249" t="s">
        <v>3958</v>
      </c>
      <c r="N210" s="252">
        <v>2020</v>
      </c>
      <c r="O210" s="256">
        <v>45177</v>
      </c>
      <c r="P210" s="247" t="s">
        <v>4023</v>
      </c>
      <c r="Q210" s="276"/>
      <c r="R210" s="267"/>
      <c r="T210" s="245"/>
      <c r="AB210" s="227"/>
      <c r="AC210" s="227"/>
      <c r="AD210" s="227"/>
    </row>
    <row r="211" spans="1:30" x14ac:dyDescent="0.25">
      <c r="B211" s="203" t="s">
        <v>3851</v>
      </c>
      <c r="C211" s="211">
        <v>21</v>
      </c>
      <c r="D211" s="187" t="s">
        <v>3856</v>
      </c>
      <c r="E211" s="195" t="s">
        <v>3857</v>
      </c>
      <c r="F211" s="209"/>
      <c r="G211" s="227" t="s">
        <v>442</v>
      </c>
      <c r="H211" s="227" t="s">
        <v>667</v>
      </c>
      <c r="K211" s="248" t="s">
        <v>4022</v>
      </c>
      <c r="L211" s="249">
        <v>42973</v>
      </c>
      <c r="M211" s="249" t="s">
        <v>3958</v>
      </c>
      <c r="N211" s="252">
        <v>2020</v>
      </c>
      <c r="O211" s="256">
        <v>45177</v>
      </c>
      <c r="P211" s="247" t="s">
        <v>4023</v>
      </c>
      <c r="Q211" s="276"/>
      <c r="R211" s="267"/>
      <c r="T211" s="245"/>
      <c r="AB211" s="227"/>
      <c r="AC211" s="227"/>
      <c r="AD211" s="227"/>
    </row>
    <row r="212" spans="1:30" x14ac:dyDescent="0.25">
      <c r="A212" s="190">
        <v>213</v>
      </c>
      <c r="B212" s="185" t="s">
        <v>3858</v>
      </c>
      <c r="C212" s="186"/>
      <c r="D212" s="187" t="s">
        <v>677</v>
      </c>
      <c r="E212" s="188" t="s">
        <v>676</v>
      </c>
      <c r="F212" s="209"/>
      <c r="G212" s="224" t="s">
        <v>442</v>
      </c>
      <c r="H212" s="227" t="s">
        <v>667</v>
      </c>
      <c r="I212" s="186"/>
      <c r="K212" s="248" t="s">
        <v>4024</v>
      </c>
      <c r="L212" s="249">
        <v>40295</v>
      </c>
      <c r="M212" s="225" t="s">
        <v>3958</v>
      </c>
      <c r="N212" s="250">
        <v>2011</v>
      </c>
      <c r="O212" s="243">
        <v>2012</v>
      </c>
      <c r="P212" s="243" t="s">
        <v>4025</v>
      </c>
      <c r="Q212" s="244"/>
      <c r="R212" s="245" t="s">
        <v>4026</v>
      </c>
      <c r="AB212" s="231"/>
      <c r="AC212" s="231"/>
      <c r="AD212" s="231"/>
    </row>
    <row r="213" spans="1:30" x14ac:dyDescent="0.25">
      <c r="A213" s="190">
        <v>214</v>
      </c>
      <c r="B213" s="185" t="s">
        <v>3858</v>
      </c>
      <c r="C213" s="186"/>
      <c r="D213" s="187" t="s">
        <v>640</v>
      </c>
      <c r="E213" s="188" t="s">
        <v>3859</v>
      </c>
      <c r="F213" s="209"/>
      <c r="G213" s="224" t="s">
        <v>442</v>
      </c>
      <c r="H213" s="227" t="s">
        <v>667</v>
      </c>
      <c r="I213" s="186"/>
      <c r="K213" s="248" t="s">
        <v>4024</v>
      </c>
      <c r="L213" s="249">
        <v>40295</v>
      </c>
      <c r="M213" s="225" t="s">
        <v>3958</v>
      </c>
      <c r="N213" s="250">
        <v>2011</v>
      </c>
      <c r="O213" s="243">
        <v>2012</v>
      </c>
      <c r="P213" s="243" t="s">
        <v>4025</v>
      </c>
      <c r="Q213" s="244"/>
      <c r="R213" s="245" t="s">
        <v>4026</v>
      </c>
      <c r="AB213" s="231"/>
      <c r="AC213" s="231"/>
      <c r="AD213" s="231"/>
    </row>
    <row r="214" spans="1:30" x14ac:dyDescent="0.25">
      <c r="A214" s="190"/>
      <c r="B214" s="185" t="s">
        <v>3860</v>
      </c>
      <c r="C214" s="186"/>
      <c r="D214" s="187" t="s">
        <v>644</v>
      </c>
      <c r="E214" s="188" t="s">
        <v>643</v>
      </c>
      <c r="F214" s="209"/>
      <c r="G214" s="224" t="s">
        <v>442</v>
      </c>
      <c r="H214" s="225" t="s">
        <v>667</v>
      </c>
      <c r="I214" s="186"/>
      <c r="K214" s="248" t="s">
        <v>4027</v>
      </c>
      <c r="L214" s="249">
        <v>39651</v>
      </c>
      <c r="M214" s="225" t="s">
        <v>3958</v>
      </c>
      <c r="N214" s="250">
        <v>2005</v>
      </c>
      <c r="O214" s="243">
        <v>2011</v>
      </c>
      <c r="P214" s="243" t="s">
        <v>4028</v>
      </c>
      <c r="Q214" s="277">
        <v>12</v>
      </c>
      <c r="R214" s="265">
        <v>44544</v>
      </c>
      <c r="AB214" s="231" t="s">
        <v>4120</v>
      </c>
      <c r="AC214" s="225" t="s">
        <v>4091</v>
      </c>
      <c r="AD214" s="225" t="s">
        <v>4121</v>
      </c>
    </row>
    <row r="215" spans="1:30" x14ac:dyDescent="0.25">
      <c r="A215" s="190"/>
      <c r="B215" s="185" t="s">
        <v>3861</v>
      </c>
      <c r="C215" s="186"/>
      <c r="D215" s="187" t="s">
        <v>642</v>
      </c>
      <c r="E215" s="188" t="s">
        <v>641</v>
      </c>
      <c r="F215" s="209"/>
      <c r="G215" s="224" t="s">
        <v>442</v>
      </c>
      <c r="H215" s="225" t="s">
        <v>667</v>
      </c>
      <c r="I215" s="186"/>
      <c r="K215" s="240" t="s">
        <v>4029</v>
      </c>
      <c r="L215" s="251" t="s">
        <v>4030</v>
      </c>
      <c r="M215" s="241">
        <v>2016</v>
      </c>
      <c r="N215" s="250"/>
      <c r="O215" s="243">
        <v>2010</v>
      </c>
      <c r="P215" s="243" t="s">
        <v>4031</v>
      </c>
      <c r="Q215" s="277">
        <v>12</v>
      </c>
      <c r="R215" s="265">
        <v>44544</v>
      </c>
      <c r="AB215" s="231" t="s">
        <v>4120</v>
      </c>
      <c r="AC215" s="225"/>
      <c r="AD215" s="225" t="s">
        <v>4122</v>
      </c>
    </row>
    <row r="216" spans="1:30" x14ac:dyDescent="0.25">
      <c r="A216" s="309">
        <v>162</v>
      </c>
      <c r="B216" s="185" t="s">
        <v>3862</v>
      </c>
      <c r="C216" s="186"/>
      <c r="D216" s="188" t="s">
        <v>711</v>
      </c>
      <c r="E216" s="188" t="s">
        <v>3863</v>
      </c>
      <c r="F216" s="209"/>
      <c r="G216" s="225" t="s">
        <v>442</v>
      </c>
      <c r="H216" s="225" t="s">
        <v>667</v>
      </c>
      <c r="I216" s="186"/>
      <c r="K216" s="240" t="s">
        <v>4032</v>
      </c>
      <c r="L216" s="251">
        <v>39079</v>
      </c>
      <c r="M216" s="251">
        <v>42732</v>
      </c>
      <c r="N216" s="242">
        <v>2007</v>
      </c>
      <c r="O216" s="243">
        <v>2010</v>
      </c>
      <c r="P216" s="243" t="s">
        <v>4033</v>
      </c>
      <c r="Q216" s="244">
        <v>12</v>
      </c>
      <c r="R216" s="266">
        <v>43776</v>
      </c>
      <c r="S216" s="311" t="s">
        <v>4192</v>
      </c>
      <c r="T216" s="245">
        <v>41207</v>
      </c>
      <c r="U216" s="231" t="s">
        <v>4179</v>
      </c>
      <c r="Z216" s="231">
        <v>1</v>
      </c>
      <c r="AA216" s="231" t="s">
        <v>4179</v>
      </c>
      <c r="AB216" s="231" t="s">
        <v>4120</v>
      </c>
      <c r="AC216" s="225" t="s">
        <v>4123</v>
      </c>
      <c r="AD216" s="241" t="s">
        <v>4124</v>
      </c>
    </row>
    <row r="217" spans="1:30" ht="30" x14ac:dyDescent="0.25">
      <c r="A217" s="309">
        <v>218</v>
      </c>
      <c r="B217" s="185" t="s">
        <v>3862</v>
      </c>
      <c r="C217" s="186"/>
      <c r="D217" s="187" t="s">
        <v>488</v>
      </c>
      <c r="E217" s="188" t="s">
        <v>3864</v>
      </c>
      <c r="F217" s="209"/>
      <c r="G217" s="224" t="s">
        <v>442</v>
      </c>
      <c r="H217" s="225" t="s">
        <v>667</v>
      </c>
      <c r="I217" s="186"/>
      <c r="K217" s="240" t="s">
        <v>4032</v>
      </c>
      <c r="L217" s="251">
        <v>39079</v>
      </c>
      <c r="M217" s="251">
        <v>42732</v>
      </c>
      <c r="N217" s="242"/>
      <c r="O217" s="243">
        <v>2013</v>
      </c>
      <c r="P217" s="243" t="s">
        <v>4034</v>
      </c>
      <c r="Q217" s="244">
        <v>12</v>
      </c>
      <c r="R217" s="265">
        <v>44488</v>
      </c>
      <c r="AB217" s="231" t="s">
        <v>4120</v>
      </c>
      <c r="AC217" s="225" t="s">
        <v>4125</v>
      </c>
      <c r="AD217" s="265" t="s">
        <v>4126</v>
      </c>
    </row>
    <row r="218" spans="1:30" ht="30" x14ac:dyDescent="0.25">
      <c r="A218" s="190">
        <v>219</v>
      </c>
      <c r="B218" s="185" t="s">
        <v>3862</v>
      </c>
      <c r="C218" s="185"/>
      <c r="D218" s="187" t="s">
        <v>685</v>
      </c>
      <c r="E218" s="188" t="s">
        <v>684</v>
      </c>
      <c r="F218" s="209"/>
      <c r="G218" s="224" t="s">
        <v>442</v>
      </c>
      <c r="H218" s="225" t="s">
        <v>667</v>
      </c>
      <c r="I218" s="186"/>
      <c r="K218" s="240" t="s">
        <v>4032</v>
      </c>
      <c r="L218" s="251">
        <v>39079</v>
      </c>
      <c r="M218" s="251">
        <v>42732</v>
      </c>
      <c r="N218" s="242"/>
      <c r="O218" s="243">
        <v>2013</v>
      </c>
      <c r="P218" s="243" t="s">
        <v>4034</v>
      </c>
      <c r="Q218" s="244">
        <v>12</v>
      </c>
      <c r="R218" s="265">
        <v>44488</v>
      </c>
      <c r="AB218" s="231" t="s">
        <v>4120</v>
      </c>
      <c r="AC218" s="225" t="s">
        <v>4125</v>
      </c>
      <c r="AD218" s="265" t="s">
        <v>4127</v>
      </c>
    </row>
    <row r="219" spans="1:30" ht="30" x14ac:dyDescent="0.25">
      <c r="A219" s="190">
        <v>224</v>
      </c>
      <c r="B219" s="185" t="s">
        <v>3862</v>
      </c>
      <c r="C219" s="185"/>
      <c r="D219" s="187" t="s">
        <v>3865</v>
      </c>
      <c r="E219" s="188" t="s">
        <v>3866</v>
      </c>
      <c r="F219" s="209"/>
      <c r="G219" s="224" t="s">
        <v>442</v>
      </c>
      <c r="H219" s="225" t="s">
        <v>667</v>
      </c>
      <c r="I219" s="186"/>
      <c r="K219" s="240" t="s">
        <v>4032</v>
      </c>
      <c r="L219" s="251">
        <v>39079</v>
      </c>
      <c r="M219" s="251">
        <v>42732</v>
      </c>
      <c r="N219" s="242">
        <v>2011</v>
      </c>
      <c r="O219" s="243">
        <v>2013</v>
      </c>
      <c r="P219" s="243" t="s">
        <v>4034</v>
      </c>
      <c r="Q219" s="244">
        <v>12</v>
      </c>
      <c r="R219" s="265" t="s">
        <v>4035</v>
      </c>
      <c r="AB219" s="231" t="s">
        <v>4120</v>
      </c>
      <c r="AC219" s="225" t="s">
        <v>4125</v>
      </c>
      <c r="AD219" s="265" t="s">
        <v>4128</v>
      </c>
    </row>
    <row r="220" spans="1:30" x14ac:dyDescent="0.25">
      <c r="A220" s="190"/>
      <c r="B220" s="185" t="s">
        <v>3867</v>
      </c>
      <c r="C220" s="185"/>
      <c r="D220" s="187" t="s">
        <v>680</v>
      </c>
      <c r="E220" s="188" t="s">
        <v>679</v>
      </c>
      <c r="F220" s="209"/>
      <c r="G220" s="224" t="s">
        <v>442</v>
      </c>
      <c r="H220" s="225" t="s">
        <v>667</v>
      </c>
      <c r="I220" s="186"/>
      <c r="K220" s="240" t="s">
        <v>4036</v>
      </c>
      <c r="L220" s="251">
        <v>38887</v>
      </c>
      <c r="M220" s="251">
        <v>42540</v>
      </c>
      <c r="N220" s="250">
        <v>2008</v>
      </c>
      <c r="O220" s="243">
        <v>2012</v>
      </c>
      <c r="P220" s="243" t="s">
        <v>4037</v>
      </c>
      <c r="Q220" s="277">
        <v>12</v>
      </c>
      <c r="R220" s="265">
        <v>44537</v>
      </c>
      <c r="AB220" s="225" t="s">
        <v>4120</v>
      </c>
      <c r="AC220" s="225" t="s">
        <v>4091</v>
      </c>
      <c r="AD220" s="225" t="s">
        <v>4129</v>
      </c>
    </row>
    <row r="221" spans="1:30" x14ac:dyDescent="0.25">
      <c r="A221" s="190">
        <v>220</v>
      </c>
      <c r="B221" s="185" t="s">
        <v>3868</v>
      </c>
      <c r="C221" s="185"/>
      <c r="D221" s="187" t="s">
        <v>650</v>
      </c>
      <c r="E221" s="188" t="s">
        <v>3869</v>
      </c>
      <c r="F221" s="209"/>
      <c r="G221" s="224" t="s">
        <v>442</v>
      </c>
      <c r="H221" s="225" t="s">
        <v>667</v>
      </c>
      <c r="I221" s="186"/>
      <c r="K221" s="262" t="s">
        <v>4038</v>
      </c>
      <c r="L221" s="263">
        <v>39876</v>
      </c>
      <c r="M221" s="231" t="s">
        <v>4039</v>
      </c>
      <c r="N221" s="242"/>
      <c r="O221" s="243"/>
      <c r="P221" s="243"/>
      <c r="Q221" s="244">
        <v>12</v>
      </c>
      <c r="R221" s="265">
        <v>44537</v>
      </c>
      <c r="AB221" s="231" t="s">
        <v>4120</v>
      </c>
      <c r="AC221" s="231"/>
      <c r="AD221" s="225" t="s">
        <v>4130</v>
      </c>
    </row>
    <row r="222" spans="1:30" x14ac:dyDescent="0.25">
      <c r="A222" s="190">
        <v>221</v>
      </c>
      <c r="B222" s="185" t="s">
        <v>3868</v>
      </c>
      <c r="C222" s="185"/>
      <c r="D222" s="187" t="s">
        <v>555</v>
      </c>
      <c r="E222" s="188" t="s">
        <v>3870</v>
      </c>
      <c r="F222" s="209"/>
      <c r="G222" s="224" t="s">
        <v>442</v>
      </c>
      <c r="H222" s="225" t="s">
        <v>667</v>
      </c>
      <c r="I222" s="186"/>
      <c r="K222" s="258" t="s">
        <v>4038</v>
      </c>
      <c r="L222" s="259">
        <v>39876</v>
      </c>
      <c r="M222" s="260" t="s">
        <v>4039</v>
      </c>
      <c r="N222" s="242"/>
      <c r="O222" s="243">
        <v>2013</v>
      </c>
      <c r="P222" s="243" t="s">
        <v>4040</v>
      </c>
      <c r="Q222" s="244">
        <v>12</v>
      </c>
      <c r="R222" s="265">
        <v>44488</v>
      </c>
      <c r="AB222" s="231" t="s">
        <v>4120</v>
      </c>
      <c r="AC222" s="225" t="s">
        <v>4125</v>
      </c>
      <c r="AD222" s="225" t="s">
        <v>4131</v>
      </c>
    </row>
    <row r="223" spans="1:30" x14ac:dyDescent="0.25">
      <c r="A223" s="190">
        <v>222</v>
      </c>
      <c r="B223" s="185" t="s">
        <v>3868</v>
      </c>
      <c r="C223" s="185"/>
      <c r="D223" s="187" t="s">
        <v>652</v>
      </c>
      <c r="E223" s="188" t="s">
        <v>3871</v>
      </c>
      <c r="F223" s="209"/>
      <c r="G223" s="224" t="s">
        <v>442</v>
      </c>
      <c r="H223" s="225" t="s">
        <v>667</v>
      </c>
      <c r="I223" s="186"/>
      <c r="K223" s="248" t="s">
        <v>3766</v>
      </c>
      <c r="L223" s="249">
        <v>42851</v>
      </c>
      <c r="M223" s="225" t="s">
        <v>4039</v>
      </c>
      <c r="N223" s="242"/>
      <c r="O223" s="243">
        <v>2013</v>
      </c>
      <c r="P223" s="243" t="s">
        <v>4040</v>
      </c>
      <c r="Q223" s="244">
        <v>12</v>
      </c>
      <c r="R223" s="265">
        <v>44544</v>
      </c>
      <c r="AB223" s="231"/>
      <c r="AC223" s="225" t="s">
        <v>4125</v>
      </c>
      <c r="AD223" s="225" t="s">
        <v>4132</v>
      </c>
    </row>
    <row r="224" spans="1:30" x14ac:dyDescent="0.25">
      <c r="A224" s="309">
        <v>225</v>
      </c>
      <c r="B224" s="185" t="s">
        <v>3872</v>
      </c>
      <c r="C224" s="185"/>
      <c r="D224" s="187" t="s">
        <v>484</v>
      </c>
      <c r="E224" s="188" t="s">
        <v>3873</v>
      </c>
      <c r="F224" s="209"/>
      <c r="G224" s="224" t="s">
        <v>442</v>
      </c>
      <c r="H224" s="225" t="s">
        <v>667</v>
      </c>
      <c r="I224" s="186"/>
      <c r="K224" s="248" t="s">
        <v>4038</v>
      </c>
      <c r="L224" s="249">
        <v>39876</v>
      </c>
      <c r="M224" s="225" t="s">
        <v>4039</v>
      </c>
      <c r="N224" s="250">
        <v>2011</v>
      </c>
      <c r="O224" s="243">
        <v>2013</v>
      </c>
      <c r="P224" s="243" t="s">
        <v>4040</v>
      </c>
      <c r="Q224" s="244">
        <v>12</v>
      </c>
      <c r="R224" s="265">
        <v>44488</v>
      </c>
      <c r="AB224" s="231"/>
      <c r="AC224" s="225" t="s">
        <v>4125</v>
      </c>
      <c r="AD224" s="225" t="s">
        <v>4133</v>
      </c>
    </row>
    <row r="225" spans="1:30" x14ac:dyDescent="0.25">
      <c r="A225" s="190">
        <v>226</v>
      </c>
      <c r="B225" s="185" t="s">
        <v>3872</v>
      </c>
      <c r="C225" s="185"/>
      <c r="D225" s="187" t="s">
        <v>553</v>
      </c>
      <c r="E225" s="188" t="s">
        <v>3874</v>
      </c>
      <c r="F225" s="209"/>
      <c r="G225" s="224" t="s">
        <v>442</v>
      </c>
      <c r="H225" s="225" t="s">
        <v>667</v>
      </c>
      <c r="I225" s="186"/>
      <c r="K225" s="248" t="s">
        <v>4041</v>
      </c>
      <c r="L225" s="249">
        <v>39876</v>
      </c>
      <c r="M225" s="225" t="s">
        <v>4039</v>
      </c>
      <c r="N225" s="250">
        <v>2011</v>
      </c>
      <c r="O225" s="243">
        <v>2013</v>
      </c>
      <c r="P225" s="243" t="s">
        <v>4040</v>
      </c>
      <c r="Q225" s="244">
        <v>12</v>
      </c>
      <c r="R225" s="278">
        <v>44537</v>
      </c>
      <c r="AB225" s="231"/>
      <c r="AC225" s="225" t="s">
        <v>4125</v>
      </c>
      <c r="AD225" s="225" t="s">
        <v>4134</v>
      </c>
    </row>
    <row r="226" spans="1:30" x14ac:dyDescent="0.25">
      <c r="A226" s="190"/>
      <c r="B226" s="185" t="s">
        <v>3872</v>
      </c>
      <c r="C226" s="185"/>
      <c r="D226" s="187" t="s">
        <v>682</v>
      </c>
      <c r="E226" s="188" t="s">
        <v>681</v>
      </c>
      <c r="F226" s="209"/>
      <c r="G226" s="224" t="s">
        <v>442</v>
      </c>
      <c r="H226" s="225" t="s">
        <v>667</v>
      </c>
      <c r="I226" s="186"/>
      <c r="K226" s="240" t="s">
        <v>4042</v>
      </c>
      <c r="L226" s="251">
        <v>39079</v>
      </c>
      <c r="M226" s="251">
        <v>42732</v>
      </c>
      <c r="N226" s="242"/>
      <c r="O226" s="243">
        <v>2010</v>
      </c>
      <c r="P226" s="243" t="s">
        <v>4043</v>
      </c>
      <c r="Q226" s="244">
        <v>12</v>
      </c>
      <c r="R226" s="265">
        <v>44544</v>
      </c>
      <c r="AB226" s="231"/>
      <c r="AC226" s="225" t="s">
        <v>4123</v>
      </c>
      <c r="AD226" s="225" t="s">
        <v>4135</v>
      </c>
    </row>
    <row r="227" spans="1:30" x14ac:dyDescent="0.25">
      <c r="A227" s="190"/>
      <c r="B227" s="185" t="s">
        <v>3875</v>
      </c>
      <c r="C227" s="213"/>
      <c r="D227" s="187" t="s">
        <v>647</v>
      </c>
      <c r="E227" s="188" t="s">
        <v>646</v>
      </c>
      <c r="F227" s="209"/>
      <c r="G227" s="224" t="s">
        <v>442</v>
      </c>
      <c r="H227" s="225" t="s">
        <v>667</v>
      </c>
      <c r="I227" s="186"/>
      <c r="K227" s="240" t="s">
        <v>4042</v>
      </c>
      <c r="L227" s="251">
        <v>39079</v>
      </c>
      <c r="M227" s="251">
        <v>42732</v>
      </c>
      <c r="N227" s="242"/>
      <c r="O227" s="243">
        <v>2010</v>
      </c>
      <c r="P227" s="243" t="s">
        <v>4043</v>
      </c>
      <c r="Q227" s="244">
        <v>12</v>
      </c>
      <c r="R227" s="265">
        <v>44544</v>
      </c>
      <c r="AB227" s="231"/>
      <c r="AC227" s="225" t="s">
        <v>4123</v>
      </c>
      <c r="AD227" s="225" t="s">
        <v>4136</v>
      </c>
    </row>
    <row r="228" spans="1:30" x14ac:dyDescent="0.25">
      <c r="A228" s="190">
        <v>227</v>
      </c>
      <c r="B228" s="185" t="s">
        <v>3876</v>
      </c>
      <c r="C228" s="186"/>
      <c r="D228" s="187" t="s">
        <v>725</v>
      </c>
      <c r="E228" s="188" t="s">
        <v>3877</v>
      </c>
      <c r="F228" s="209"/>
      <c r="G228" s="224" t="s">
        <v>442</v>
      </c>
      <c r="H228" s="225" t="s">
        <v>3947</v>
      </c>
      <c r="I228" s="186"/>
      <c r="K228" s="240"/>
      <c r="L228" s="241"/>
      <c r="M228" s="241"/>
      <c r="N228" s="242"/>
      <c r="O228" s="243"/>
      <c r="P228" s="243"/>
      <c r="Q228" s="244"/>
      <c r="R228" s="245"/>
      <c r="AB228" s="231"/>
      <c r="AC228" s="231" t="s">
        <v>4125</v>
      </c>
      <c r="AD228" s="231"/>
    </row>
    <row r="229" spans="1:30" x14ac:dyDescent="0.25">
      <c r="A229" s="190">
        <v>228</v>
      </c>
      <c r="B229" s="185" t="s">
        <v>3878</v>
      </c>
      <c r="C229" s="186"/>
      <c r="D229" s="187" t="s">
        <v>607</v>
      </c>
      <c r="E229" s="214"/>
      <c r="F229" s="209"/>
      <c r="G229" s="224" t="s">
        <v>442</v>
      </c>
      <c r="H229" s="225" t="s">
        <v>667</v>
      </c>
      <c r="I229" s="186"/>
      <c r="K229" s="240"/>
      <c r="L229" s="241"/>
      <c r="M229" s="241"/>
      <c r="N229" s="242">
        <v>2000</v>
      </c>
      <c r="O229" s="243">
        <v>2005</v>
      </c>
      <c r="P229" s="243" t="s">
        <v>4044</v>
      </c>
      <c r="Q229" s="244"/>
      <c r="R229" s="245"/>
      <c r="AB229" s="231"/>
      <c r="AC229" s="231" t="s">
        <v>4137</v>
      </c>
      <c r="AD229" s="231"/>
    </row>
    <row r="230" spans="1:30" x14ac:dyDescent="0.25">
      <c r="A230" s="190">
        <v>229</v>
      </c>
      <c r="B230" s="185" t="s">
        <v>3879</v>
      </c>
      <c r="C230" s="186"/>
      <c r="D230" s="187" t="s">
        <v>702</v>
      </c>
      <c r="E230" s="188" t="s">
        <v>701</v>
      </c>
      <c r="F230" s="209"/>
      <c r="G230" s="224" t="s">
        <v>442</v>
      </c>
      <c r="H230" s="225" t="s">
        <v>3948</v>
      </c>
      <c r="I230" s="186"/>
      <c r="K230" s="248" t="s">
        <v>4045</v>
      </c>
      <c r="L230" s="249">
        <v>39860</v>
      </c>
      <c r="M230" s="225" t="s">
        <v>4039</v>
      </c>
      <c r="N230" s="250">
        <v>2012</v>
      </c>
      <c r="O230" s="243">
        <v>2013</v>
      </c>
      <c r="P230" s="243" t="s">
        <v>4046</v>
      </c>
      <c r="Q230" s="244"/>
      <c r="R230" s="245"/>
      <c r="AB230" s="231"/>
      <c r="AC230" s="231"/>
      <c r="AD230" s="231"/>
    </row>
    <row r="231" spans="1:30" x14ac:dyDescent="0.25">
      <c r="A231" s="190"/>
      <c r="B231" s="185" t="s">
        <v>3880</v>
      </c>
      <c r="C231" s="186"/>
      <c r="D231" s="187"/>
      <c r="E231" s="188" t="s">
        <v>3881</v>
      </c>
      <c r="F231" s="209"/>
      <c r="G231" s="224" t="s">
        <v>442</v>
      </c>
      <c r="H231" s="225"/>
      <c r="I231" s="186"/>
      <c r="K231" s="248" t="s">
        <v>4047</v>
      </c>
      <c r="L231" s="249">
        <v>40542</v>
      </c>
      <c r="M231" s="225" t="s">
        <v>4039</v>
      </c>
      <c r="N231" s="250">
        <v>2011</v>
      </c>
      <c r="O231" s="243">
        <v>2014</v>
      </c>
      <c r="P231" s="243" t="s">
        <v>4048</v>
      </c>
      <c r="Q231" s="244"/>
      <c r="R231" s="245"/>
      <c r="AB231" s="231"/>
      <c r="AC231" s="231"/>
      <c r="AD231" s="231"/>
    </row>
    <row r="232" spans="1:30" x14ac:dyDescent="0.25">
      <c r="A232" s="190"/>
      <c r="B232" s="185" t="s">
        <v>3880</v>
      </c>
      <c r="C232" s="186"/>
      <c r="D232" s="187"/>
      <c r="E232" s="188" t="s">
        <v>3882</v>
      </c>
      <c r="F232" s="209"/>
      <c r="G232" s="224" t="s">
        <v>442</v>
      </c>
      <c r="H232" s="225"/>
      <c r="I232" s="186"/>
      <c r="K232" s="248" t="s">
        <v>4047</v>
      </c>
      <c r="L232" s="249">
        <v>40542</v>
      </c>
      <c r="M232" s="225" t="s">
        <v>4039</v>
      </c>
      <c r="N232" s="250">
        <v>2011</v>
      </c>
      <c r="O232" s="243">
        <v>2014</v>
      </c>
      <c r="P232" s="243" t="s">
        <v>4048</v>
      </c>
      <c r="Q232" s="244"/>
      <c r="R232" s="245"/>
      <c r="AB232" s="231"/>
      <c r="AC232" s="231"/>
      <c r="AD232" s="231"/>
    </row>
    <row r="233" spans="1:30" x14ac:dyDescent="0.25">
      <c r="A233" s="190">
        <v>230</v>
      </c>
      <c r="B233" s="185" t="s">
        <v>3879</v>
      </c>
      <c r="C233" s="186"/>
      <c r="D233" s="187" t="s">
        <v>654</v>
      </c>
      <c r="E233" s="188" t="s">
        <v>3883</v>
      </c>
      <c r="F233" s="209"/>
      <c r="G233" s="224" t="s">
        <v>442</v>
      </c>
      <c r="H233" s="225" t="s">
        <v>3948</v>
      </c>
      <c r="I233" s="186"/>
      <c r="K233" s="248" t="s">
        <v>4045</v>
      </c>
      <c r="L233" s="249">
        <v>39860</v>
      </c>
      <c r="M233" s="225" t="s">
        <v>4039</v>
      </c>
      <c r="N233" s="250">
        <v>2012</v>
      </c>
      <c r="O233" s="243">
        <v>2013</v>
      </c>
      <c r="P233" s="243" t="s">
        <v>4046</v>
      </c>
      <c r="Q233" s="244"/>
      <c r="R233" s="245"/>
      <c r="AB233" s="231"/>
      <c r="AC233" s="231"/>
      <c r="AD233" s="231"/>
    </row>
    <row r="234" spans="1:30" x14ac:dyDescent="0.25">
      <c r="A234" s="190">
        <v>231</v>
      </c>
      <c r="B234" s="215" t="s">
        <v>3884</v>
      </c>
      <c r="C234" s="186"/>
      <c r="D234" s="207" t="s">
        <v>755</v>
      </c>
      <c r="E234" s="208" t="s">
        <v>754</v>
      </c>
      <c r="F234" s="209"/>
      <c r="G234" s="232" t="s">
        <v>442</v>
      </c>
      <c r="H234" s="233"/>
      <c r="I234" s="186"/>
      <c r="K234" s="270" t="s">
        <v>4049</v>
      </c>
      <c r="L234" s="233"/>
      <c r="M234" s="233"/>
      <c r="N234" s="272"/>
      <c r="O234" s="272"/>
      <c r="P234" s="272"/>
      <c r="Q234" s="244"/>
      <c r="R234" s="245"/>
      <c r="AB234" s="231"/>
      <c r="AC234" s="231"/>
      <c r="AD234" s="231"/>
    </row>
    <row r="235" spans="1:30" x14ac:dyDescent="0.25">
      <c r="A235" s="309">
        <v>232</v>
      </c>
      <c r="B235" s="185" t="s">
        <v>3885</v>
      </c>
      <c r="C235" s="186"/>
      <c r="D235" s="187" t="s">
        <v>3886</v>
      </c>
      <c r="E235" s="188" t="s">
        <v>3882</v>
      </c>
      <c r="F235" s="209"/>
      <c r="G235" s="224" t="s">
        <v>442</v>
      </c>
      <c r="H235" s="225" t="s">
        <v>3949</v>
      </c>
      <c r="I235" s="186"/>
      <c r="K235" s="248" t="s">
        <v>4047</v>
      </c>
      <c r="L235" s="249">
        <v>41273</v>
      </c>
      <c r="M235" s="225" t="s">
        <v>3958</v>
      </c>
      <c r="N235" s="250">
        <v>2011</v>
      </c>
      <c r="O235" s="243">
        <v>2014</v>
      </c>
      <c r="P235" s="243" t="s">
        <v>4048</v>
      </c>
      <c r="Q235" s="244"/>
      <c r="R235" s="245"/>
      <c r="AB235" s="231"/>
      <c r="AC235" s="231"/>
      <c r="AD235" s="231"/>
    </row>
    <row r="236" spans="1:30" x14ac:dyDescent="0.25">
      <c r="A236" s="190">
        <v>233</v>
      </c>
      <c r="B236" s="185" t="s">
        <v>3887</v>
      </c>
      <c r="C236" s="186"/>
      <c r="D236" s="187" t="s">
        <v>3888</v>
      </c>
      <c r="E236" s="188" t="s">
        <v>3881</v>
      </c>
      <c r="F236" s="209"/>
      <c r="G236" s="224" t="s">
        <v>442</v>
      </c>
      <c r="H236" s="225" t="s">
        <v>3937</v>
      </c>
      <c r="I236" s="186"/>
      <c r="K236" s="248" t="s">
        <v>4047</v>
      </c>
      <c r="L236" s="249">
        <v>41273</v>
      </c>
      <c r="M236" s="225" t="s">
        <v>3958</v>
      </c>
      <c r="N236" s="250">
        <v>2011</v>
      </c>
      <c r="O236" s="243">
        <v>2014</v>
      </c>
      <c r="P236" s="243" t="s">
        <v>4048</v>
      </c>
      <c r="Q236" s="244"/>
      <c r="R236" s="245"/>
      <c r="AB236" s="231"/>
      <c r="AC236" s="231"/>
      <c r="AD236" s="231"/>
    </row>
    <row r="237" spans="1:30" x14ac:dyDescent="0.25">
      <c r="A237" s="190">
        <v>234</v>
      </c>
      <c r="B237" s="185" t="s">
        <v>3889</v>
      </c>
      <c r="C237" s="186"/>
      <c r="D237" s="187" t="s">
        <v>584</v>
      </c>
      <c r="E237" s="188" t="s">
        <v>583</v>
      </c>
      <c r="F237" s="209"/>
      <c r="G237" s="224" t="s">
        <v>442</v>
      </c>
      <c r="H237" s="225" t="s">
        <v>3950</v>
      </c>
      <c r="I237" s="186"/>
      <c r="K237" s="248" t="s">
        <v>4050</v>
      </c>
      <c r="L237" s="249">
        <v>42527</v>
      </c>
      <c r="M237" s="225" t="s">
        <v>3958</v>
      </c>
      <c r="N237" s="250">
        <v>2018</v>
      </c>
      <c r="O237" s="279">
        <v>44210</v>
      </c>
      <c r="P237" s="250" t="s">
        <v>4051</v>
      </c>
      <c r="Q237" s="244"/>
      <c r="R237" s="245"/>
      <c r="AB237" s="231"/>
      <c r="AC237" s="231" t="s">
        <v>4138</v>
      </c>
      <c r="AD237" s="231"/>
    </row>
    <row r="238" spans="1:30" x14ac:dyDescent="0.25">
      <c r="A238" s="190"/>
      <c r="B238" s="185" t="s">
        <v>3879</v>
      </c>
      <c r="C238" s="186"/>
      <c r="D238" s="187" t="s">
        <v>3890</v>
      </c>
      <c r="E238" s="188" t="s">
        <v>3891</v>
      </c>
      <c r="F238" s="209"/>
      <c r="G238" s="224" t="s">
        <v>442</v>
      </c>
      <c r="H238" s="225" t="s">
        <v>667</v>
      </c>
      <c r="I238" s="186"/>
      <c r="K238" s="248"/>
      <c r="L238" s="249"/>
      <c r="M238" s="225"/>
      <c r="N238" s="250"/>
      <c r="O238" s="279"/>
      <c r="P238" s="250"/>
      <c r="Q238" s="244"/>
      <c r="R238" s="245"/>
      <c r="AB238" s="231"/>
      <c r="AC238" s="231"/>
      <c r="AD238" s="231"/>
    </row>
    <row r="239" spans="1:30" x14ac:dyDescent="0.25">
      <c r="A239" s="190"/>
      <c r="B239" s="185" t="s">
        <v>3879</v>
      </c>
      <c r="C239" s="186"/>
      <c r="D239" s="187" t="s">
        <v>3892</v>
      </c>
      <c r="E239" s="188" t="s">
        <v>3893</v>
      </c>
      <c r="F239" s="209"/>
      <c r="G239" s="224" t="s">
        <v>442</v>
      </c>
      <c r="H239" s="225" t="s">
        <v>667</v>
      </c>
      <c r="I239" s="186"/>
      <c r="K239" s="248"/>
      <c r="L239" s="249"/>
      <c r="M239" s="225"/>
      <c r="N239" s="250"/>
      <c r="O239" s="279"/>
      <c r="P239" s="250"/>
      <c r="Q239" s="244"/>
      <c r="R239" s="245"/>
      <c r="AB239" s="231"/>
      <c r="AC239" s="231"/>
      <c r="AD239" s="231"/>
    </row>
    <row r="240" spans="1:30" x14ac:dyDescent="0.25">
      <c r="A240" s="190"/>
      <c r="B240" s="185" t="s">
        <v>3894</v>
      </c>
      <c r="C240" s="186"/>
      <c r="D240" s="187" t="s">
        <v>3526</v>
      </c>
      <c r="E240" s="188" t="s">
        <v>3895</v>
      </c>
      <c r="F240" s="209"/>
      <c r="G240" s="224" t="s">
        <v>442</v>
      </c>
      <c r="H240" s="225" t="s">
        <v>3949</v>
      </c>
      <c r="I240" s="186"/>
      <c r="K240" s="248" t="s">
        <v>4052</v>
      </c>
      <c r="L240" s="249">
        <v>42592</v>
      </c>
      <c r="M240" s="225" t="s">
        <v>3958</v>
      </c>
      <c r="N240" s="250"/>
      <c r="O240" s="279"/>
      <c r="P240" s="250" t="s">
        <v>4053</v>
      </c>
      <c r="Q240" s="244"/>
      <c r="R240" s="245"/>
      <c r="AB240" s="231"/>
      <c r="AC240" s="231"/>
      <c r="AD240" s="231"/>
    </row>
    <row r="241" spans="1:30" x14ac:dyDescent="0.25">
      <c r="A241" s="190"/>
      <c r="B241" s="185" t="s">
        <v>3896</v>
      </c>
      <c r="C241" s="186"/>
      <c r="D241" s="187" t="s">
        <v>589</v>
      </c>
      <c r="E241" s="188" t="s">
        <v>3897</v>
      </c>
      <c r="F241" s="209"/>
      <c r="G241" s="224" t="s">
        <v>442</v>
      </c>
      <c r="H241" s="225" t="s">
        <v>3950</v>
      </c>
      <c r="I241" s="186"/>
      <c r="K241" s="248" t="s">
        <v>3731</v>
      </c>
      <c r="L241" s="249">
        <v>40408</v>
      </c>
      <c r="M241" s="225" t="s">
        <v>3958</v>
      </c>
      <c r="N241" s="250">
        <v>2013</v>
      </c>
      <c r="O241" s="280"/>
      <c r="P241" s="243" t="s">
        <v>4054</v>
      </c>
      <c r="Q241" s="244"/>
      <c r="R241" s="245"/>
      <c r="AB241" s="231"/>
      <c r="AC241" s="231"/>
      <c r="AD241" s="231"/>
    </row>
    <row r="242" spans="1:30" x14ac:dyDescent="0.25">
      <c r="A242" s="190"/>
      <c r="B242" s="185" t="s">
        <v>3896</v>
      </c>
      <c r="C242" s="185"/>
      <c r="D242" s="187" t="s">
        <v>587</v>
      </c>
      <c r="E242" s="188" t="s">
        <v>3898</v>
      </c>
      <c r="F242" s="209"/>
      <c r="G242" s="224" t="s">
        <v>442</v>
      </c>
      <c r="H242" s="225" t="s">
        <v>3950</v>
      </c>
      <c r="I242" s="186"/>
      <c r="K242" s="248" t="s">
        <v>3731</v>
      </c>
      <c r="L242" s="249">
        <v>40408</v>
      </c>
      <c r="M242" s="225" t="s">
        <v>3958</v>
      </c>
      <c r="N242" s="250">
        <v>2013</v>
      </c>
      <c r="O242" s="280"/>
      <c r="P242" s="243" t="s">
        <v>4054</v>
      </c>
      <c r="Q242" s="244"/>
      <c r="R242" s="245"/>
      <c r="AB242" s="231"/>
      <c r="AC242" s="231"/>
      <c r="AD242" s="231"/>
    </row>
    <row r="243" spans="1:30" x14ac:dyDescent="0.25">
      <c r="A243" s="190"/>
      <c r="B243" s="185" t="s">
        <v>3896</v>
      </c>
      <c r="C243" s="185"/>
      <c r="D243" s="187" t="s">
        <v>558</v>
      </c>
      <c r="E243" s="188" t="s">
        <v>557</v>
      </c>
      <c r="F243" s="209"/>
      <c r="G243" s="224" t="s">
        <v>442</v>
      </c>
      <c r="H243" s="225" t="s">
        <v>3936</v>
      </c>
      <c r="I243" s="186"/>
      <c r="K243" s="248" t="s">
        <v>3731</v>
      </c>
      <c r="L243" s="249">
        <v>40408</v>
      </c>
      <c r="M243" s="225" t="s">
        <v>3958</v>
      </c>
      <c r="N243" s="250">
        <v>2013</v>
      </c>
      <c r="O243" s="280"/>
      <c r="P243" s="243" t="s">
        <v>4055</v>
      </c>
      <c r="Q243" s="244"/>
      <c r="R243" s="245"/>
      <c r="AB243" s="231"/>
      <c r="AC243" s="231"/>
      <c r="AD243" s="231"/>
    </row>
    <row r="244" spans="1:30" x14ac:dyDescent="0.25">
      <c r="A244" s="190"/>
      <c r="B244" s="185" t="s">
        <v>3896</v>
      </c>
      <c r="C244" s="185"/>
      <c r="D244" s="187" t="s">
        <v>560</v>
      </c>
      <c r="E244" s="188" t="s">
        <v>559</v>
      </c>
      <c r="F244" s="209"/>
      <c r="G244" s="224" t="s">
        <v>442</v>
      </c>
      <c r="H244" s="225" t="s">
        <v>3936</v>
      </c>
      <c r="I244" s="186"/>
      <c r="K244" s="248" t="s">
        <v>3731</v>
      </c>
      <c r="L244" s="249">
        <v>40408</v>
      </c>
      <c r="M244" s="225" t="s">
        <v>3958</v>
      </c>
      <c r="N244" s="250">
        <v>2013</v>
      </c>
      <c r="O244" s="280"/>
      <c r="P244" s="243" t="s">
        <v>4055</v>
      </c>
      <c r="Q244" s="244"/>
      <c r="R244" s="245"/>
      <c r="AB244" s="231"/>
      <c r="AC244" s="231"/>
      <c r="AD244" s="231"/>
    </row>
    <row r="245" spans="1:30" x14ac:dyDescent="0.25">
      <c r="A245" s="190"/>
      <c r="B245" s="185" t="s">
        <v>3899</v>
      </c>
      <c r="C245" s="186"/>
      <c r="D245" s="187" t="s">
        <v>169</v>
      </c>
      <c r="E245" s="188" t="s">
        <v>168</v>
      </c>
      <c r="F245" s="209"/>
      <c r="G245" s="224" t="s">
        <v>442</v>
      </c>
      <c r="H245" s="225" t="s">
        <v>149</v>
      </c>
      <c r="I245" s="186"/>
      <c r="K245" s="240" t="s">
        <v>4056</v>
      </c>
      <c r="L245" s="251">
        <v>37721</v>
      </c>
      <c r="M245" s="241">
        <v>2013</v>
      </c>
      <c r="N245" s="242"/>
      <c r="O245" s="243">
        <v>2007</v>
      </c>
      <c r="P245" s="243" t="s">
        <v>4057</v>
      </c>
      <c r="Q245" s="244"/>
      <c r="R245" s="245"/>
      <c r="AB245" s="231"/>
      <c r="AC245" s="231" t="s">
        <v>4139</v>
      </c>
      <c r="AD245" s="231"/>
    </row>
    <row r="246" spans="1:30" x14ac:dyDescent="0.25">
      <c r="A246" s="190">
        <v>165</v>
      </c>
      <c r="B246" s="190" t="s">
        <v>3900</v>
      </c>
      <c r="C246" s="190">
        <v>1</v>
      </c>
      <c r="D246" s="209" t="s">
        <v>687</v>
      </c>
      <c r="E246" s="209"/>
      <c r="F246" s="209"/>
      <c r="G246" s="231" t="s">
        <v>442</v>
      </c>
      <c r="H246" s="231" t="s">
        <v>667</v>
      </c>
      <c r="K246" s="240"/>
      <c r="L246" s="241"/>
      <c r="M246" s="241"/>
      <c r="N246" s="243"/>
      <c r="O246" s="243"/>
      <c r="P246" s="243"/>
      <c r="Q246" s="281">
        <v>12</v>
      </c>
      <c r="R246" s="265">
        <v>43756</v>
      </c>
      <c r="S246" s="311" t="s">
        <v>4192</v>
      </c>
      <c r="T246" s="245">
        <v>41067</v>
      </c>
      <c r="U246" s="231" t="s">
        <v>4193</v>
      </c>
      <c r="Z246" s="231">
        <v>1</v>
      </c>
      <c r="AA246" s="231" t="s">
        <v>4179</v>
      </c>
      <c r="AB246" s="231"/>
      <c r="AC246" s="231"/>
      <c r="AD246" s="231"/>
    </row>
    <row r="247" spans="1:30" x14ac:dyDescent="0.25">
      <c r="A247" s="190">
        <v>167</v>
      </c>
      <c r="B247" s="190" t="s">
        <v>3901</v>
      </c>
      <c r="C247" s="190">
        <v>4</v>
      </c>
      <c r="D247" s="209" t="s">
        <v>688</v>
      </c>
      <c r="E247" s="209"/>
      <c r="F247" s="209"/>
      <c r="G247" s="231" t="s">
        <v>442</v>
      </c>
      <c r="H247" s="231" t="s">
        <v>667</v>
      </c>
      <c r="K247" s="240"/>
      <c r="L247" s="241"/>
      <c r="M247" s="241"/>
      <c r="N247" s="243"/>
      <c r="O247" s="243"/>
      <c r="P247" s="243"/>
      <c r="Q247" s="281">
        <v>12</v>
      </c>
      <c r="R247" s="265">
        <v>43756</v>
      </c>
      <c r="S247" s="311" t="s">
        <v>4192</v>
      </c>
      <c r="T247" s="245">
        <v>41067</v>
      </c>
      <c r="U247" s="231" t="s">
        <v>4193</v>
      </c>
      <c r="Z247" s="231">
        <v>1</v>
      </c>
      <c r="AA247" s="231" t="s">
        <v>4179</v>
      </c>
      <c r="AB247" s="231"/>
      <c r="AC247" s="231"/>
      <c r="AD247" s="231"/>
    </row>
    <row r="248" spans="1:30" x14ac:dyDescent="0.25">
      <c r="A248" s="190">
        <v>166</v>
      </c>
      <c r="B248" s="190" t="s">
        <v>3902</v>
      </c>
      <c r="C248" s="190">
        <v>1</v>
      </c>
      <c r="D248" s="209" t="s">
        <v>689</v>
      </c>
      <c r="E248" s="209"/>
      <c r="F248" s="209"/>
      <c r="G248" s="231" t="s">
        <v>442</v>
      </c>
      <c r="H248" s="231" t="s">
        <v>667</v>
      </c>
      <c r="K248" s="240"/>
      <c r="L248" s="241"/>
      <c r="M248" s="241"/>
      <c r="N248" s="243"/>
      <c r="O248" s="243"/>
      <c r="P248" s="243"/>
      <c r="Q248" s="281">
        <v>12</v>
      </c>
      <c r="R248" s="265">
        <v>43756</v>
      </c>
      <c r="S248" s="311" t="s">
        <v>4192</v>
      </c>
      <c r="T248" s="245">
        <v>41067</v>
      </c>
      <c r="U248" s="231" t="s">
        <v>4193</v>
      </c>
      <c r="Z248" s="231">
        <v>1</v>
      </c>
      <c r="AA248" s="231" t="s">
        <v>4179</v>
      </c>
      <c r="AB248" s="231"/>
      <c r="AC248" s="231"/>
      <c r="AD248" s="231"/>
    </row>
    <row r="249" spans="1:30" x14ac:dyDescent="0.25">
      <c r="A249" s="190">
        <v>168</v>
      </c>
      <c r="B249" s="190" t="s">
        <v>3903</v>
      </c>
      <c r="C249" s="190"/>
      <c r="E249" s="209"/>
      <c r="F249" s="209"/>
      <c r="G249" s="231" t="s">
        <v>442</v>
      </c>
      <c r="H249" s="231" t="s">
        <v>667</v>
      </c>
      <c r="K249" s="240"/>
      <c r="L249" s="241"/>
      <c r="M249" s="241"/>
      <c r="N249" s="243"/>
      <c r="O249" s="243"/>
      <c r="P249" s="243"/>
      <c r="Q249" s="281"/>
      <c r="R249" s="282"/>
      <c r="S249" s="311" t="s">
        <v>4192</v>
      </c>
      <c r="T249" s="245">
        <v>41186</v>
      </c>
      <c r="U249" s="231" t="s">
        <v>4178</v>
      </c>
      <c r="Z249" s="231">
        <v>1</v>
      </c>
      <c r="AA249" s="231" t="s">
        <v>4179</v>
      </c>
      <c r="AB249" s="231"/>
      <c r="AC249" s="231"/>
      <c r="AD249" s="231"/>
    </row>
    <row r="250" spans="1:30" x14ac:dyDescent="0.25">
      <c r="A250" s="190">
        <v>237</v>
      </c>
      <c r="B250" s="185" t="s">
        <v>3904</v>
      </c>
      <c r="C250" s="186"/>
      <c r="D250" s="187" t="s">
        <v>693</v>
      </c>
      <c r="E250" s="188" t="s">
        <v>692</v>
      </c>
      <c r="F250" s="209"/>
      <c r="G250" s="224" t="s">
        <v>442</v>
      </c>
      <c r="H250" s="225" t="s">
        <v>667</v>
      </c>
      <c r="I250" s="186"/>
      <c r="K250" s="258" t="s">
        <v>4058</v>
      </c>
      <c r="L250" s="259">
        <v>39885</v>
      </c>
      <c r="M250" s="260" t="s">
        <v>3958</v>
      </c>
      <c r="N250" s="269">
        <v>2010</v>
      </c>
      <c r="Q250" s="283"/>
      <c r="R250" s="284"/>
      <c r="AB250" s="231"/>
      <c r="AC250" s="231"/>
      <c r="AD250" s="231"/>
    </row>
    <row r="251" spans="1:30" x14ac:dyDescent="0.25">
      <c r="A251" s="190">
        <v>238</v>
      </c>
      <c r="B251" s="185" t="s">
        <v>3904</v>
      </c>
      <c r="C251" s="186"/>
      <c r="D251" s="187" t="s">
        <v>695</v>
      </c>
      <c r="E251" s="188" t="s">
        <v>694</v>
      </c>
      <c r="F251" s="209"/>
      <c r="G251" s="224" t="s">
        <v>442</v>
      </c>
      <c r="H251" s="225" t="s">
        <v>667</v>
      </c>
      <c r="I251" s="186"/>
      <c r="K251" s="258" t="s">
        <v>4058</v>
      </c>
      <c r="L251" s="259">
        <v>39885</v>
      </c>
      <c r="M251" s="260" t="s">
        <v>3958</v>
      </c>
      <c r="N251" s="269">
        <v>2010</v>
      </c>
      <c r="Q251" s="283">
        <v>12</v>
      </c>
      <c r="R251" s="284" t="s">
        <v>3990</v>
      </c>
      <c r="AB251" s="231"/>
      <c r="AC251" s="231"/>
      <c r="AD251" s="231"/>
    </row>
    <row r="252" spans="1:30" x14ac:dyDescent="0.25">
      <c r="A252" s="190"/>
      <c r="B252" s="190" t="s">
        <v>3905</v>
      </c>
      <c r="C252" s="190"/>
      <c r="D252" s="210"/>
      <c r="E252" s="209"/>
      <c r="F252" s="209"/>
      <c r="G252" s="234"/>
      <c r="H252" s="231"/>
      <c r="L252" s="231"/>
      <c r="M252" s="231"/>
      <c r="N252" s="242"/>
      <c r="Q252" s="244"/>
      <c r="R252" s="245"/>
      <c r="AB252" s="231"/>
      <c r="AC252" s="231"/>
      <c r="AD252" s="231"/>
    </row>
    <row r="253" spans="1:30" x14ac:dyDescent="0.25">
      <c r="A253" s="190"/>
      <c r="B253" s="192" t="s">
        <v>3906</v>
      </c>
      <c r="C253" s="192"/>
      <c r="D253" s="187" t="s">
        <v>454</v>
      </c>
      <c r="E253" s="188" t="s">
        <v>453</v>
      </c>
      <c r="F253" s="209"/>
      <c r="G253" s="224" t="s">
        <v>442</v>
      </c>
      <c r="H253" s="225" t="s">
        <v>667</v>
      </c>
      <c r="K253" s="248" t="s">
        <v>4059</v>
      </c>
      <c r="L253" s="249">
        <v>41004</v>
      </c>
      <c r="M253" s="225" t="s">
        <v>3958</v>
      </c>
      <c r="N253" s="250">
        <v>2013</v>
      </c>
      <c r="Q253" s="244"/>
      <c r="R253" s="245"/>
      <c r="AB253" s="231"/>
      <c r="AC253" s="231"/>
      <c r="AD253" s="231"/>
    </row>
    <row r="254" spans="1:30" x14ac:dyDescent="0.25">
      <c r="A254" s="309">
        <v>239</v>
      </c>
      <c r="B254" s="185" t="s">
        <v>3907</v>
      </c>
      <c r="C254" s="185"/>
      <c r="D254" s="187" t="s">
        <v>3908</v>
      </c>
      <c r="E254" s="188"/>
      <c r="F254" s="209"/>
      <c r="G254" s="224" t="s">
        <v>442</v>
      </c>
      <c r="H254" s="225" t="s">
        <v>667</v>
      </c>
      <c r="I254" s="186"/>
      <c r="K254" s="240"/>
      <c r="L254" s="241"/>
      <c r="M254" s="241"/>
      <c r="N254" s="243"/>
      <c r="O254" s="243"/>
      <c r="P254" s="243"/>
      <c r="Q254" s="244"/>
      <c r="R254" s="245"/>
      <c r="AB254" s="231"/>
      <c r="AC254" s="231"/>
      <c r="AD254" s="231"/>
    </row>
    <row r="255" spans="1:30" x14ac:dyDescent="0.25">
      <c r="A255" s="190">
        <v>240</v>
      </c>
      <c r="B255" s="186" t="s">
        <v>696</v>
      </c>
      <c r="C255" s="186"/>
      <c r="D255" s="210" t="s">
        <v>697</v>
      </c>
      <c r="E255" s="209"/>
      <c r="F255" s="209"/>
      <c r="G255" s="234" t="s">
        <v>442</v>
      </c>
      <c r="H255" s="231" t="s">
        <v>667</v>
      </c>
      <c r="I255" s="186"/>
      <c r="L255" s="231"/>
      <c r="M255" s="231"/>
      <c r="N255" s="242"/>
      <c r="Q255" s="244"/>
      <c r="R255" s="245"/>
      <c r="AB255" s="231"/>
      <c r="AC255" s="231"/>
      <c r="AD255" s="231"/>
    </row>
    <row r="256" spans="1:30" x14ac:dyDescent="0.25">
      <c r="A256" s="211">
        <v>241</v>
      </c>
      <c r="B256" s="197" t="s">
        <v>3909</v>
      </c>
      <c r="C256" s="197">
        <v>1</v>
      </c>
      <c r="D256" s="198" t="s">
        <v>758</v>
      </c>
      <c r="E256" s="199" t="s">
        <v>757</v>
      </c>
      <c r="F256" s="209"/>
      <c r="G256" s="228" t="s">
        <v>3934</v>
      </c>
      <c r="I256" s="186"/>
      <c r="K256" s="262" t="s">
        <v>4060</v>
      </c>
      <c r="L256" s="263">
        <v>40850</v>
      </c>
      <c r="M256" s="231" t="s">
        <v>4039</v>
      </c>
      <c r="N256" s="255"/>
    </row>
    <row r="257" spans="1:30" x14ac:dyDescent="0.25">
      <c r="A257" s="211">
        <v>242</v>
      </c>
      <c r="B257" s="193" t="s">
        <v>3909</v>
      </c>
      <c r="C257" s="193">
        <v>1</v>
      </c>
      <c r="D257" s="187" t="s">
        <v>563</v>
      </c>
      <c r="E257" s="195" t="s">
        <v>3910</v>
      </c>
      <c r="F257" s="209"/>
      <c r="G257" s="205" t="s">
        <v>442</v>
      </c>
      <c r="H257" s="227" t="s">
        <v>667</v>
      </c>
      <c r="I257" s="186"/>
      <c r="K257" s="248" t="s">
        <v>4060</v>
      </c>
      <c r="L257" s="249">
        <v>40850</v>
      </c>
      <c r="M257" s="225" t="s">
        <v>4039</v>
      </c>
      <c r="N257" s="252">
        <v>2011</v>
      </c>
      <c r="O257" s="243">
        <v>2012</v>
      </c>
      <c r="P257" s="243" t="s">
        <v>4061</v>
      </c>
      <c r="AC257" s="229" t="s">
        <v>4125</v>
      </c>
    </row>
    <row r="258" spans="1:30" x14ac:dyDescent="0.25">
      <c r="B258" s="193" t="s">
        <v>3911</v>
      </c>
      <c r="C258" s="193"/>
      <c r="D258" s="187" t="s">
        <v>719</v>
      </c>
      <c r="E258" s="195" t="s">
        <v>718</v>
      </c>
      <c r="F258" s="209"/>
      <c r="G258" s="205" t="s">
        <v>442</v>
      </c>
      <c r="H258" s="227" t="s">
        <v>3946</v>
      </c>
      <c r="I258" s="186"/>
      <c r="K258" s="248" t="s">
        <v>4062</v>
      </c>
      <c r="L258" s="249">
        <v>40525</v>
      </c>
      <c r="M258" s="225" t="s">
        <v>4039</v>
      </c>
      <c r="N258" s="273"/>
      <c r="O258" s="243">
        <v>2016</v>
      </c>
      <c r="P258" s="243" t="s">
        <v>4063</v>
      </c>
    </row>
    <row r="259" spans="1:30" x14ac:dyDescent="0.25">
      <c r="B259" s="193" t="s">
        <v>3911</v>
      </c>
      <c r="C259" s="193"/>
      <c r="D259" s="187" t="s">
        <v>721</v>
      </c>
      <c r="E259" s="195" t="s">
        <v>720</v>
      </c>
      <c r="F259" s="209"/>
      <c r="G259" s="205" t="s">
        <v>442</v>
      </c>
      <c r="H259" s="227" t="s">
        <v>3946</v>
      </c>
      <c r="I259" s="186"/>
      <c r="K259" s="248" t="s">
        <v>4062</v>
      </c>
      <c r="L259" s="249">
        <v>40525</v>
      </c>
      <c r="M259" s="225" t="s">
        <v>4039</v>
      </c>
      <c r="N259" s="273"/>
      <c r="O259" s="243">
        <v>2016</v>
      </c>
      <c r="P259" s="243" t="s">
        <v>4063</v>
      </c>
    </row>
    <row r="260" spans="1:30" x14ac:dyDescent="0.25">
      <c r="B260" s="193" t="s">
        <v>3912</v>
      </c>
      <c r="C260" s="193"/>
      <c r="D260" s="187" t="s">
        <v>716</v>
      </c>
      <c r="E260" s="195" t="s">
        <v>714</v>
      </c>
      <c r="F260" s="209"/>
      <c r="G260" s="205" t="s">
        <v>442</v>
      </c>
      <c r="H260" s="227" t="s">
        <v>3946</v>
      </c>
      <c r="I260" s="186"/>
      <c r="K260" s="248" t="s">
        <v>4062</v>
      </c>
      <c r="L260" s="249">
        <v>40525</v>
      </c>
      <c r="M260" s="225" t="s">
        <v>4039</v>
      </c>
      <c r="N260" s="273"/>
      <c r="O260" s="243">
        <v>2016</v>
      </c>
      <c r="P260" s="243" t="s">
        <v>4063</v>
      </c>
    </row>
    <row r="261" spans="1:30" x14ac:dyDescent="0.25">
      <c r="A261" s="190">
        <v>243</v>
      </c>
      <c r="B261" s="192" t="s">
        <v>3913</v>
      </c>
      <c r="C261" s="190"/>
      <c r="D261" s="187" t="s">
        <v>3914</v>
      </c>
      <c r="E261" s="188" t="s">
        <v>501</v>
      </c>
      <c r="F261" s="209"/>
      <c r="G261" s="224" t="s">
        <v>442</v>
      </c>
      <c r="H261" s="225" t="s">
        <v>3951</v>
      </c>
      <c r="K261" s="248" t="s">
        <v>4064</v>
      </c>
      <c r="L261" s="249">
        <v>40273</v>
      </c>
      <c r="M261" s="225" t="s">
        <v>4039</v>
      </c>
      <c r="N261" s="250">
        <v>2016</v>
      </c>
      <c r="O261" s="243">
        <v>2018</v>
      </c>
      <c r="P261" s="243" t="s">
        <v>4065</v>
      </c>
      <c r="Q261" s="244"/>
      <c r="R261" s="245"/>
      <c r="AB261" s="231"/>
      <c r="AC261" s="231" t="s">
        <v>4140</v>
      </c>
      <c r="AD261" s="231"/>
    </row>
    <row r="262" spans="1:30" x14ac:dyDescent="0.25">
      <c r="A262" s="190"/>
      <c r="B262" s="192" t="s">
        <v>3915</v>
      </c>
      <c r="C262" s="190"/>
      <c r="D262" s="187" t="s">
        <v>3916</v>
      </c>
      <c r="E262" s="188" t="s">
        <v>1403</v>
      </c>
      <c r="F262" s="209"/>
      <c r="G262" s="224" t="s">
        <v>442</v>
      </c>
      <c r="H262" s="225" t="s">
        <v>3952</v>
      </c>
      <c r="K262" s="248" t="s">
        <v>4066</v>
      </c>
      <c r="L262" s="249">
        <v>40175</v>
      </c>
      <c r="M262" s="225" t="s">
        <v>4039</v>
      </c>
      <c r="N262" s="250">
        <v>2012</v>
      </c>
      <c r="O262" s="243">
        <v>2013</v>
      </c>
      <c r="P262" s="243" t="s">
        <v>4067</v>
      </c>
      <c r="Q262" s="244"/>
      <c r="R262" s="245"/>
      <c r="AB262" s="231"/>
      <c r="AC262" s="231" t="s">
        <v>4141</v>
      </c>
      <c r="AD262" s="231"/>
    </row>
    <row r="263" spans="1:30" x14ac:dyDescent="0.25">
      <c r="A263" s="190"/>
      <c r="B263" s="192" t="s">
        <v>3917</v>
      </c>
      <c r="C263" s="190"/>
      <c r="D263" s="187"/>
      <c r="E263" s="188"/>
      <c r="F263" s="209"/>
      <c r="G263" s="224" t="s">
        <v>442</v>
      </c>
      <c r="H263" s="225" t="s">
        <v>667</v>
      </c>
      <c r="K263" s="248" t="s">
        <v>4068</v>
      </c>
      <c r="L263" s="249" t="s">
        <v>4069</v>
      </c>
      <c r="M263" s="225" t="s">
        <v>4039</v>
      </c>
      <c r="N263" s="250"/>
      <c r="O263" s="243"/>
      <c r="P263" s="243"/>
      <c r="Q263" s="244" t="s">
        <v>4070</v>
      </c>
      <c r="R263" s="245">
        <v>43489</v>
      </c>
      <c r="AB263" s="231"/>
      <c r="AC263" s="231"/>
      <c r="AD263" s="231" t="s">
        <v>4142</v>
      </c>
    </row>
    <row r="264" spans="1:30" x14ac:dyDescent="0.25">
      <c r="A264" s="190"/>
      <c r="B264" s="216" t="s">
        <v>3918</v>
      </c>
      <c r="C264" s="190"/>
      <c r="D264" s="217" t="s">
        <v>3919</v>
      </c>
      <c r="E264" s="218"/>
      <c r="F264" s="209"/>
      <c r="G264" s="237" t="s">
        <v>442</v>
      </c>
      <c r="H264" s="238" t="s">
        <v>667</v>
      </c>
      <c r="K264" s="240"/>
      <c r="L264" s="251"/>
      <c r="M264" s="241"/>
      <c r="N264" s="243"/>
      <c r="O264" s="243"/>
      <c r="P264" s="243"/>
      <c r="Q264" s="244" t="s">
        <v>4071</v>
      </c>
      <c r="R264" s="266" t="s">
        <v>3990</v>
      </c>
      <c r="AB264" s="231"/>
      <c r="AC264" s="231"/>
      <c r="AD264" s="231"/>
    </row>
    <row r="265" spans="1:30" x14ac:dyDescent="0.25">
      <c r="A265" s="190"/>
      <c r="B265" s="192" t="s">
        <v>3920</v>
      </c>
      <c r="C265" s="190"/>
      <c r="D265" s="187" t="s">
        <v>3921</v>
      </c>
      <c r="E265" s="188" t="s">
        <v>3922</v>
      </c>
      <c r="F265" s="209"/>
      <c r="G265" s="224" t="s">
        <v>442</v>
      </c>
      <c r="H265" s="225" t="s">
        <v>3953</v>
      </c>
      <c r="K265" s="248" t="s">
        <v>4072</v>
      </c>
      <c r="L265" s="249">
        <v>40942</v>
      </c>
      <c r="M265" s="225" t="s">
        <v>4039</v>
      </c>
      <c r="N265" s="250"/>
      <c r="O265" s="279">
        <v>2021</v>
      </c>
      <c r="P265" s="250" t="s">
        <v>4073</v>
      </c>
      <c r="Q265" s="277"/>
      <c r="R265" s="265"/>
      <c r="AB265" s="231"/>
      <c r="AC265" s="231"/>
      <c r="AD265" s="231"/>
    </row>
    <row r="266" spans="1:30" x14ac:dyDescent="0.25">
      <c r="A266" s="309">
        <v>246</v>
      </c>
      <c r="B266" s="201" t="s">
        <v>3923</v>
      </c>
      <c r="C266" s="201"/>
      <c r="D266" s="198" t="s">
        <v>760</v>
      </c>
      <c r="E266" s="202"/>
      <c r="F266" s="209"/>
      <c r="G266" s="230" t="s">
        <v>3934</v>
      </c>
      <c r="H266" s="231"/>
      <c r="I266" s="186"/>
      <c r="L266" s="263">
        <v>40273</v>
      </c>
      <c r="M266" s="231"/>
      <c r="N266" s="242"/>
      <c r="Q266" s="244"/>
      <c r="R266" s="245"/>
      <c r="AB266" s="231"/>
      <c r="AC266" s="231"/>
      <c r="AD266" s="231"/>
    </row>
    <row r="267" spans="1:30" x14ac:dyDescent="0.25">
      <c r="A267" s="190"/>
      <c r="B267" s="219" t="s">
        <v>3924</v>
      </c>
      <c r="C267" s="220"/>
      <c r="D267" s="221" t="s">
        <v>506</v>
      </c>
      <c r="E267" s="222" t="s">
        <v>505</v>
      </c>
      <c r="F267" s="345"/>
      <c r="G267" s="239" t="s">
        <v>442</v>
      </c>
      <c r="H267" s="227" t="s">
        <v>667</v>
      </c>
      <c r="I267" s="348"/>
      <c r="K267" s="248" t="s">
        <v>4074</v>
      </c>
      <c r="L267" s="249">
        <v>41047</v>
      </c>
      <c r="M267" s="225" t="s">
        <v>3958</v>
      </c>
      <c r="N267" s="285">
        <v>2015</v>
      </c>
      <c r="O267" s="286">
        <v>2016</v>
      </c>
      <c r="P267" s="243" t="s">
        <v>4075</v>
      </c>
      <c r="Q267" s="244"/>
      <c r="R267" s="245"/>
      <c r="AB267" s="231"/>
      <c r="AC267" s="231" t="s">
        <v>4104</v>
      </c>
      <c r="AD267" s="231"/>
    </row>
    <row r="268" spans="1:30" x14ac:dyDescent="0.25">
      <c r="A268" s="190">
        <v>248</v>
      </c>
      <c r="B268" s="185" t="s">
        <v>3925</v>
      </c>
      <c r="C268" s="186"/>
      <c r="D268" s="221" t="s">
        <v>3926</v>
      </c>
      <c r="E268" s="188" t="s">
        <v>591</v>
      </c>
      <c r="F268" s="345"/>
      <c r="G268" s="224" t="s">
        <v>442</v>
      </c>
      <c r="H268" s="227" t="s">
        <v>667</v>
      </c>
      <c r="I268" s="348"/>
      <c r="K268" s="258" t="s">
        <v>4076</v>
      </c>
      <c r="L268" s="259">
        <v>38936</v>
      </c>
      <c r="M268" s="259">
        <v>42589</v>
      </c>
      <c r="N268" s="269">
        <v>2010</v>
      </c>
      <c r="O268" s="287">
        <v>2011</v>
      </c>
      <c r="P268" s="287" t="s">
        <v>4077</v>
      </c>
      <c r="Q268" s="244"/>
      <c r="R268" s="245"/>
      <c r="AB268" s="231"/>
      <c r="AC268" s="231"/>
      <c r="AD268" s="231"/>
    </row>
    <row r="269" spans="1:30" x14ac:dyDescent="0.25">
      <c r="A269" s="190"/>
      <c r="B269" s="185" t="s">
        <v>3927</v>
      </c>
      <c r="C269" s="186"/>
      <c r="D269" s="221"/>
      <c r="E269" s="188"/>
      <c r="F269" s="345"/>
      <c r="G269" s="224"/>
      <c r="H269" s="227" t="s">
        <v>667</v>
      </c>
      <c r="I269" s="348"/>
      <c r="K269" s="248" t="s">
        <v>4078</v>
      </c>
      <c r="L269" s="249">
        <v>39223</v>
      </c>
      <c r="M269" s="225" t="s">
        <v>3958</v>
      </c>
      <c r="N269" s="247"/>
      <c r="O269" s="286">
        <v>2016</v>
      </c>
      <c r="P269" s="286" t="s">
        <v>4079</v>
      </c>
      <c r="Q269" s="244"/>
      <c r="R269" s="245"/>
      <c r="AB269" s="231"/>
      <c r="AC269" s="231"/>
      <c r="AD269" s="231"/>
    </row>
    <row r="270" spans="1:30" x14ac:dyDescent="0.25">
      <c r="A270" s="190">
        <v>250</v>
      </c>
      <c r="B270" s="201" t="s">
        <v>3928</v>
      </c>
      <c r="C270" s="201"/>
      <c r="D270" s="198">
        <v>8104453</v>
      </c>
      <c r="E270" s="202"/>
      <c r="F270" s="209"/>
      <c r="G270" s="230" t="s">
        <v>3954</v>
      </c>
      <c r="H270" s="231"/>
      <c r="I270" s="186"/>
      <c r="K270" s="262" t="s">
        <v>4080</v>
      </c>
      <c r="L270" s="263">
        <v>38867</v>
      </c>
      <c r="M270" s="251">
        <v>42520</v>
      </c>
      <c r="N270" s="242"/>
      <c r="Q270" s="244"/>
      <c r="R270" s="245"/>
      <c r="AB270" s="231"/>
      <c r="AC270" s="231"/>
      <c r="AD270" s="231"/>
    </row>
    <row r="271" spans="1:30" x14ac:dyDescent="0.25">
      <c r="A271" s="190"/>
      <c r="B271" s="203" t="s">
        <v>3929</v>
      </c>
      <c r="C271" s="213"/>
      <c r="D271" s="187" t="s">
        <v>700</v>
      </c>
      <c r="E271" s="188" t="s">
        <v>699</v>
      </c>
      <c r="F271" s="209"/>
      <c r="G271" s="224" t="s">
        <v>442</v>
      </c>
      <c r="H271" s="225" t="s">
        <v>667</v>
      </c>
      <c r="I271" s="186"/>
      <c r="K271" s="262" t="s">
        <v>4081</v>
      </c>
      <c r="L271" s="263">
        <v>38853</v>
      </c>
      <c r="M271" s="251">
        <v>42506</v>
      </c>
      <c r="N271" s="242">
        <v>2007</v>
      </c>
      <c r="O271" s="243">
        <v>2009</v>
      </c>
      <c r="P271" s="243" t="s">
        <v>4082</v>
      </c>
      <c r="Q271" s="288"/>
      <c r="R271" s="245" t="s">
        <v>3990</v>
      </c>
      <c r="AB271" s="231"/>
      <c r="AC271" s="231"/>
      <c r="AD271" s="231"/>
    </row>
    <row r="272" spans="1:30" x14ac:dyDescent="0.25">
      <c r="A272" s="190"/>
      <c r="B272" s="203" t="s">
        <v>3930</v>
      </c>
      <c r="C272" s="185"/>
      <c r="D272" s="187" t="s">
        <v>595</v>
      </c>
      <c r="E272" s="188" t="s">
        <v>594</v>
      </c>
      <c r="F272" s="209"/>
      <c r="G272" s="224" t="s">
        <v>442</v>
      </c>
      <c r="H272" s="225" t="s">
        <v>667</v>
      </c>
      <c r="I272" s="186"/>
      <c r="K272" s="240" t="s">
        <v>4083</v>
      </c>
      <c r="L272" s="251">
        <v>38853</v>
      </c>
      <c r="M272" s="251">
        <v>42506</v>
      </c>
      <c r="N272" s="250">
        <v>2013</v>
      </c>
      <c r="O272" s="243">
        <v>2015</v>
      </c>
      <c r="P272" s="243" t="s">
        <v>4084</v>
      </c>
      <c r="Q272" s="277">
        <v>12</v>
      </c>
      <c r="R272" s="265" t="s">
        <v>4085</v>
      </c>
      <c r="AB272" s="231"/>
      <c r="AC272" s="231"/>
      <c r="AD272" s="231" t="s">
        <v>4143</v>
      </c>
    </row>
    <row r="273" spans="1:30" x14ac:dyDescent="0.25">
      <c r="A273" s="211">
        <v>140</v>
      </c>
      <c r="B273" s="203" t="s">
        <v>3930</v>
      </c>
      <c r="C273" s="203">
        <v>2</v>
      </c>
      <c r="D273" s="187" t="s">
        <v>762</v>
      </c>
      <c r="E273" s="195" t="s">
        <v>761</v>
      </c>
      <c r="F273" s="209"/>
      <c r="G273" s="227" t="s">
        <v>442</v>
      </c>
      <c r="H273" s="227" t="s">
        <v>667</v>
      </c>
      <c r="K273" s="240" t="s">
        <v>4083</v>
      </c>
      <c r="L273" s="251">
        <v>38853</v>
      </c>
      <c r="M273" s="251">
        <v>42506</v>
      </c>
      <c r="N273" s="203">
        <v>2006</v>
      </c>
      <c r="O273" s="243">
        <v>2009</v>
      </c>
      <c r="P273" s="243" t="s">
        <v>4082</v>
      </c>
      <c r="Q273" s="276">
        <v>12</v>
      </c>
      <c r="R273" s="267" t="s">
        <v>3987</v>
      </c>
      <c r="S273" s="311" t="s">
        <v>4177</v>
      </c>
      <c r="T273" s="245">
        <v>41921</v>
      </c>
      <c r="U273" s="231" t="s">
        <v>4178</v>
      </c>
      <c r="Z273" s="231">
        <v>1</v>
      </c>
      <c r="AA273" s="231" t="s">
        <v>4179</v>
      </c>
    </row>
    <row r="274" spans="1:30" ht="30" x14ac:dyDescent="0.25">
      <c r="A274" s="190"/>
      <c r="B274" s="185" t="s">
        <v>3931</v>
      </c>
      <c r="C274" s="186"/>
      <c r="D274" s="187" t="s">
        <v>511</v>
      </c>
      <c r="E274" s="223">
        <v>87</v>
      </c>
      <c r="F274" s="262"/>
      <c r="G274" s="224" t="s">
        <v>442</v>
      </c>
      <c r="H274" s="225" t="s">
        <v>667</v>
      </c>
      <c r="I274" s="186"/>
      <c r="K274" s="248" t="s">
        <v>4086</v>
      </c>
      <c r="L274" s="249">
        <v>41145</v>
      </c>
      <c r="M274" s="225" t="s">
        <v>3958</v>
      </c>
      <c r="N274" s="242">
        <v>2013</v>
      </c>
      <c r="O274" s="243">
        <v>2017</v>
      </c>
      <c r="P274" s="243" t="s">
        <v>4087</v>
      </c>
      <c r="Q274" s="244"/>
      <c r="R274" s="245"/>
      <c r="AB274" s="231"/>
      <c r="AC274" s="231" t="s">
        <v>4140</v>
      </c>
      <c r="AD274" s="231"/>
    </row>
    <row r="275" spans="1:30" x14ac:dyDescent="0.25">
      <c r="A275" s="190">
        <v>259</v>
      </c>
      <c r="B275" s="211" t="s">
        <v>4173</v>
      </c>
      <c r="D275" s="148" t="s">
        <v>4455</v>
      </c>
      <c r="E275" s="292" t="s">
        <v>4456</v>
      </c>
      <c r="F275" s="292"/>
      <c r="G275" s="231" t="s">
        <v>4457</v>
      </c>
      <c r="H275" s="231" t="s">
        <v>4458</v>
      </c>
      <c r="I275" s="211"/>
      <c r="K275" s="262" t="s">
        <v>4176</v>
      </c>
      <c r="L275" s="310">
        <v>38128</v>
      </c>
      <c r="M275" s="263">
        <v>41780</v>
      </c>
      <c r="N275" s="190">
        <v>2007</v>
      </c>
      <c r="Q275" s="244">
        <v>12</v>
      </c>
      <c r="R275" s="245">
        <v>41556</v>
      </c>
      <c r="S275" s="311" t="s">
        <v>4177</v>
      </c>
      <c r="T275" s="245">
        <v>41921</v>
      </c>
      <c r="U275" s="231" t="s">
        <v>4178</v>
      </c>
      <c r="Z275" s="231">
        <v>1</v>
      </c>
      <c r="AA275" s="231" t="s">
        <v>4179</v>
      </c>
      <c r="AB275" s="231"/>
      <c r="AC275" s="231"/>
      <c r="AD275" s="231"/>
    </row>
    <row r="276" spans="1:30" x14ac:dyDescent="0.25">
      <c r="A276" s="309">
        <v>260</v>
      </c>
      <c r="B276" s="190" t="s">
        <v>4181</v>
      </c>
      <c r="C276" s="190"/>
      <c r="D276" s="292"/>
      <c r="E276" s="292" t="s">
        <v>4459</v>
      </c>
      <c r="F276" s="292"/>
      <c r="G276" s="231" t="s">
        <v>4457</v>
      </c>
      <c r="H276" s="231" t="s">
        <v>4183</v>
      </c>
      <c r="L276" s="231"/>
      <c r="M276" s="231"/>
      <c r="N276" s="242"/>
      <c r="Q276" s="244">
        <v>12</v>
      </c>
      <c r="R276" s="245">
        <v>42248</v>
      </c>
      <c r="S276" s="311" t="s">
        <v>4177</v>
      </c>
      <c r="T276" s="245">
        <v>41186</v>
      </c>
      <c r="U276" s="231" t="s">
        <v>4179</v>
      </c>
      <c r="Z276" s="231">
        <v>1</v>
      </c>
      <c r="AA276" s="231" t="s">
        <v>4179</v>
      </c>
      <c r="AB276" s="231"/>
      <c r="AC276" s="231"/>
      <c r="AD276" s="231"/>
    </row>
    <row r="277" spans="1:30" x14ac:dyDescent="0.25">
      <c r="A277" s="309"/>
      <c r="B277" s="190" t="s">
        <v>4184</v>
      </c>
      <c r="C277" s="190"/>
      <c r="D277" s="292"/>
      <c r="E277" s="292" t="s">
        <v>4460</v>
      </c>
      <c r="F277" s="292"/>
      <c r="G277" s="231" t="s">
        <v>4457</v>
      </c>
      <c r="H277" s="231" t="s">
        <v>4458</v>
      </c>
      <c r="L277" s="231"/>
      <c r="M277" s="231"/>
      <c r="N277" s="242"/>
      <c r="Q277" s="244">
        <v>12</v>
      </c>
      <c r="R277" s="245">
        <v>42248</v>
      </c>
      <c r="T277" s="245"/>
      <c r="AB277" s="231"/>
      <c r="AC277" s="231"/>
      <c r="AD277" s="231"/>
    </row>
    <row r="278" spans="1:30" x14ac:dyDescent="0.25">
      <c r="A278" s="190">
        <v>261</v>
      </c>
      <c r="B278" s="211" t="s">
        <v>4199</v>
      </c>
      <c r="D278" s="292" t="s">
        <v>3034</v>
      </c>
      <c r="F278" s="292"/>
      <c r="G278" s="231" t="s">
        <v>4457</v>
      </c>
      <c r="H278" s="231" t="s">
        <v>4200</v>
      </c>
      <c r="I278" s="211"/>
      <c r="K278" s="262" t="s">
        <v>4201</v>
      </c>
      <c r="L278" s="231" t="s">
        <v>4202</v>
      </c>
      <c r="M278" s="231" t="s">
        <v>3958</v>
      </c>
      <c r="N278" s="242"/>
      <c r="Q278" s="244">
        <v>12</v>
      </c>
      <c r="R278" s="245">
        <v>40820</v>
      </c>
      <c r="S278" s="311" t="s">
        <v>4192</v>
      </c>
      <c r="T278" s="245">
        <v>41186</v>
      </c>
      <c r="U278" s="231" t="s">
        <v>4193</v>
      </c>
      <c r="Z278" s="231">
        <v>1</v>
      </c>
      <c r="AA278" s="231" t="s">
        <v>4179</v>
      </c>
      <c r="AB278" s="231"/>
      <c r="AC278" s="231"/>
      <c r="AD278" s="231"/>
    </row>
    <row r="279" spans="1:30" x14ac:dyDescent="0.25">
      <c r="A279" s="190">
        <v>262</v>
      </c>
      <c r="B279" s="211" t="s">
        <v>4199</v>
      </c>
      <c r="D279" s="292" t="s">
        <v>3034</v>
      </c>
      <c r="F279" s="292"/>
      <c r="G279" s="231" t="s">
        <v>4457</v>
      </c>
      <c r="H279" s="231" t="s">
        <v>4200</v>
      </c>
      <c r="I279" s="211"/>
      <c r="K279" s="262" t="s">
        <v>4201</v>
      </c>
      <c r="L279" s="231" t="s">
        <v>4202</v>
      </c>
      <c r="M279" s="231" t="s">
        <v>3958</v>
      </c>
      <c r="N279" s="242"/>
      <c r="Q279" s="244"/>
      <c r="R279" s="245"/>
      <c r="T279" s="245"/>
      <c r="AB279" s="231"/>
      <c r="AC279" s="231"/>
      <c r="AD279" s="231"/>
    </row>
    <row r="280" spans="1:30" x14ac:dyDescent="0.25">
      <c r="A280" s="190">
        <v>263</v>
      </c>
      <c r="B280" s="211" t="s">
        <v>4199</v>
      </c>
      <c r="D280" s="292" t="s">
        <v>3034</v>
      </c>
      <c r="F280" s="292"/>
      <c r="G280" s="231" t="s">
        <v>4457</v>
      </c>
      <c r="H280" s="231" t="s">
        <v>4200</v>
      </c>
      <c r="I280" s="211"/>
      <c r="K280" s="262" t="s">
        <v>4201</v>
      </c>
      <c r="L280" s="231" t="s">
        <v>4202</v>
      </c>
      <c r="M280" s="231" t="s">
        <v>3958</v>
      </c>
      <c r="N280" s="242"/>
      <c r="Q280" s="244"/>
      <c r="R280" s="245"/>
      <c r="T280" s="245"/>
      <c r="AB280" s="231"/>
      <c r="AC280" s="231"/>
      <c r="AD280" s="231"/>
    </row>
    <row r="281" spans="1:30" x14ac:dyDescent="0.25">
      <c r="A281" s="190">
        <v>264</v>
      </c>
      <c r="B281" s="211" t="s">
        <v>4199</v>
      </c>
      <c r="D281" s="292" t="s">
        <v>3034</v>
      </c>
      <c r="F281" s="292"/>
      <c r="G281" s="231" t="s">
        <v>4457</v>
      </c>
      <c r="H281" s="231" t="s">
        <v>4200</v>
      </c>
      <c r="I281" s="211"/>
      <c r="K281" s="262" t="s">
        <v>4201</v>
      </c>
      <c r="L281" s="231" t="s">
        <v>4202</v>
      </c>
      <c r="M281" s="231" t="s">
        <v>3958</v>
      </c>
      <c r="N281" s="242"/>
      <c r="Q281" s="244"/>
      <c r="R281" s="245"/>
      <c r="T281" s="245"/>
      <c r="AB281" s="231"/>
      <c r="AC281" s="231"/>
      <c r="AD281" s="231"/>
    </row>
    <row r="282" spans="1:30" x14ac:dyDescent="0.25">
      <c r="A282" s="190">
        <v>265</v>
      </c>
      <c r="B282" s="211" t="s">
        <v>4199</v>
      </c>
      <c r="D282" s="292" t="s">
        <v>3034</v>
      </c>
      <c r="F282" s="292"/>
      <c r="G282" s="231" t="s">
        <v>4457</v>
      </c>
      <c r="H282" s="231" t="s">
        <v>4200</v>
      </c>
      <c r="I282" s="211"/>
      <c r="K282" s="262" t="s">
        <v>4201</v>
      </c>
      <c r="L282" s="231" t="s">
        <v>4202</v>
      </c>
      <c r="M282" s="231" t="s">
        <v>3958</v>
      </c>
      <c r="N282" s="242"/>
      <c r="Q282" s="244"/>
      <c r="R282" s="245"/>
      <c r="T282" s="245"/>
      <c r="AB282" s="231"/>
      <c r="AC282" s="231"/>
      <c r="AD282" s="231"/>
    </row>
    <row r="283" spans="1:30" x14ac:dyDescent="0.25">
      <c r="A283" s="190">
        <v>266</v>
      </c>
      <c r="B283" s="211" t="s">
        <v>4199</v>
      </c>
      <c r="D283" s="292" t="s">
        <v>3034</v>
      </c>
      <c r="F283" s="292"/>
      <c r="G283" s="231" t="s">
        <v>4457</v>
      </c>
      <c r="H283" s="231" t="s">
        <v>4200</v>
      </c>
      <c r="I283" s="211"/>
      <c r="K283" s="262" t="s">
        <v>4201</v>
      </c>
      <c r="L283" s="231" t="s">
        <v>4202</v>
      </c>
      <c r="M283" s="231" t="s">
        <v>3958</v>
      </c>
      <c r="N283" s="242"/>
      <c r="Q283" s="244"/>
      <c r="R283" s="245"/>
      <c r="T283" s="245"/>
      <c r="AB283" s="231"/>
      <c r="AC283" s="231"/>
      <c r="AD283" s="231"/>
    </row>
    <row r="284" spans="1:30" x14ac:dyDescent="0.25">
      <c r="A284" s="309">
        <v>267</v>
      </c>
      <c r="B284" s="211" t="s">
        <v>4199</v>
      </c>
      <c r="D284" s="292" t="s">
        <v>3034</v>
      </c>
      <c r="F284" s="292"/>
      <c r="G284" s="231" t="s">
        <v>4457</v>
      </c>
      <c r="H284" s="231" t="s">
        <v>4200</v>
      </c>
      <c r="I284" s="211"/>
      <c r="K284" s="262" t="s">
        <v>4201</v>
      </c>
      <c r="L284" s="231" t="s">
        <v>4202</v>
      </c>
      <c r="M284" s="231" t="s">
        <v>3958</v>
      </c>
      <c r="N284" s="242"/>
      <c r="Q284" s="244"/>
      <c r="R284" s="245"/>
      <c r="T284" s="245"/>
      <c r="AB284" s="231"/>
      <c r="AC284" s="231"/>
      <c r="AD284" s="231"/>
    </row>
    <row r="285" spans="1:30" x14ac:dyDescent="0.25">
      <c r="A285" s="190">
        <v>268</v>
      </c>
      <c r="B285" s="211" t="s">
        <v>4199</v>
      </c>
      <c r="D285" s="292" t="s">
        <v>3034</v>
      </c>
      <c r="F285" s="292"/>
      <c r="G285" s="231" t="s">
        <v>4457</v>
      </c>
      <c r="H285" s="231" t="s">
        <v>4200</v>
      </c>
      <c r="I285" s="211"/>
      <c r="K285" s="262" t="s">
        <v>4201</v>
      </c>
      <c r="L285" s="231" t="s">
        <v>4202</v>
      </c>
      <c r="M285" s="231" t="s">
        <v>3958</v>
      </c>
      <c r="N285" s="242"/>
      <c r="Q285" s="244"/>
      <c r="R285" s="245"/>
      <c r="T285" s="245"/>
      <c r="AB285" s="231"/>
      <c r="AC285" s="231"/>
      <c r="AD285" s="231"/>
    </row>
    <row r="286" spans="1:30" x14ac:dyDescent="0.25">
      <c r="A286" s="190">
        <v>269</v>
      </c>
      <c r="B286" s="211" t="s">
        <v>4199</v>
      </c>
      <c r="D286" s="292" t="s">
        <v>3034</v>
      </c>
      <c r="F286" s="292"/>
      <c r="G286" s="231" t="s">
        <v>4457</v>
      </c>
      <c r="H286" s="231" t="s">
        <v>4200</v>
      </c>
      <c r="I286" s="211"/>
      <c r="K286" s="262" t="s">
        <v>4201</v>
      </c>
      <c r="L286" s="231" t="s">
        <v>4202</v>
      </c>
      <c r="M286" s="231" t="s">
        <v>3958</v>
      </c>
      <c r="N286" s="242"/>
      <c r="Q286" s="244"/>
      <c r="R286" s="245"/>
      <c r="T286" s="245"/>
      <c r="AB286" s="231"/>
      <c r="AC286" s="231"/>
      <c r="AD286" s="231"/>
    </row>
    <row r="287" spans="1:30" x14ac:dyDescent="0.25">
      <c r="A287" s="190">
        <v>270</v>
      </c>
      <c r="B287" s="186" t="s">
        <v>4207</v>
      </c>
      <c r="C287" s="186"/>
      <c r="D287" s="349" t="s">
        <v>4461</v>
      </c>
      <c r="E287" s="350"/>
      <c r="F287" s="350"/>
      <c r="G287" s="231" t="s">
        <v>4457</v>
      </c>
      <c r="H287" s="231" t="s">
        <v>4462</v>
      </c>
      <c r="I287" s="186"/>
      <c r="K287" s="262" t="s">
        <v>4049</v>
      </c>
      <c r="L287" s="263">
        <v>38944</v>
      </c>
      <c r="M287" s="263">
        <v>40770</v>
      </c>
      <c r="N287" s="351"/>
      <c r="O287" s="351"/>
      <c r="P287" s="351"/>
      <c r="Q287" s="244"/>
      <c r="R287" s="245"/>
      <c r="T287" s="245"/>
      <c r="AB287" s="231"/>
      <c r="AC287" s="231"/>
      <c r="AD287" s="231"/>
    </row>
    <row r="288" spans="1:30" x14ac:dyDescent="0.25">
      <c r="A288" s="190">
        <v>271</v>
      </c>
      <c r="B288" s="186" t="s">
        <v>4207</v>
      </c>
      <c r="C288" s="186"/>
      <c r="D288" s="349" t="s">
        <v>4461</v>
      </c>
      <c r="E288" s="350"/>
      <c r="F288" s="350"/>
      <c r="G288" s="231" t="s">
        <v>4457</v>
      </c>
      <c r="H288" s="231" t="s">
        <v>4210</v>
      </c>
      <c r="I288" s="186"/>
      <c r="K288" s="262" t="s">
        <v>4049</v>
      </c>
      <c r="L288" s="263">
        <v>38944</v>
      </c>
      <c r="M288" s="263">
        <v>40770</v>
      </c>
      <c r="N288" s="351"/>
      <c r="O288" s="351"/>
      <c r="P288" s="351"/>
      <c r="Q288" s="244"/>
      <c r="R288" s="245"/>
      <c r="T288" s="245"/>
      <c r="AB288" s="231"/>
      <c r="AC288" s="231"/>
      <c r="AD288" s="231"/>
    </row>
    <row r="289" spans="1:30" x14ac:dyDescent="0.25">
      <c r="A289" s="190">
        <v>272</v>
      </c>
      <c r="B289" s="186" t="s">
        <v>4207</v>
      </c>
      <c r="C289" s="186"/>
      <c r="D289" s="349" t="s">
        <v>4463</v>
      </c>
      <c r="E289" s="350">
        <v>14573</v>
      </c>
      <c r="F289" s="350"/>
      <c r="G289" s="231" t="s">
        <v>4457</v>
      </c>
      <c r="H289" s="231" t="s">
        <v>4210</v>
      </c>
      <c r="I289" s="186"/>
      <c r="K289" s="262" t="s">
        <v>4049</v>
      </c>
      <c r="L289" s="263">
        <v>38944</v>
      </c>
      <c r="M289" s="263">
        <v>40770</v>
      </c>
      <c r="N289" s="351"/>
      <c r="O289" s="351"/>
      <c r="P289" s="351"/>
      <c r="Q289" s="244"/>
      <c r="R289" s="245"/>
      <c r="T289" s="245"/>
      <c r="AB289" s="231"/>
      <c r="AC289" s="231"/>
      <c r="AD289" s="231"/>
    </row>
    <row r="290" spans="1:30" x14ac:dyDescent="0.25">
      <c r="A290" s="190">
        <v>273</v>
      </c>
      <c r="B290" s="147" t="s">
        <v>3885</v>
      </c>
      <c r="C290" s="147"/>
      <c r="D290" s="349" t="s">
        <v>4464</v>
      </c>
      <c r="E290" s="350"/>
      <c r="F290" s="350"/>
      <c r="G290" s="231" t="s">
        <v>4457</v>
      </c>
      <c r="H290" s="231" t="s">
        <v>4458</v>
      </c>
      <c r="I290" s="147"/>
      <c r="K290" s="262" t="s">
        <v>4047</v>
      </c>
      <c r="L290" s="263">
        <v>41272</v>
      </c>
      <c r="M290" s="231" t="s">
        <v>3958</v>
      </c>
      <c r="N290" s="351"/>
      <c r="O290" s="351"/>
      <c r="P290" s="351"/>
      <c r="Q290" s="244"/>
      <c r="R290" s="245"/>
      <c r="T290" s="245"/>
      <c r="AB290" s="231"/>
      <c r="AC290" s="231"/>
      <c r="AD290" s="231"/>
    </row>
    <row r="291" spans="1:30" x14ac:dyDescent="0.25">
      <c r="A291" s="309">
        <v>274</v>
      </c>
      <c r="B291" s="147" t="s">
        <v>3885</v>
      </c>
      <c r="C291" s="147"/>
      <c r="D291" s="349" t="s">
        <v>4465</v>
      </c>
      <c r="E291" s="350"/>
      <c r="F291" s="350"/>
      <c r="G291" s="231" t="s">
        <v>4457</v>
      </c>
      <c r="H291" s="231"/>
      <c r="I291" s="147"/>
      <c r="K291" s="262" t="s">
        <v>4047</v>
      </c>
      <c r="L291" s="263">
        <v>41272</v>
      </c>
      <c r="M291" s="231" t="s">
        <v>3958</v>
      </c>
      <c r="N291" s="351"/>
      <c r="O291" s="351"/>
      <c r="P291" s="351"/>
      <c r="Q291" s="244"/>
      <c r="R291" s="245"/>
      <c r="T291" s="245"/>
      <c r="AB291" s="231"/>
      <c r="AC291" s="231"/>
      <c r="AD291" s="231"/>
    </row>
    <row r="292" spans="1:30" x14ac:dyDescent="0.25">
      <c r="A292" s="190">
        <v>275</v>
      </c>
      <c r="B292" s="147" t="s">
        <v>3885</v>
      </c>
      <c r="C292" s="147"/>
      <c r="D292" s="349" t="s">
        <v>4466</v>
      </c>
      <c r="E292" s="350"/>
      <c r="F292" s="350"/>
      <c r="G292" s="231" t="s">
        <v>4457</v>
      </c>
      <c r="H292" s="231"/>
      <c r="I292" s="147"/>
      <c r="K292" s="262" t="s">
        <v>4047</v>
      </c>
      <c r="L292" s="263">
        <v>41272</v>
      </c>
      <c r="M292" s="231" t="s">
        <v>3958</v>
      </c>
      <c r="N292" s="351"/>
      <c r="O292" s="351"/>
      <c r="P292" s="351"/>
      <c r="Q292" s="244"/>
      <c r="R292" s="245"/>
      <c r="T292" s="245"/>
      <c r="AB292" s="231"/>
      <c r="AC292" s="231"/>
      <c r="AD292" s="231"/>
    </row>
    <row r="293" spans="1:30" x14ac:dyDescent="0.25">
      <c r="A293" s="190">
        <v>276</v>
      </c>
      <c r="B293" s="147" t="s">
        <v>4467</v>
      </c>
      <c r="C293" s="147"/>
      <c r="D293" s="349" t="s">
        <v>4468</v>
      </c>
      <c r="E293" s="350" t="s">
        <v>4469</v>
      </c>
      <c r="F293" s="350"/>
      <c r="G293" s="231" t="s">
        <v>4457</v>
      </c>
      <c r="H293" s="231" t="s">
        <v>4458</v>
      </c>
      <c r="I293" s="147"/>
      <c r="K293" s="352"/>
      <c r="L293" s="353"/>
      <c r="M293" s="353"/>
      <c r="N293" s="351">
        <v>2007</v>
      </c>
      <c r="O293" s="351"/>
      <c r="P293" s="351"/>
      <c r="Q293" s="244"/>
      <c r="R293" s="245"/>
      <c r="T293" s="245"/>
      <c r="AB293" s="231"/>
      <c r="AC293" s="231"/>
      <c r="AD293" s="231"/>
    </row>
    <row r="294" spans="1:30" x14ac:dyDescent="0.25">
      <c r="A294" s="190">
        <v>277</v>
      </c>
      <c r="B294" s="190" t="s">
        <v>4470</v>
      </c>
      <c r="C294" s="190">
        <v>7</v>
      </c>
      <c r="D294" s="349" t="s">
        <v>4471</v>
      </c>
      <c r="E294" s="209" t="s">
        <v>4472</v>
      </c>
      <c r="F294" s="209"/>
      <c r="G294" s="231" t="s">
        <v>4473</v>
      </c>
      <c r="H294" s="231">
        <v>1</v>
      </c>
      <c r="K294" s="262" t="s">
        <v>4474</v>
      </c>
      <c r="L294" s="231"/>
      <c r="M294" s="231"/>
      <c r="N294" s="242">
        <v>2003</v>
      </c>
      <c r="Q294" s="244">
        <v>12</v>
      </c>
      <c r="R294" s="245">
        <v>41883</v>
      </c>
      <c r="S294" s="311" t="s">
        <v>4189</v>
      </c>
      <c r="T294" s="245"/>
      <c r="U294" s="231" t="s">
        <v>4475</v>
      </c>
      <c r="Z294" s="231">
        <v>1</v>
      </c>
      <c r="AA294" s="231" t="s">
        <v>4190</v>
      </c>
      <c r="AB294" s="231"/>
      <c r="AC294" s="231"/>
      <c r="AD294" s="231"/>
    </row>
    <row r="295" spans="1:30" x14ac:dyDescent="0.25">
      <c r="A295" s="190">
        <v>278</v>
      </c>
      <c r="B295" s="147" t="s">
        <v>4476</v>
      </c>
      <c r="C295" s="147">
        <v>7</v>
      </c>
      <c r="D295" s="349" t="s">
        <v>4477</v>
      </c>
      <c r="E295" s="148" t="s">
        <v>4478</v>
      </c>
      <c r="F295" s="148"/>
      <c r="G295" s="231" t="s">
        <v>4473</v>
      </c>
      <c r="H295" s="231">
        <v>1</v>
      </c>
      <c r="I295" s="147"/>
      <c r="K295" s="304" t="s">
        <v>4474</v>
      </c>
      <c r="L295" s="229"/>
      <c r="M295" s="229"/>
      <c r="N295" s="354">
        <v>2003</v>
      </c>
      <c r="O295" s="354"/>
      <c r="P295" s="354"/>
      <c r="Q295" s="244">
        <v>12</v>
      </c>
      <c r="R295" s="245">
        <v>41883</v>
      </c>
      <c r="S295" s="311" t="s">
        <v>4189</v>
      </c>
      <c r="T295" s="245"/>
      <c r="U295" s="231" t="s">
        <v>4475</v>
      </c>
      <c r="Z295" s="231">
        <v>1</v>
      </c>
      <c r="AA295" s="231" t="s">
        <v>4190</v>
      </c>
      <c r="AB295" s="231"/>
      <c r="AC295" s="231"/>
      <c r="AD295" s="231"/>
    </row>
    <row r="296" spans="1:30" x14ac:dyDescent="0.25">
      <c r="A296" s="190">
        <v>279</v>
      </c>
      <c r="B296" s="147" t="s">
        <v>4479</v>
      </c>
      <c r="C296" s="147">
        <v>1</v>
      </c>
      <c r="D296" s="148" t="s">
        <v>4480</v>
      </c>
      <c r="E296" s="148" t="s">
        <v>4481</v>
      </c>
      <c r="F296" s="148"/>
      <c r="G296" s="231" t="s">
        <v>4473</v>
      </c>
      <c r="H296" s="231">
        <v>2</v>
      </c>
      <c r="I296" s="147"/>
      <c r="K296" s="304"/>
      <c r="L296" s="229"/>
      <c r="M296" s="229"/>
      <c r="N296" s="354">
        <v>2011</v>
      </c>
      <c r="O296" s="354"/>
      <c r="P296" s="354"/>
      <c r="Q296" s="244">
        <v>12</v>
      </c>
      <c r="R296" s="245">
        <v>41883</v>
      </c>
      <c r="S296" s="311" t="s">
        <v>4189</v>
      </c>
      <c r="T296" s="245"/>
      <c r="U296" s="231" t="s">
        <v>4475</v>
      </c>
      <c r="Z296" s="231">
        <v>1</v>
      </c>
      <c r="AA296" s="231" t="s">
        <v>4190</v>
      </c>
      <c r="AB296" s="231"/>
      <c r="AC296" s="231"/>
      <c r="AD296" s="231"/>
    </row>
    <row r="297" spans="1:30" x14ac:dyDescent="0.25">
      <c r="A297" s="190">
        <v>280</v>
      </c>
      <c r="B297" s="147" t="s">
        <v>3654</v>
      </c>
      <c r="C297" s="147">
        <v>7</v>
      </c>
      <c r="D297" s="349" t="s">
        <v>4482</v>
      </c>
      <c r="E297" s="148" t="s">
        <v>4483</v>
      </c>
      <c r="F297" s="148"/>
      <c r="G297" s="231" t="s">
        <v>4473</v>
      </c>
      <c r="H297" s="231">
        <v>2</v>
      </c>
      <c r="I297" s="147"/>
      <c r="K297" s="304" t="s">
        <v>4484</v>
      </c>
      <c r="L297" s="355">
        <v>40987</v>
      </c>
      <c r="M297" s="229" t="s">
        <v>3958</v>
      </c>
      <c r="N297" s="354">
        <v>2010</v>
      </c>
      <c r="O297" s="354"/>
      <c r="P297" s="354"/>
      <c r="Q297" s="244">
        <v>12</v>
      </c>
      <c r="R297" s="245">
        <v>41883</v>
      </c>
      <c r="S297" s="311" t="s">
        <v>4189</v>
      </c>
      <c r="T297" s="245"/>
      <c r="U297" s="231" t="s">
        <v>4475</v>
      </c>
      <c r="Z297" s="231">
        <v>1</v>
      </c>
      <c r="AA297" s="231" t="s">
        <v>4190</v>
      </c>
      <c r="AB297" s="231"/>
      <c r="AC297" s="231"/>
      <c r="AD297" s="231"/>
    </row>
    <row r="298" spans="1:30" x14ac:dyDescent="0.25">
      <c r="A298" s="309">
        <v>281</v>
      </c>
      <c r="B298" s="147" t="s">
        <v>4485</v>
      </c>
      <c r="C298" s="147">
        <v>7</v>
      </c>
      <c r="D298" s="349" t="s">
        <v>4486</v>
      </c>
      <c r="E298" s="209"/>
      <c r="F298" s="209"/>
      <c r="G298" s="231" t="s">
        <v>4473</v>
      </c>
      <c r="H298" s="231">
        <v>2</v>
      </c>
      <c r="I298" s="147"/>
      <c r="K298" s="304" t="s">
        <v>4487</v>
      </c>
      <c r="L298" s="356">
        <v>40525</v>
      </c>
      <c r="M298" s="304" t="s">
        <v>3958</v>
      </c>
      <c r="N298" s="354">
        <v>2012</v>
      </c>
      <c r="O298" s="354"/>
      <c r="P298" s="354"/>
      <c r="Q298" s="244">
        <v>12</v>
      </c>
      <c r="R298" s="245">
        <v>41883</v>
      </c>
      <c r="S298" s="311" t="s">
        <v>4189</v>
      </c>
      <c r="T298" s="245"/>
      <c r="U298" s="231" t="s">
        <v>4475</v>
      </c>
      <c r="Z298" s="231">
        <v>1</v>
      </c>
      <c r="AA298" s="231" t="s">
        <v>4488</v>
      </c>
      <c r="AB298" s="231" t="s">
        <v>4088</v>
      </c>
      <c r="AC298" s="231"/>
      <c r="AD298" s="231"/>
    </row>
    <row r="299" spans="1:30" x14ac:dyDescent="0.25">
      <c r="A299" s="190">
        <v>282</v>
      </c>
      <c r="B299" s="147" t="s">
        <v>4489</v>
      </c>
      <c r="C299" s="147"/>
      <c r="D299" s="349" t="s">
        <v>4486</v>
      </c>
      <c r="E299" s="209" t="s">
        <v>4490</v>
      </c>
      <c r="F299" s="209"/>
      <c r="G299" s="231" t="s">
        <v>4473</v>
      </c>
      <c r="H299" s="231">
        <v>2</v>
      </c>
      <c r="I299" s="147"/>
      <c r="K299" s="304" t="s">
        <v>4487</v>
      </c>
      <c r="L299" s="356">
        <v>40525</v>
      </c>
      <c r="M299" s="304" t="s">
        <v>3958</v>
      </c>
      <c r="N299" s="354">
        <v>2012</v>
      </c>
      <c r="O299" s="354"/>
      <c r="P299" s="354"/>
      <c r="Q299" s="244"/>
      <c r="R299" s="245"/>
      <c r="T299" s="245"/>
      <c r="AB299" s="231"/>
      <c r="AC299" s="231"/>
      <c r="AD299" s="231"/>
    </row>
    <row r="300" spans="1:30" x14ac:dyDescent="0.25">
      <c r="A300" s="190">
        <v>283</v>
      </c>
      <c r="B300" s="147" t="s">
        <v>4489</v>
      </c>
      <c r="C300" s="147"/>
      <c r="D300" s="349" t="s">
        <v>4486</v>
      </c>
      <c r="E300" s="209" t="s">
        <v>4491</v>
      </c>
      <c r="F300" s="209"/>
      <c r="G300" s="231" t="s">
        <v>4473</v>
      </c>
      <c r="H300" s="231">
        <v>2</v>
      </c>
      <c r="I300" s="147"/>
      <c r="K300" s="304" t="s">
        <v>4487</v>
      </c>
      <c r="L300" s="356">
        <v>40525</v>
      </c>
      <c r="M300" s="304" t="s">
        <v>3958</v>
      </c>
      <c r="N300" s="354">
        <v>2012</v>
      </c>
      <c r="O300" s="354"/>
      <c r="P300" s="354"/>
      <c r="Q300" s="244"/>
      <c r="R300" s="245"/>
      <c r="T300" s="245"/>
      <c r="AB300" s="231"/>
      <c r="AC300" s="231"/>
      <c r="AD300" s="231"/>
    </row>
    <row r="301" spans="1:30" x14ac:dyDescent="0.25">
      <c r="A301" s="190">
        <v>284</v>
      </c>
      <c r="B301" s="147" t="s">
        <v>4492</v>
      </c>
      <c r="C301" s="147"/>
      <c r="D301" s="349" t="s">
        <v>4486</v>
      </c>
      <c r="E301" s="209" t="s">
        <v>4493</v>
      </c>
      <c r="F301" s="209"/>
      <c r="G301" s="231" t="s">
        <v>4473</v>
      </c>
      <c r="H301" s="231">
        <v>2</v>
      </c>
      <c r="I301" s="147"/>
      <c r="K301" s="304" t="s">
        <v>4487</v>
      </c>
      <c r="L301" s="356">
        <v>40525</v>
      </c>
      <c r="M301" s="304" t="s">
        <v>3958</v>
      </c>
      <c r="N301" s="354">
        <v>2012</v>
      </c>
      <c r="O301" s="354"/>
      <c r="P301" s="354"/>
      <c r="Q301" s="244"/>
      <c r="R301" s="245"/>
      <c r="T301" s="245"/>
      <c r="AB301" s="231"/>
      <c r="AC301" s="231"/>
      <c r="AD301" s="231"/>
    </row>
    <row r="302" spans="1:30" x14ac:dyDescent="0.25">
      <c r="A302" s="190">
        <v>285</v>
      </c>
      <c r="B302" s="147" t="s">
        <v>4494</v>
      </c>
      <c r="C302" s="147"/>
      <c r="D302" s="349" t="s">
        <v>4486</v>
      </c>
      <c r="E302" s="209" t="s">
        <v>4495</v>
      </c>
      <c r="F302" s="209"/>
      <c r="G302" s="231" t="s">
        <v>4473</v>
      </c>
      <c r="H302" s="231">
        <v>2</v>
      </c>
      <c r="I302" s="147"/>
      <c r="K302" s="304" t="s">
        <v>4487</v>
      </c>
      <c r="L302" s="356">
        <v>40525</v>
      </c>
      <c r="M302" s="304" t="s">
        <v>3958</v>
      </c>
      <c r="N302" s="354">
        <v>2012</v>
      </c>
      <c r="O302" s="354"/>
      <c r="P302" s="354"/>
      <c r="Q302" s="244"/>
      <c r="R302" s="245"/>
      <c r="T302" s="245"/>
      <c r="AB302" s="231"/>
      <c r="AC302" s="231"/>
      <c r="AD302" s="231"/>
    </row>
    <row r="303" spans="1:30" x14ac:dyDescent="0.25">
      <c r="A303" s="190">
        <v>286</v>
      </c>
      <c r="B303" s="147" t="s">
        <v>4496</v>
      </c>
      <c r="C303" s="147"/>
      <c r="D303" s="349" t="s">
        <v>4497</v>
      </c>
      <c r="E303" s="148" t="s">
        <v>4498</v>
      </c>
      <c r="F303" s="148"/>
      <c r="G303" s="231" t="s">
        <v>4473</v>
      </c>
      <c r="H303" s="231">
        <v>2</v>
      </c>
      <c r="I303" s="147"/>
      <c r="K303" s="304" t="s">
        <v>4474</v>
      </c>
      <c r="L303" s="229"/>
      <c r="M303" s="229"/>
      <c r="N303" s="354">
        <v>1996</v>
      </c>
      <c r="O303" s="354"/>
      <c r="P303" s="354"/>
      <c r="Q303" s="244"/>
      <c r="R303" s="245"/>
      <c r="T303" s="245"/>
      <c r="AB303" s="231"/>
      <c r="AC303" s="231"/>
      <c r="AD303" s="231"/>
    </row>
    <row r="304" spans="1:30" x14ac:dyDescent="0.25">
      <c r="A304" s="190">
        <v>287</v>
      </c>
      <c r="B304" s="147" t="s">
        <v>4499</v>
      </c>
      <c r="C304" s="147"/>
      <c r="D304" s="148"/>
      <c r="E304" s="148" t="s">
        <v>4500</v>
      </c>
      <c r="F304" s="148"/>
      <c r="G304" s="231" t="s">
        <v>4473</v>
      </c>
      <c r="H304" s="231"/>
      <c r="I304" s="147"/>
      <c r="K304" s="304" t="s">
        <v>4501</v>
      </c>
      <c r="L304" s="229" t="s">
        <v>4502</v>
      </c>
      <c r="M304" s="229" t="s">
        <v>4503</v>
      </c>
      <c r="N304" s="354">
        <v>2005</v>
      </c>
      <c r="O304" s="354"/>
      <c r="P304" s="354"/>
      <c r="Q304" s="244"/>
      <c r="R304" s="245"/>
      <c r="T304" s="245"/>
      <c r="AB304" s="231"/>
      <c r="AC304" s="231"/>
      <c r="AD304" s="231"/>
    </row>
    <row r="305" spans="1:30" x14ac:dyDescent="0.25">
      <c r="A305" s="309">
        <v>288</v>
      </c>
      <c r="B305" s="147" t="s">
        <v>4504</v>
      </c>
      <c r="C305" s="147"/>
      <c r="D305" s="349" t="s">
        <v>4505</v>
      </c>
      <c r="E305" s="148" t="s">
        <v>4506</v>
      </c>
      <c r="F305" s="148"/>
      <c r="G305" s="231" t="s">
        <v>4473</v>
      </c>
      <c r="H305" s="231">
        <v>1</v>
      </c>
      <c r="I305" s="147"/>
      <c r="K305" s="304" t="s">
        <v>4474</v>
      </c>
      <c r="L305" s="229"/>
      <c r="M305" s="229"/>
      <c r="N305" s="354"/>
      <c r="O305" s="354"/>
      <c r="P305" s="354"/>
      <c r="Q305" s="244"/>
      <c r="R305" s="245"/>
      <c r="T305" s="245"/>
      <c r="AB305" s="231"/>
      <c r="AC305" s="231"/>
      <c r="AD305" s="231"/>
    </row>
    <row r="306" spans="1:30" x14ac:dyDescent="0.25">
      <c r="A306" s="190">
        <v>289</v>
      </c>
      <c r="B306" s="147" t="s">
        <v>4507</v>
      </c>
      <c r="C306" s="147"/>
      <c r="D306" s="349"/>
      <c r="E306" s="148" t="s">
        <v>4508</v>
      </c>
      <c r="F306" s="148"/>
      <c r="G306" s="231" t="s">
        <v>4473</v>
      </c>
      <c r="H306" s="231">
        <v>1</v>
      </c>
      <c r="I306" s="147"/>
      <c r="K306" s="304" t="s">
        <v>4474</v>
      </c>
      <c r="L306" s="229"/>
      <c r="M306" s="229"/>
      <c r="N306" s="354"/>
      <c r="O306" s="354"/>
      <c r="P306" s="354"/>
      <c r="Q306" s="244"/>
      <c r="R306" s="245"/>
      <c r="T306" s="245"/>
      <c r="AB306" s="231"/>
      <c r="AC306" s="231"/>
      <c r="AD306" s="231"/>
    </row>
    <row r="307" spans="1:30" x14ac:dyDescent="0.25">
      <c r="A307" s="190">
        <v>290</v>
      </c>
      <c r="B307" s="147" t="s">
        <v>4509</v>
      </c>
      <c r="C307" s="147" t="s">
        <v>4432</v>
      </c>
      <c r="D307" s="349" t="s">
        <v>4510</v>
      </c>
      <c r="E307" s="148" t="s">
        <v>4511</v>
      </c>
      <c r="F307" s="148"/>
      <c r="G307" s="231" t="s">
        <v>4473</v>
      </c>
      <c r="H307" s="231">
        <v>1</v>
      </c>
      <c r="I307" s="147"/>
      <c r="K307" s="304" t="s">
        <v>4512</v>
      </c>
      <c r="L307" s="355">
        <v>41410</v>
      </c>
      <c r="M307" s="229" t="s">
        <v>3958</v>
      </c>
      <c r="N307" s="354">
        <v>2012</v>
      </c>
      <c r="O307" s="354"/>
      <c r="P307" s="354"/>
      <c r="Q307" s="244">
        <v>12</v>
      </c>
      <c r="R307" s="245">
        <v>41883</v>
      </c>
      <c r="S307" s="311" t="s">
        <v>4189</v>
      </c>
      <c r="T307" s="245"/>
      <c r="U307" s="231" t="s">
        <v>4475</v>
      </c>
      <c r="Z307" s="231">
        <v>1</v>
      </c>
      <c r="AA307" s="231" t="s">
        <v>4488</v>
      </c>
      <c r="AB307" s="231" t="s">
        <v>4088</v>
      </c>
      <c r="AC307" s="231"/>
      <c r="AD307" s="231"/>
    </row>
    <row r="308" spans="1:30" x14ac:dyDescent="0.25">
      <c r="A308" s="190">
        <v>291</v>
      </c>
      <c r="B308" s="147" t="s">
        <v>4513</v>
      </c>
      <c r="C308" s="147" t="s">
        <v>4432</v>
      </c>
      <c r="D308" s="349" t="s">
        <v>4510</v>
      </c>
      <c r="E308" s="148" t="s">
        <v>4514</v>
      </c>
      <c r="F308" s="148"/>
      <c r="G308" s="231" t="s">
        <v>4473</v>
      </c>
      <c r="H308" s="231">
        <v>1</v>
      </c>
      <c r="I308" s="147"/>
      <c r="K308" s="304" t="s">
        <v>4512</v>
      </c>
      <c r="L308" s="355">
        <v>41410</v>
      </c>
      <c r="M308" s="229" t="s">
        <v>3958</v>
      </c>
      <c r="N308" s="354">
        <v>2012</v>
      </c>
      <c r="O308" s="354"/>
      <c r="P308" s="354"/>
      <c r="Q308" s="244"/>
      <c r="R308" s="245"/>
      <c r="T308" s="245"/>
      <c r="AB308" s="231"/>
      <c r="AC308" s="231"/>
      <c r="AD308" s="231"/>
    </row>
    <row r="309" spans="1:30" x14ac:dyDescent="0.25">
      <c r="A309" s="190">
        <v>292</v>
      </c>
      <c r="B309" s="147" t="s">
        <v>4515</v>
      </c>
      <c r="C309" s="147" t="s">
        <v>4432</v>
      </c>
      <c r="D309" s="349" t="s">
        <v>4510</v>
      </c>
      <c r="E309" s="148" t="s">
        <v>4516</v>
      </c>
      <c r="F309" s="148"/>
      <c r="G309" s="231" t="s">
        <v>4473</v>
      </c>
      <c r="H309" s="231">
        <v>1</v>
      </c>
      <c r="I309" s="147"/>
      <c r="K309" s="304" t="s">
        <v>4512</v>
      </c>
      <c r="L309" s="355">
        <v>41410</v>
      </c>
      <c r="M309" s="229" t="s">
        <v>3958</v>
      </c>
      <c r="N309" s="354">
        <v>2012</v>
      </c>
      <c r="O309" s="354"/>
      <c r="P309" s="354"/>
      <c r="Q309" s="244"/>
      <c r="R309" s="245"/>
      <c r="T309" s="245"/>
      <c r="AB309" s="231"/>
      <c r="AC309" s="231"/>
      <c r="AD309" s="231"/>
    </row>
    <row r="310" spans="1:30" x14ac:dyDescent="0.25">
      <c r="A310" s="190">
        <v>293</v>
      </c>
      <c r="B310" s="147" t="s">
        <v>4517</v>
      </c>
      <c r="C310" s="147" t="s">
        <v>4432</v>
      </c>
      <c r="D310" s="349" t="s">
        <v>4510</v>
      </c>
      <c r="E310" s="148" t="s">
        <v>4518</v>
      </c>
      <c r="F310" s="148"/>
      <c r="G310" s="231" t="s">
        <v>4473</v>
      </c>
      <c r="H310" s="231">
        <v>1</v>
      </c>
      <c r="I310" s="147"/>
      <c r="K310" s="304" t="s">
        <v>4512</v>
      </c>
      <c r="L310" s="355">
        <v>41410</v>
      </c>
      <c r="M310" s="229" t="s">
        <v>3958</v>
      </c>
      <c r="N310" s="354">
        <v>2012</v>
      </c>
      <c r="O310" s="354"/>
      <c r="P310" s="354"/>
      <c r="Q310" s="244"/>
      <c r="R310" s="245"/>
      <c r="T310" s="245"/>
      <c r="AB310" s="231"/>
      <c r="AC310" s="231"/>
      <c r="AD310" s="231"/>
    </row>
    <row r="311" spans="1:30" x14ac:dyDescent="0.25">
      <c r="A311" s="190">
        <v>294</v>
      </c>
      <c r="B311" s="147" t="s">
        <v>4519</v>
      </c>
      <c r="C311" s="147" t="s">
        <v>4432</v>
      </c>
      <c r="D311" s="349" t="s">
        <v>4510</v>
      </c>
      <c r="E311" s="148" t="s">
        <v>4520</v>
      </c>
      <c r="F311" s="148"/>
      <c r="G311" s="231" t="s">
        <v>4473</v>
      </c>
      <c r="H311" s="231">
        <v>1</v>
      </c>
      <c r="I311" s="147"/>
      <c r="K311" s="304" t="s">
        <v>4512</v>
      </c>
      <c r="L311" s="355">
        <v>41410</v>
      </c>
      <c r="M311" s="229" t="s">
        <v>3958</v>
      </c>
      <c r="N311" s="354">
        <v>2012</v>
      </c>
      <c r="O311" s="354"/>
      <c r="P311" s="354"/>
      <c r="Q311" s="244"/>
      <c r="R311" s="245"/>
      <c r="T311" s="245"/>
      <c r="AB311" s="231"/>
      <c r="AC311" s="231"/>
      <c r="AD311" s="231"/>
    </row>
    <row r="312" spans="1:30" x14ac:dyDescent="0.25">
      <c r="A312" s="309">
        <v>295</v>
      </c>
      <c r="B312" s="147" t="s">
        <v>4521</v>
      </c>
      <c r="C312" s="147" t="s">
        <v>4432</v>
      </c>
      <c r="D312" s="349" t="s">
        <v>4510</v>
      </c>
      <c r="E312" s="148" t="s">
        <v>4522</v>
      </c>
      <c r="F312" s="148"/>
      <c r="G312" s="231" t="s">
        <v>4473</v>
      </c>
      <c r="H312" s="231">
        <v>1</v>
      </c>
      <c r="I312" s="147"/>
      <c r="K312" s="304" t="s">
        <v>4512</v>
      </c>
      <c r="L312" s="355">
        <v>41410</v>
      </c>
      <c r="M312" s="229" t="s">
        <v>3958</v>
      </c>
      <c r="N312" s="354">
        <v>2012</v>
      </c>
      <c r="O312" s="354"/>
      <c r="P312" s="354"/>
      <c r="Q312" s="244"/>
      <c r="R312" s="245"/>
      <c r="T312" s="245"/>
      <c r="AB312" s="231"/>
      <c r="AC312" s="231"/>
      <c r="AD312" s="231"/>
    </row>
    <row r="313" spans="1:30" x14ac:dyDescent="0.25">
      <c r="A313" s="190">
        <v>296</v>
      </c>
      <c r="B313" s="147" t="s">
        <v>4523</v>
      </c>
      <c r="C313" s="147">
        <v>7</v>
      </c>
      <c r="D313" s="349" t="s">
        <v>4524</v>
      </c>
      <c r="E313" s="148">
        <v>593</v>
      </c>
      <c r="F313" s="148"/>
      <c r="G313" s="231" t="s">
        <v>4473</v>
      </c>
      <c r="H313" s="231">
        <v>2</v>
      </c>
      <c r="I313" s="147"/>
      <c r="K313" s="304" t="s">
        <v>4525</v>
      </c>
      <c r="L313" s="355">
        <v>40458</v>
      </c>
      <c r="M313" s="229" t="s">
        <v>3958</v>
      </c>
      <c r="N313" s="354">
        <v>2012</v>
      </c>
      <c r="O313" s="354"/>
      <c r="P313" s="354"/>
      <c r="Q313" s="244"/>
      <c r="R313" s="245"/>
      <c r="T313" s="245"/>
      <c r="AA313" s="231" t="s">
        <v>4526</v>
      </c>
      <c r="AB313" s="231" t="s">
        <v>4088</v>
      </c>
      <c r="AC313" s="231"/>
      <c r="AD313" s="231"/>
    </row>
    <row r="314" spans="1:30" x14ac:dyDescent="0.25">
      <c r="A314" s="190">
        <v>297</v>
      </c>
      <c r="B314" s="147" t="s">
        <v>4527</v>
      </c>
      <c r="C314" s="147">
        <v>1</v>
      </c>
      <c r="D314" s="349" t="s">
        <v>4528</v>
      </c>
      <c r="E314" s="148" t="s">
        <v>4529</v>
      </c>
      <c r="F314" s="148"/>
      <c r="G314" s="231" t="s">
        <v>4473</v>
      </c>
      <c r="H314" s="231"/>
      <c r="I314" s="147"/>
      <c r="K314" s="304" t="s">
        <v>4530</v>
      </c>
      <c r="L314" s="355">
        <v>38295</v>
      </c>
      <c r="M314" s="355">
        <v>41947</v>
      </c>
      <c r="N314" s="354">
        <v>2006</v>
      </c>
      <c r="O314" s="354"/>
      <c r="P314" s="354"/>
      <c r="Q314" s="244"/>
      <c r="R314" s="245"/>
      <c r="T314" s="245"/>
      <c r="AB314" s="231"/>
      <c r="AC314" s="231"/>
      <c r="AD314" s="231"/>
    </row>
    <row r="315" spans="1:30" x14ac:dyDescent="0.25">
      <c r="A315" s="190">
        <v>298</v>
      </c>
      <c r="B315" s="147" t="s">
        <v>4531</v>
      </c>
      <c r="C315" s="147"/>
      <c r="D315" s="349" t="s">
        <v>4528</v>
      </c>
      <c r="E315" s="148" t="s">
        <v>4532</v>
      </c>
      <c r="F315" s="148"/>
      <c r="G315" s="231" t="s">
        <v>4473</v>
      </c>
      <c r="H315" s="231"/>
      <c r="I315" s="147"/>
      <c r="K315" s="304" t="s">
        <v>4530</v>
      </c>
      <c r="L315" s="355">
        <v>38295</v>
      </c>
      <c r="M315" s="355">
        <v>41947</v>
      </c>
      <c r="N315" s="354">
        <v>2006</v>
      </c>
      <c r="O315" s="354"/>
      <c r="P315" s="354"/>
      <c r="Q315" s="244"/>
      <c r="R315" s="245"/>
      <c r="T315" s="245"/>
      <c r="AB315" s="231"/>
      <c r="AC315" s="231"/>
      <c r="AD315" s="231"/>
    </row>
    <row r="316" spans="1:30" x14ac:dyDescent="0.25">
      <c r="A316" s="190">
        <v>299</v>
      </c>
      <c r="B316" s="147" t="s">
        <v>4533</v>
      </c>
      <c r="C316" s="147"/>
      <c r="D316" s="349" t="s">
        <v>4528</v>
      </c>
      <c r="E316" s="148" t="s">
        <v>4534</v>
      </c>
      <c r="F316" s="148"/>
      <c r="G316" s="231" t="s">
        <v>4473</v>
      </c>
      <c r="H316" s="231"/>
      <c r="I316" s="147"/>
      <c r="K316" s="304" t="s">
        <v>4530</v>
      </c>
      <c r="L316" s="355">
        <v>38295</v>
      </c>
      <c r="M316" s="355">
        <v>41947</v>
      </c>
      <c r="N316" s="354">
        <v>2006</v>
      </c>
      <c r="O316" s="354"/>
      <c r="P316" s="354"/>
      <c r="Q316" s="244"/>
      <c r="R316" s="245"/>
      <c r="T316" s="245"/>
      <c r="AB316" s="231"/>
      <c r="AC316" s="231"/>
      <c r="AD316" s="231"/>
    </row>
    <row r="317" spans="1:30" x14ac:dyDescent="0.25">
      <c r="A317" s="190">
        <v>300</v>
      </c>
      <c r="B317" s="147" t="s">
        <v>4535</v>
      </c>
      <c r="C317" s="147"/>
      <c r="D317" s="349" t="s">
        <v>4528</v>
      </c>
      <c r="E317" s="148" t="s">
        <v>4536</v>
      </c>
      <c r="F317" s="148"/>
      <c r="G317" s="231" t="s">
        <v>4473</v>
      </c>
      <c r="H317" s="231"/>
      <c r="I317" s="147"/>
      <c r="K317" s="304" t="s">
        <v>4530</v>
      </c>
      <c r="L317" s="355">
        <v>38295</v>
      </c>
      <c r="M317" s="355">
        <v>41947</v>
      </c>
      <c r="N317" s="354">
        <v>2006</v>
      </c>
      <c r="O317" s="354"/>
      <c r="P317" s="354"/>
      <c r="Q317" s="244"/>
      <c r="R317" s="245"/>
      <c r="T317" s="245"/>
      <c r="AB317" s="231"/>
      <c r="AC317" s="231"/>
      <c r="AD317" s="231"/>
    </row>
    <row r="318" spans="1:30" x14ac:dyDescent="0.25">
      <c r="A318" s="190">
        <v>301</v>
      </c>
      <c r="B318" s="147" t="s">
        <v>4537</v>
      </c>
      <c r="C318" s="147">
        <v>1</v>
      </c>
      <c r="D318" s="349" t="s">
        <v>4538</v>
      </c>
      <c r="E318" s="148" t="s">
        <v>4539</v>
      </c>
      <c r="F318" s="148"/>
      <c r="G318" s="231" t="s">
        <v>4473</v>
      </c>
      <c r="H318" s="231">
        <v>1</v>
      </c>
      <c r="I318" s="147"/>
      <c r="K318" s="304" t="s">
        <v>4540</v>
      </c>
      <c r="L318" s="355">
        <v>40525</v>
      </c>
      <c r="M318" s="229" t="s">
        <v>3958</v>
      </c>
      <c r="N318" s="354">
        <v>2004</v>
      </c>
      <c r="O318" s="354"/>
      <c r="P318" s="354"/>
      <c r="Q318" s="244">
        <v>12</v>
      </c>
      <c r="R318" s="245">
        <v>41883</v>
      </c>
      <c r="S318" s="311" t="s">
        <v>4189</v>
      </c>
      <c r="T318" s="245"/>
      <c r="U318" s="231" t="s">
        <v>4475</v>
      </c>
      <c r="Z318" s="231">
        <v>1</v>
      </c>
      <c r="AA318" s="231" t="s">
        <v>4190</v>
      </c>
      <c r="AB318" s="231"/>
      <c r="AC318" s="231"/>
      <c r="AD318" s="231"/>
    </row>
    <row r="319" spans="1:30" x14ac:dyDescent="0.25">
      <c r="A319" s="309">
        <v>302</v>
      </c>
      <c r="B319" s="147" t="s">
        <v>3655</v>
      </c>
      <c r="C319" s="147">
        <v>7</v>
      </c>
      <c r="D319" s="349" t="s">
        <v>4541</v>
      </c>
      <c r="E319" s="148" t="s">
        <v>4542</v>
      </c>
      <c r="F319" s="148"/>
      <c r="G319" s="231" t="s">
        <v>4473</v>
      </c>
      <c r="H319" s="231">
        <v>2</v>
      </c>
      <c r="I319" s="147"/>
      <c r="K319" s="304" t="s">
        <v>4484</v>
      </c>
      <c r="L319" s="355">
        <v>40987</v>
      </c>
      <c r="M319" s="229" t="s">
        <v>3958</v>
      </c>
      <c r="N319" s="354">
        <v>2012</v>
      </c>
      <c r="O319" s="354"/>
      <c r="P319" s="354"/>
      <c r="Q319" s="244">
        <v>12</v>
      </c>
      <c r="R319" s="245">
        <v>41883</v>
      </c>
      <c r="S319" s="311" t="s">
        <v>4189</v>
      </c>
      <c r="T319" s="245"/>
      <c r="U319" s="231" t="s">
        <v>4475</v>
      </c>
      <c r="Z319" s="231">
        <v>1</v>
      </c>
      <c r="AA319" s="231" t="s">
        <v>4488</v>
      </c>
      <c r="AB319" s="231" t="s">
        <v>4088</v>
      </c>
      <c r="AC319" s="231"/>
      <c r="AD319" s="231"/>
    </row>
    <row r="320" spans="1:30" x14ac:dyDescent="0.25">
      <c r="A320" s="190">
        <v>303</v>
      </c>
      <c r="B320" s="147" t="s">
        <v>4543</v>
      </c>
      <c r="C320" s="147">
        <v>1</v>
      </c>
      <c r="D320" s="349" t="s">
        <v>4544</v>
      </c>
      <c r="E320" s="148" t="s">
        <v>4545</v>
      </c>
      <c r="F320" s="148"/>
      <c r="G320" s="231" t="s">
        <v>4473</v>
      </c>
      <c r="H320" s="231">
        <v>1</v>
      </c>
      <c r="I320" s="147"/>
      <c r="K320" s="304" t="s">
        <v>4546</v>
      </c>
      <c r="L320" s="355">
        <v>40542</v>
      </c>
      <c r="M320" s="229" t="s">
        <v>3958</v>
      </c>
      <c r="N320" s="354">
        <v>2002</v>
      </c>
      <c r="O320" s="354"/>
      <c r="P320" s="354"/>
      <c r="Q320" s="244">
        <v>12</v>
      </c>
      <c r="R320" s="245">
        <v>41883</v>
      </c>
      <c r="S320" s="311" t="s">
        <v>4189</v>
      </c>
      <c r="T320" s="245"/>
      <c r="U320" s="231" t="s">
        <v>4475</v>
      </c>
      <c r="Z320" s="231">
        <v>1</v>
      </c>
      <c r="AA320" s="231" t="s">
        <v>4190</v>
      </c>
      <c r="AB320" s="231"/>
      <c r="AC320" s="231"/>
      <c r="AD320" s="231"/>
    </row>
    <row r="321" spans="1:30" x14ac:dyDescent="0.25">
      <c r="A321" s="190">
        <v>304</v>
      </c>
      <c r="B321" s="147" t="s">
        <v>4547</v>
      </c>
      <c r="C321" s="147">
        <v>1</v>
      </c>
      <c r="D321" s="349" t="s">
        <v>4548</v>
      </c>
      <c r="E321" s="148" t="s">
        <v>4214</v>
      </c>
      <c r="F321" s="148"/>
      <c r="G321" s="231" t="s">
        <v>4473</v>
      </c>
      <c r="H321" s="231">
        <v>1</v>
      </c>
      <c r="I321" s="147"/>
      <c r="K321" s="304" t="s">
        <v>4546</v>
      </c>
      <c r="L321" s="355">
        <v>40542</v>
      </c>
      <c r="M321" s="229" t="s">
        <v>3958</v>
      </c>
      <c r="N321" s="354">
        <v>2003</v>
      </c>
      <c r="O321" s="354"/>
      <c r="P321" s="354"/>
      <c r="Q321" s="244">
        <v>12</v>
      </c>
      <c r="R321" s="245">
        <v>41883</v>
      </c>
      <c r="S321" s="311" t="s">
        <v>4189</v>
      </c>
      <c r="T321" s="245"/>
      <c r="U321" s="231" t="s">
        <v>4475</v>
      </c>
      <c r="Z321" s="231">
        <v>1</v>
      </c>
      <c r="AA321" s="231" t="s">
        <v>4190</v>
      </c>
      <c r="AB321" s="231"/>
      <c r="AC321" s="231"/>
      <c r="AD321" s="231"/>
    </row>
    <row r="322" spans="1:30" x14ac:dyDescent="0.25">
      <c r="A322" s="190">
        <v>305</v>
      </c>
      <c r="B322" s="190" t="s">
        <v>4549</v>
      </c>
      <c r="C322" s="190">
        <v>1</v>
      </c>
      <c r="E322" s="209"/>
      <c r="F322" s="209"/>
      <c r="G322" s="231" t="s">
        <v>4550</v>
      </c>
      <c r="H322" s="231" t="s">
        <v>4551</v>
      </c>
      <c r="L322" s="231"/>
      <c r="M322" s="231"/>
      <c r="N322" s="242"/>
      <c r="Q322" s="244">
        <v>12</v>
      </c>
      <c r="R322" s="245">
        <v>40799</v>
      </c>
      <c r="S322" s="311" t="s">
        <v>4177</v>
      </c>
      <c r="T322" s="245">
        <v>41165</v>
      </c>
      <c r="U322" s="231" t="s">
        <v>4178</v>
      </c>
      <c r="Z322" s="231">
        <v>1</v>
      </c>
      <c r="AA322" s="231" t="s">
        <v>4179</v>
      </c>
      <c r="AB322" s="231"/>
      <c r="AC322" s="231"/>
      <c r="AD322" s="231"/>
    </row>
    <row r="323" spans="1:30" x14ac:dyDescent="0.25">
      <c r="A323" s="190">
        <v>306</v>
      </c>
      <c r="B323" s="190" t="s">
        <v>4552</v>
      </c>
      <c r="C323" s="190">
        <v>1</v>
      </c>
      <c r="E323" s="209"/>
      <c r="F323" s="209"/>
      <c r="G323" s="231" t="s">
        <v>4550</v>
      </c>
      <c r="H323" s="231" t="s">
        <v>4551</v>
      </c>
      <c r="L323" s="231"/>
      <c r="M323" s="231"/>
      <c r="N323" s="242"/>
      <c r="Q323" s="244">
        <v>12</v>
      </c>
      <c r="R323" s="245">
        <v>40799</v>
      </c>
      <c r="S323" s="311" t="s">
        <v>4189</v>
      </c>
      <c r="T323" s="245">
        <v>41165</v>
      </c>
      <c r="U323" s="231" t="s">
        <v>4178</v>
      </c>
      <c r="Z323" s="231">
        <v>1</v>
      </c>
      <c r="AA323" s="231" t="s">
        <v>4179</v>
      </c>
      <c r="AB323" s="231"/>
      <c r="AC323" s="231"/>
      <c r="AD323" s="231"/>
    </row>
    <row r="324" spans="1:30" x14ac:dyDescent="0.25">
      <c r="A324" s="190">
        <v>307</v>
      </c>
      <c r="B324" s="190" t="s">
        <v>4553</v>
      </c>
      <c r="C324" s="190">
        <v>1</v>
      </c>
      <c r="E324" s="209"/>
      <c r="F324" s="209"/>
      <c r="G324" s="231" t="s">
        <v>4550</v>
      </c>
      <c r="H324" s="231" t="s">
        <v>4551</v>
      </c>
      <c r="L324" s="231"/>
      <c r="M324" s="231"/>
      <c r="N324" s="242"/>
      <c r="Q324" s="244">
        <v>12</v>
      </c>
      <c r="R324" s="245">
        <v>40799</v>
      </c>
      <c r="S324" s="311" t="s">
        <v>4189</v>
      </c>
      <c r="T324" s="245">
        <v>41165</v>
      </c>
      <c r="U324" s="231" t="s">
        <v>4178</v>
      </c>
      <c r="Z324" s="231">
        <v>1</v>
      </c>
      <c r="AA324" s="231" t="s">
        <v>4179</v>
      </c>
      <c r="AB324" s="231"/>
      <c r="AC324" s="231"/>
      <c r="AD324" s="231"/>
    </row>
    <row r="325" spans="1:30" x14ac:dyDescent="0.25">
      <c r="A325" s="190">
        <v>308</v>
      </c>
      <c r="B325" s="190" t="s">
        <v>4554</v>
      </c>
      <c r="C325" s="190">
        <v>1</v>
      </c>
      <c r="E325" s="209"/>
      <c r="F325" s="209"/>
      <c r="G325" s="231" t="s">
        <v>4550</v>
      </c>
      <c r="H325" s="231" t="s">
        <v>4551</v>
      </c>
      <c r="L325" s="231"/>
      <c r="M325" s="231"/>
      <c r="N325" s="242"/>
      <c r="Q325" s="244">
        <v>12</v>
      </c>
      <c r="R325" s="245">
        <v>40799</v>
      </c>
      <c r="S325" s="311" t="s">
        <v>4189</v>
      </c>
      <c r="T325" s="245">
        <v>41165</v>
      </c>
      <c r="U325" s="231" t="s">
        <v>4178</v>
      </c>
      <c r="Z325" s="231">
        <v>1</v>
      </c>
      <c r="AA325" s="231" t="s">
        <v>4179</v>
      </c>
      <c r="AB325" s="231"/>
      <c r="AC325" s="231"/>
      <c r="AD325" s="231"/>
    </row>
    <row r="326" spans="1:30" x14ac:dyDescent="0.25">
      <c r="A326" s="309">
        <v>309</v>
      </c>
      <c r="B326" s="190" t="s">
        <v>4555</v>
      </c>
      <c r="C326" s="190">
        <v>1</v>
      </c>
      <c r="E326" s="209"/>
      <c r="F326" s="209"/>
      <c r="G326" s="231" t="s">
        <v>4550</v>
      </c>
      <c r="H326" s="231" t="s">
        <v>4551</v>
      </c>
      <c r="L326" s="231"/>
      <c r="M326" s="231"/>
      <c r="N326" s="242"/>
      <c r="Q326" s="244">
        <v>12</v>
      </c>
      <c r="R326" s="245">
        <v>40799</v>
      </c>
      <c r="S326" s="311" t="s">
        <v>4189</v>
      </c>
      <c r="T326" s="245">
        <v>41165</v>
      </c>
      <c r="U326" s="231" t="s">
        <v>4178</v>
      </c>
      <c r="Z326" s="231">
        <v>1</v>
      </c>
      <c r="AA326" s="231" t="s">
        <v>4179</v>
      </c>
      <c r="AB326" s="231"/>
      <c r="AC326" s="231"/>
      <c r="AD326" s="231"/>
    </row>
    <row r="327" spans="1:30" x14ac:dyDescent="0.25">
      <c r="A327" s="190">
        <v>310</v>
      </c>
      <c r="B327" s="190" t="s">
        <v>4556</v>
      </c>
      <c r="C327" s="190">
        <v>1</v>
      </c>
      <c r="E327" s="209"/>
      <c r="F327" s="209"/>
      <c r="G327" s="231" t="s">
        <v>4550</v>
      </c>
      <c r="H327" s="231" t="s">
        <v>4551</v>
      </c>
      <c r="L327" s="231"/>
      <c r="M327" s="231"/>
      <c r="N327" s="242"/>
      <c r="Q327" s="244">
        <v>12</v>
      </c>
      <c r="R327" s="245">
        <v>40799</v>
      </c>
      <c r="S327" s="311" t="s">
        <v>4189</v>
      </c>
      <c r="T327" s="245">
        <v>41165</v>
      </c>
      <c r="U327" s="231" t="s">
        <v>4178</v>
      </c>
      <c r="Z327" s="231">
        <v>1</v>
      </c>
      <c r="AA327" s="231" t="s">
        <v>4179</v>
      </c>
      <c r="AB327" s="231"/>
      <c r="AC327" s="231"/>
      <c r="AD327" s="231"/>
    </row>
    <row r="328" spans="1:30" x14ac:dyDescent="0.25">
      <c r="A328" s="190">
        <v>311</v>
      </c>
      <c r="B328" s="190" t="s">
        <v>4557</v>
      </c>
      <c r="C328" s="190">
        <v>1</v>
      </c>
      <c r="E328" s="209"/>
      <c r="F328" s="209"/>
      <c r="G328" s="231" t="s">
        <v>4550</v>
      </c>
      <c r="H328" s="231" t="s">
        <v>4551</v>
      </c>
      <c r="L328" s="231"/>
      <c r="M328" s="231"/>
      <c r="N328" s="242"/>
      <c r="Q328" s="244">
        <v>12</v>
      </c>
      <c r="R328" s="245">
        <v>40799</v>
      </c>
      <c r="S328" s="311" t="s">
        <v>4189</v>
      </c>
      <c r="T328" s="245">
        <v>41165</v>
      </c>
      <c r="U328" s="231" t="s">
        <v>4178</v>
      </c>
      <c r="Z328" s="231">
        <v>1</v>
      </c>
      <c r="AA328" s="231" t="s">
        <v>4179</v>
      </c>
      <c r="AB328" s="231"/>
      <c r="AC328" s="231"/>
      <c r="AD328" s="231"/>
    </row>
    <row r="329" spans="1:30" x14ac:dyDescent="0.25">
      <c r="A329" s="190">
        <v>312</v>
      </c>
      <c r="B329" s="190" t="s">
        <v>4558</v>
      </c>
      <c r="C329" s="190">
        <v>1</v>
      </c>
      <c r="E329" s="209"/>
      <c r="F329" s="209"/>
      <c r="G329" s="231" t="s">
        <v>4550</v>
      </c>
      <c r="H329" s="231" t="s">
        <v>4551</v>
      </c>
      <c r="L329" s="231"/>
      <c r="M329" s="231"/>
      <c r="N329" s="242"/>
      <c r="Q329" s="244">
        <v>12</v>
      </c>
      <c r="R329" s="245">
        <v>40799</v>
      </c>
      <c r="S329" s="311" t="s">
        <v>4189</v>
      </c>
      <c r="T329" s="245">
        <v>41165</v>
      </c>
      <c r="U329" s="231" t="s">
        <v>4178</v>
      </c>
      <c r="Z329" s="231">
        <v>1</v>
      </c>
      <c r="AA329" s="231" t="s">
        <v>4179</v>
      </c>
      <c r="AB329" s="231"/>
      <c r="AC329" s="231"/>
      <c r="AD329" s="231"/>
    </row>
    <row r="330" spans="1:30" x14ac:dyDescent="0.25">
      <c r="A330" s="190">
        <v>313</v>
      </c>
      <c r="B330" s="190" t="s">
        <v>4559</v>
      </c>
      <c r="C330" s="190">
        <v>1</v>
      </c>
      <c r="E330" s="209"/>
      <c r="F330" s="209"/>
      <c r="G330" s="231" t="s">
        <v>4550</v>
      </c>
      <c r="H330" s="231" t="s">
        <v>4551</v>
      </c>
      <c r="L330" s="231"/>
      <c r="M330" s="231"/>
      <c r="N330" s="242"/>
      <c r="Q330" s="244">
        <v>12</v>
      </c>
      <c r="R330" s="245">
        <v>40799</v>
      </c>
      <c r="S330" s="311" t="s">
        <v>4560</v>
      </c>
      <c r="T330" s="245">
        <v>41165</v>
      </c>
      <c r="U330" s="231" t="s">
        <v>4178</v>
      </c>
      <c r="Z330" s="231">
        <v>1</v>
      </c>
      <c r="AA330" s="231" t="s">
        <v>4179</v>
      </c>
      <c r="AB330" s="231"/>
      <c r="AC330" s="231"/>
      <c r="AD330" s="231"/>
    </row>
    <row r="331" spans="1:30" x14ac:dyDescent="0.25">
      <c r="A331" s="190">
        <v>314</v>
      </c>
      <c r="B331" s="190" t="s">
        <v>4561</v>
      </c>
      <c r="C331" s="190">
        <v>1</v>
      </c>
      <c r="E331" s="209"/>
      <c r="F331" s="209"/>
      <c r="G331" s="231" t="s">
        <v>4550</v>
      </c>
      <c r="H331" s="231" t="s">
        <v>4551</v>
      </c>
      <c r="L331" s="231"/>
      <c r="M331" s="231"/>
      <c r="N331" s="242"/>
      <c r="Q331" s="244">
        <v>12</v>
      </c>
      <c r="R331" s="245">
        <v>40799</v>
      </c>
      <c r="S331" s="311" t="s">
        <v>4560</v>
      </c>
      <c r="T331" s="245">
        <v>41165</v>
      </c>
      <c r="U331" s="231" t="s">
        <v>4178</v>
      </c>
      <c r="Z331" s="231">
        <v>1</v>
      </c>
      <c r="AA331" s="231" t="s">
        <v>4179</v>
      </c>
      <c r="AB331" s="231"/>
      <c r="AC331" s="231"/>
      <c r="AD331" s="231"/>
    </row>
    <row r="332" spans="1:30" x14ac:dyDescent="0.25">
      <c r="A332" s="190">
        <v>315</v>
      </c>
      <c r="B332" s="190" t="s">
        <v>4562</v>
      </c>
      <c r="C332" s="190">
        <v>1</v>
      </c>
      <c r="E332" s="209"/>
      <c r="F332" s="209"/>
      <c r="G332" s="231" t="s">
        <v>4550</v>
      </c>
      <c r="H332" s="231" t="s">
        <v>4551</v>
      </c>
      <c r="L332" s="231"/>
      <c r="M332" s="231"/>
      <c r="N332" s="242"/>
      <c r="Q332" s="244">
        <v>12</v>
      </c>
      <c r="R332" s="245">
        <v>40799</v>
      </c>
      <c r="S332" s="311" t="s">
        <v>4189</v>
      </c>
      <c r="T332" s="245">
        <v>41165</v>
      </c>
      <c r="U332" s="231" t="s">
        <v>4178</v>
      </c>
      <c r="Z332" s="231">
        <v>1</v>
      </c>
      <c r="AA332" s="231" t="s">
        <v>4179</v>
      </c>
      <c r="AB332" s="231"/>
      <c r="AC332" s="231"/>
      <c r="AD332" s="231"/>
    </row>
    <row r="333" spans="1:30" x14ac:dyDescent="0.25">
      <c r="A333" s="309">
        <v>316</v>
      </c>
      <c r="B333" s="190" t="s">
        <v>2672</v>
      </c>
      <c r="C333" s="190"/>
      <c r="E333" s="209"/>
      <c r="F333" s="209"/>
      <c r="G333" s="231" t="s">
        <v>4550</v>
      </c>
      <c r="H333" s="231" t="s">
        <v>4551</v>
      </c>
      <c r="L333" s="231"/>
      <c r="M333" s="231"/>
      <c r="N333" s="242"/>
      <c r="Q333" s="244">
        <v>12</v>
      </c>
      <c r="R333" s="245">
        <v>40799</v>
      </c>
      <c r="S333" s="311" t="s">
        <v>4189</v>
      </c>
      <c r="T333" s="245">
        <v>41165</v>
      </c>
      <c r="U333" s="231" t="s">
        <v>4179</v>
      </c>
      <c r="Z333" s="231">
        <v>1</v>
      </c>
      <c r="AA333" s="231" t="s">
        <v>4179</v>
      </c>
      <c r="AB333" s="231"/>
      <c r="AC333" s="231"/>
      <c r="AD333" s="231"/>
    </row>
    <row r="334" spans="1:30" x14ac:dyDescent="0.25">
      <c r="A334" s="309"/>
      <c r="B334" s="190" t="s">
        <v>4563</v>
      </c>
      <c r="C334" s="190">
        <v>1</v>
      </c>
      <c r="E334" s="209"/>
      <c r="F334" s="209"/>
      <c r="G334" s="231" t="s">
        <v>1730</v>
      </c>
      <c r="H334" s="231" t="s">
        <v>1730</v>
      </c>
      <c r="L334" s="231"/>
      <c r="M334" s="231"/>
      <c r="N334" s="242"/>
      <c r="Q334" s="244"/>
      <c r="R334" s="245"/>
      <c r="T334" s="245"/>
      <c r="AB334" s="231"/>
      <c r="AC334" s="231"/>
      <c r="AD334" s="231"/>
    </row>
    <row r="335" spans="1:30" x14ac:dyDescent="0.25">
      <c r="A335" s="309"/>
      <c r="B335" s="190" t="s">
        <v>4563</v>
      </c>
      <c r="C335" s="190">
        <v>1</v>
      </c>
      <c r="E335" s="209"/>
      <c r="F335" s="209"/>
      <c r="G335" s="231" t="s">
        <v>1730</v>
      </c>
      <c r="H335" s="231" t="s">
        <v>1730</v>
      </c>
      <c r="L335" s="231"/>
      <c r="M335" s="231"/>
      <c r="N335" s="242"/>
      <c r="Q335" s="244"/>
      <c r="R335" s="245"/>
      <c r="T335" s="245"/>
      <c r="AB335" s="231"/>
      <c r="AC335" s="231"/>
      <c r="AD335" s="231"/>
    </row>
    <row r="336" spans="1:30" x14ac:dyDescent="0.25">
      <c r="A336" s="309"/>
      <c r="B336" s="190" t="s">
        <v>4564</v>
      </c>
      <c r="C336" s="190">
        <v>1</v>
      </c>
      <c r="E336" s="209"/>
      <c r="F336" s="209"/>
      <c r="G336" s="231" t="s">
        <v>1730</v>
      </c>
      <c r="H336" s="231" t="s">
        <v>1730</v>
      </c>
      <c r="L336" s="231"/>
      <c r="M336" s="231"/>
      <c r="N336" s="242"/>
      <c r="Q336" s="244"/>
      <c r="R336" s="245"/>
      <c r="T336" s="245"/>
      <c r="AB336" s="231"/>
      <c r="AC336" s="231"/>
      <c r="AD336" s="231"/>
    </row>
    <row r="337" spans="1:30" x14ac:dyDescent="0.25">
      <c r="A337" s="309"/>
      <c r="B337" s="190" t="s">
        <v>4565</v>
      </c>
      <c r="C337" s="190"/>
      <c r="E337" s="209"/>
      <c r="F337" s="209"/>
      <c r="G337" s="231" t="s">
        <v>1730</v>
      </c>
      <c r="H337" s="231" t="s">
        <v>1730</v>
      </c>
      <c r="L337" s="231"/>
      <c r="M337" s="231"/>
      <c r="N337" s="242"/>
      <c r="Q337" s="244"/>
      <c r="R337" s="245"/>
      <c r="T337" s="245"/>
      <c r="AB337" s="231"/>
      <c r="AC337" s="231"/>
      <c r="AD337" s="231"/>
    </row>
    <row r="338" spans="1:30" x14ac:dyDescent="0.25">
      <c r="A338" s="309"/>
      <c r="B338" s="190" t="s">
        <v>4564</v>
      </c>
      <c r="C338" s="190"/>
      <c r="E338" s="209"/>
      <c r="F338" s="209"/>
      <c r="G338" s="231" t="s">
        <v>1730</v>
      </c>
      <c r="H338" s="231"/>
      <c r="L338" s="231"/>
      <c r="M338" s="231"/>
      <c r="N338" s="242">
        <v>2012</v>
      </c>
      <c r="Q338" s="244"/>
      <c r="R338" s="245"/>
      <c r="T338" s="245"/>
      <c r="AB338" s="231"/>
      <c r="AC338" s="231"/>
      <c r="AD338" s="231"/>
    </row>
    <row r="339" spans="1:30" x14ac:dyDescent="0.25">
      <c r="A339" s="309"/>
      <c r="B339" s="190" t="s">
        <v>4564</v>
      </c>
      <c r="C339" s="190"/>
      <c r="E339" s="209"/>
      <c r="F339" s="209"/>
      <c r="G339" s="231" t="s">
        <v>1730</v>
      </c>
      <c r="H339" s="231"/>
      <c r="L339" s="231"/>
      <c r="M339" s="231"/>
      <c r="N339" s="242">
        <v>2012</v>
      </c>
      <c r="Q339" s="244"/>
      <c r="R339" s="245"/>
      <c r="T339" s="245"/>
      <c r="AB339" s="231"/>
      <c r="AC339" s="231"/>
      <c r="AD339" s="231"/>
    </row>
    <row r="340" spans="1:30" x14ac:dyDescent="0.25">
      <c r="A340" s="190">
        <v>317</v>
      </c>
      <c r="B340" s="190" t="s">
        <v>4566</v>
      </c>
      <c r="C340" s="190"/>
      <c r="E340" s="209"/>
      <c r="F340" s="209"/>
      <c r="G340" s="231" t="s">
        <v>1730</v>
      </c>
      <c r="H340" s="231" t="s">
        <v>1730</v>
      </c>
      <c r="L340" s="231"/>
      <c r="M340" s="231"/>
      <c r="N340" s="242"/>
      <c r="Q340" s="244">
        <v>12</v>
      </c>
      <c r="R340" s="245">
        <v>40694</v>
      </c>
      <c r="S340" s="311" t="s">
        <v>4192</v>
      </c>
      <c r="T340" s="245">
        <v>41060</v>
      </c>
      <c r="U340" s="231" t="s">
        <v>4193</v>
      </c>
      <c r="Z340" s="231">
        <v>1</v>
      </c>
      <c r="AA340" s="231" t="s">
        <v>4179</v>
      </c>
      <c r="AB340" s="231"/>
      <c r="AC340" s="231"/>
      <c r="AD340" s="231"/>
    </row>
    <row r="341" spans="1:30" x14ac:dyDescent="0.25">
      <c r="A341" s="190">
        <v>318</v>
      </c>
      <c r="B341" s="190" t="s">
        <v>4567</v>
      </c>
      <c r="C341" s="190"/>
      <c r="E341" s="209"/>
      <c r="F341" s="209"/>
      <c r="G341" s="231" t="s">
        <v>1730</v>
      </c>
      <c r="H341" s="231" t="s">
        <v>1730</v>
      </c>
      <c r="L341" s="231"/>
      <c r="M341" s="231"/>
      <c r="N341" s="242"/>
      <c r="Q341" s="244">
        <v>12</v>
      </c>
      <c r="R341" s="245">
        <v>40694</v>
      </c>
      <c r="S341" s="311" t="s">
        <v>4192</v>
      </c>
      <c r="T341" s="245">
        <v>41060</v>
      </c>
      <c r="U341" s="231" t="s">
        <v>4193</v>
      </c>
      <c r="Z341" s="231">
        <v>1</v>
      </c>
      <c r="AA341" s="231" t="s">
        <v>4179</v>
      </c>
      <c r="AB341" s="231"/>
      <c r="AC341" s="231"/>
      <c r="AD341" s="231"/>
    </row>
    <row r="342" spans="1:30" x14ac:dyDescent="0.25">
      <c r="A342" s="190"/>
      <c r="B342" s="190" t="s">
        <v>4568</v>
      </c>
      <c r="C342" s="190"/>
      <c r="E342" s="209"/>
      <c r="F342" s="209"/>
      <c r="G342" s="231" t="s">
        <v>1730</v>
      </c>
      <c r="H342" s="231" t="s">
        <v>1730</v>
      </c>
      <c r="L342" s="231"/>
      <c r="M342" s="231"/>
      <c r="N342" s="242"/>
      <c r="Q342" s="244"/>
      <c r="R342" s="245"/>
      <c r="T342" s="245"/>
      <c r="AB342" s="231"/>
      <c r="AC342" s="231"/>
      <c r="AD342" s="231"/>
    </row>
    <row r="343" spans="1:30" x14ac:dyDescent="0.25">
      <c r="A343" s="190"/>
      <c r="B343" s="190" t="s">
        <v>4568</v>
      </c>
      <c r="C343" s="190"/>
      <c r="E343" s="209"/>
      <c r="F343" s="209"/>
      <c r="G343" s="231" t="s">
        <v>1730</v>
      </c>
      <c r="H343" s="231" t="s">
        <v>1730</v>
      </c>
      <c r="L343" s="231"/>
      <c r="M343" s="231"/>
      <c r="N343" s="242"/>
      <c r="Q343" s="244"/>
      <c r="R343" s="245"/>
      <c r="T343" s="245"/>
      <c r="AB343" s="231"/>
      <c r="AC343" s="231"/>
      <c r="AD343" s="231"/>
    </row>
    <row r="344" spans="1:30" x14ac:dyDescent="0.25">
      <c r="A344" s="190"/>
      <c r="B344" s="190" t="s">
        <v>4568</v>
      </c>
      <c r="C344" s="190"/>
      <c r="E344" s="209"/>
      <c r="F344" s="209"/>
      <c r="G344" s="231" t="s">
        <v>1730</v>
      </c>
      <c r="H344" s="231" t="s">
        <v>1730</v>
      </c>
      <c r="L344" s="231"/>
      <c r="M344" s="231"/>
      <c r="N344" s="242"/>
      <c r="Q344" s="244"/>
      <c r="R344" s="245"/>
      <c r="T344" s="245"/>
      <c r="AB344" s="231"/>
      <c r="AC344" s="231"/>
      <c r="AD344" s="231"/>
    </row>
    <row r="345" spans="1:30" x14ac:dyDescent="0.25">
      <c r="A345" s="190"/>
      <c r="B345" s="190" t="s">
        <v>4568</v>
      </c>
      <c r="C345" s="190"/>
      <c r="E345" s="209"/>
      <c r="F345" s="209"/>
      <c r="G345" s="231" t="s">
        <v>1730</v>
      </c>
      <c r="H345" s="231" t="s">
        <v>1730</v>
      </c>
      <c r="L345" s="231"/>
      <c r="M345" s="231"/>
      <c r="N345" s="242"/>
      <c r="Q345" s="244"/>
      <c r="R345" s="245"/>
      <c r="T345" s="245"/>
      <c r="AB345" s="231"/>
      <c r="AC345" s="231"/>
      <c r="AD345" s="231"/>
    </row>
    <row r="346" spans="1:30" x14ac:dyDescent="0.25">
      <c r="A346" s="190"/>
      <c r="B346" s="190" t="s">
        <v>4568</v>
      </c>
      <c r="C346" s="190"/>
      <c r="E346" s="209"/>
      <c r="F346" s="209"/>
      <c r="G346" s="231" t="s">
        <v>1730</v>
      </c>
      <c r="H346" s="231" t="s">
        <v>1730</v>
      </c>
      <c r="L346" s="231"/>
      <c r="M346" s="231"/>
      <c r="N346" s="242"/>
      <c r="Q346" s="244"/>
      <c r="R346" s="245"/>
      <c r="T346" s="245"/>
      <c r="AB346" s="231"/>
      <c r="AC346" s="231"/>
      <c r="AD346" s="231"/>
    </row>
    <row r="347" spans="1:30" x14ac:dyDescent="0.25">
      <c r="A347" s="190"/>
      <c r="B347" s="190" t="s">
        <v>4564</v>
      </c>
      <c r="C347" s="190">
        <v>1</v>
      </c>
      <c r="E347" s="209"/>
      <c r="F347" s="209"/>
      <c r="G347" s="231" t="s">
        <v>1730</v>
      </c>
      <c r="H347" s="231" t="s">
        <v>1760</v>
      </c>
      <c r="L347" s="231"/>
      <c r="M347" s="231"/>
      <c r="N347" s="242"/>
      <c r="Q347" s="244"/>
      <c r="R347" s="245"/>
      <c r="T347" s="245"/>
      <c r="AB347" s="231"/>
      <c r="AC347" s="231"/>
      <c r="AD347" s="231"/>
    </row>
    <row r="348" spans="1:30" x14ac:dyDescent="0.25">
      <c r="A348" s="190">
        <v>338</v>
      </c>
      <c r="B348" s="190" t="s">
        <v>4564</v>
      </c>
      <c r="C348" s="190">
        <v>1</v>
      </c>
      <c r="E348" s="209"/>
      <c r="F348" s="209"/>
      <c r="G348" s="231" t="s">
        <v>1730</v>
      </c>
      <c r="H348" s="231" t="s">
        <v>1760</v>
      </c>
      <c r="L348" s="231"/>
      <c r="M348" s="231"/>
      <c r="N348" s="242"/>
      <c r="Q348" s="244">
        <v>12</v>
      </c>
      <c r="R348" s="245" t="s">
        <v>3990</v>
      </c>
      <c r="S348" s="311" t="s">
        <v>4177</v>
      </c>
      <c r="T348" s="245">
        <v>41186</v>
      </c>
      <c r="U348" s="231" t="s">
        <v>4178</v>
      </c>
      <c r="Z348" s="231">
        <v>1</v>
      </c>
      <c r="AA348" s="231" t="s">
        <v>4179</v>
      </c>
      <c r="AB348" s="231"/>
      <c r="AC348" s="231"/>
      <c r="AD348" s="231"/>
    </row>
    <row r="349" spans="1:30" x14ac:dyDescent="0.25">
      <c r="A349" s="190">
        <v>339</v>
      </c>
      <c r="B349" s="190" t="s">
        <v>4569</v>
      </c>
      <c r="C349" s="190">
        <v>0</v>
      </c>
      <c r="D349" s="210">
        <v>8104454</v>
      </c>
      <c r="E349" s="209"/>
      <c r="F349" s="209"/>
      <c r="G349" s="231" t="s">
        <v>22</v>
      </c>
      <c r="H349" s="231" t="s">
        <v>4570</v>
      </c>
      <c r="K349" s="262" t="s">
        <v>4571</v>
      </c>
      <c r="L349" s="335">
        <v>39975</v>
      </c>
      <c r="M349" s="262" t="s">
        <v>3958</v>
      </c>
      <c r="N349" s="242">
        <v>2012</v>
      </c>
      <c r="Q349" s="244">
        <v>12</v>
      </c>
      <c r="R349" s="245" t="s">
        <v>3990</v>
      </c>
      <c r="S349" s="311" t="s">
        <v>4177</v>
      </c>
      <c r="T349" s="245">
        <v>41186</v>
      </c>
      <c r="U349" s="231" t="s">
        <v>4178</v>
      </c>
      <c r="Z349" s="231">
        <v>1</v>
      </c>
      <c r="AA349" s="231" t="s">
        <v>4179</v>
      </c>
      <c r="AB349" s="231"/>
      <c r="AC349" s="231"/>
      <c r="AD349" s="231"/>
    </row>
    <row r="350" spans="1:30" x14ac:dyDescent="0.25">
      <c r="A350" s="190">
        <v>340</v>
      </c>
      <c r="B350" s="190" t="s">
        <v>4572</v>
      </c>
      <c r="C350" s="190" t="s">
        <v>4573</v>
      </c>
      <c r="D350" s="210">
        <v>8104454</v>
      </c>
      <c r="E350" s="209" t="s">
        <v>245</v>
      </c>
      <c r="F350" s="209"/>
      <c r="G350" s="231" t="s">
        <v>22</v>
      </c>
      <c r="H350" s="231" t="s">
        <v>4570</v>
      </c>
      <c r="K350" s="262" t="s">
        <v>4571</v>
      </c>
      <c r="L350" s="263">
        <v>39975</v>
      </c>
      <c r="M350" s="231" t="s">
        <v>3958</v>
      </c>
      <c r="N350" s="242"/>
      <c r="Q350" s="244"/>
      <c r="R350" s="245"/>
      <c r="T350" s="245"/>
      <c r="AB350" s="231"/>
      <c r="AC350" s="231"/>
      <c r="AD350" s="231"/>
    </row>
    <row r="351" spans="1:30" x14ac:dyDescent="0.25">
      <c r="A351" s="190">
        <v>341</v>
      </c>
      <c r="B351" s="190" t="s">
        <v>4574</v>
      </c>
      <c r="C351" s="190" t="s">
        <v>4573</v>
      </c>
      <c r="D351" s="210">
        <v>8104454</v>
      </c>
      <c r="E351" s="209" t="s">
        <v>254</v>
      </c>
      <c r="F351" s="209"/>
      <c r="G351" s="231" t="s">
        <v>22</v>
      </c>
      <c r="H351" s="231" t="s">
        <v>4570</v>
      </c>
      <c r="K351" s="262" t="s">
        <v>4571</v>
      </c>
      <c r="L351" s="263">
        <v>39975</v>
      </c>
      <c r="M351" s="231" t="s">
        <v>3958</v>
      </c>
      <c r="N351" s="242"/>
      <c r="Q351" s="244"/>
      <c r="R351" s="245"/>
      <c r="T351" s="245"/>
      <c r="AB351" s="231"/>
      <c r="AC351" s="231"/>
      <c r="AD351" s="231"/>
    </row>
    <row r="352" spans="1:30" x14ac:dyDescent="0.25">
      <c r="A352" s="190">
        <v>342</v>
      </c>
      <c r="B352" s="190" t="s">
        <v>4575</v>
      </c>
      <c r="C352" s="190" t="s">
        <v>4573</v>
      </c>
      <c r="D352" s="210">
        <v>8104454</v>
      </c>
      <c r="E352" s="209" t="s">
        <v>260</v>
      </c>
      <c r="F352" s="209"/>
      <c r="G352" s="231" t="s">
        <v>22</v>
      </c>
      <c r="H352" s="231" t="s">
        <v>4570</v>
      </c>
      <c r="K352" s="262" t="s">
        <v>4571</v>
      </c>
      <c r="L352" s="263">
        <v>39975</v>
      </c>
      <c r="M352" s="231" t="s">
        <v>3958</v>
      </c>
      <c r="N352" s="242"/>
      <c r="Q352" s="244"/>
      <c r="R352" s="245"/>
      <c r="T352" s="245"/>
      <c r="AB352" s="231"/>
      <c r="AC352" s="231"/>
      <c r="AD352" s="231"/>
    </row>
    <row r="353" spans="1:30" x14ac:dyDescent="0.25">
      <c r="A353" s="190">
        <v>343</v>
      </c>
      <c r="B353" s="190" t="s">
        <v>4576</v>
      </c>
      <c r="C353" s="190" t="s">
        <v>4573</v>
      </c>
      <c r="D353" s="210">
        <v>8104454</v>
      </c>
      <c r="E353" s="209" t="s">
        <v>258</v>
      </c>
      <c r="F353" s="209"/>
      <c r="G353" s="231" t="s">
        <v>22</v>
      </c>
      <c r="H353" s="231" t="s">
        <v>4570</v>
      </c>
      <c r="K353" s="262" t="s">
        <v>4571</v>
      </c>
      <c r="L353" s="263">
        <v>39975</v>
      </c>
      <c r="M353" s="231" t="s">
        <v>3958</v>
      </c>
      <c r="N353" s="242"/>
      <c r="Q353" s="244"/>
      <c r="R353" s="245"/>
      <c r="T353" s="245"/>
      <c r="AB353" s="231"/>
      <c r="AC353" s="231"/>
      <c r="AD353" s="231"/>
    </row>
    <row r="354" spans="1:30" x14ac:dyDescent="0.25">
      <c r="A354" s="190">
        <v>339</v>
      </c>
      <c r="B354" s="190" t="s">
        <v>4577</v>
      </c>
      <c r="C354" s="190" t="s">
        <v>4573</v>
      </c>
      <c r="D354" s="210">
        <v>4700004</v>
      </c>
      <c r="E354" s="209"/>
      <c r="F354" s="209"/>
      <c r="G354" s="231" t="s">
        <v>22</v>
      </c>
      <c r="H354" s="231" t="s">
        <v>4570</v>
      </c>
      <c r="K354" s="304" t="s">
        <v>4530</v>
      </c>
      <c r="L354" s="355">
        <v>38295</v>
      </c>
      <c r="M354" s="355">
        <v>41947</v>
      </c>
      <c r="N354" s="242"/>
      <c r="Q354" s="244">
        <v>12</v>
      </c>
      <c r="R354" s="245" t="s">
        <v>3990</v>
      </c>
      <c r="S354" s="311" t="s">
        <v>4177</v>
      </c>
      <c r="T354" s="245">
        <v>41186</v>
      </c>
      <c r="U354" s="231" t="s">
        <v>4178</v>
      </c>
      <c r="Z354" s="231">
        <v>1</v>
      </c>
      <c r="AA354" s="231" t="s">
        <v>4179</v>
      </c>
      <c r="AB354" s="231"/>
      <c r="AC354" s="231"/>
      <c r="AD354" s="231"/>
    </row>
    <row r="355" spans="1:30" x14ac:dyDescent="0.25">
      <c r="A355" s="190">
        <v>340</v>
      </c>
      <c r="B355" s="186" t="s">
        <v>4578</v>
      </c>
      <c r="C355" s="186" t="s">
        <v>4573</v>
      </c>
      <c r="D355" s="210">
        <v>4700004</v>
      </c>
      <c r="E355" s="209" t="s">
        <v>4579</v>
      </c>
      <c r="F355" s="209"/>
      <c r="G355" s="231" t="s">
        <v>22</v>
      </c>
      <c r="H355" s="231" t="s">
        <v>4570</v>
      </c>
      <c r="I355" s="186"/>
      <c r="K355" s="304" t="s">
        <v>4530</v>
      </c>
      <c r="L355" s="355">
        <v>38295</v>
      </c>
      <c r="M355" s="355">
        <v>41947</v>
      </c>
      <c r="N355" s="242"/>
      <c r="Q355" s="244"/>
      <c r="R355" s="245"/>
      <c r="T355" s="245"/>
      <c r="AB355" s="231"/>
      <c r="AC355" s="231"/>
      <c r="AD355" s="231"/>
    </row>
    <row r="356" spans="1:30" x14ac:dyDescent="0.25">
      <c r="A356" s="190">
        <v>341</v>
      </c>
      <c r="B356" s="186" t="s">
        <v>4580</v>
      </c>
      <c r="C356" s="186" t="s">
        <v>4573</v>
      </c>
      <c r="D356" s="210">
        <v>4700123</v>
      </c>
      <c r="E356" s="209" t="s">
        <v>4581</v>
      </c>
      <c r="F356" s="209"/>
      <c r="G356" s="231" t="s">
        <v>22</v>
      </c>
      <c r="H356" s="231" t="s">
        <v>4570</v>
      </c>
      <c r="I356" s="186"/>
      <c r="K356" s="304" t="s">
        <v>4530</v>
      </c>
      <c r="L356" s="355">
        <v>38295</v>
      </c>
      <c r="M356" s="355">
        <v>41947</v>
      </c>
      <c r="N356" s="242"/>
      <c r="Q356" s="244"/>
      <c r="R356" s="245"/>
      <c r="T356" s="245"/>
      <c r="AB356" s="231"/>
      <c r="AC356" s="231"/>
      <c r="AD356" s="231"/>
    </row>
    <row r="357" spans="1:30" x14ac:dyDescent="0.25">
      <c r="A357" s="190">
        <v>342</v>
      </c>
      <c r="B357" s="186" t="s">
        <v>4582</v>
      </c>
      <c r="C357" s="186" t="s">
        <v>4573</v>
      </c>
      <c r="D357" s="210">
        <v>4700120</v>
      </c>
      <c r="E357" s="209" t="s">
        <v>4583</v>
      </c>
      <c r="F357" s="209"/>
      <c r="G357" s="231" t="s">
        <v>22</v>
      </c>
      <c r="H357" s="231" t="s">
        <v>4570</v>
      </c>
      <c r="I357" s="186"/>
      <c r="K357" s="304" t="s">
        <v>4530</v>
      </c>
      <c r="L357" s="355">
        <v>38295</v>
      </c>
      <c r="M357" s="355">
        <v>41947</v>
      </c>
      <c r="N357" s="242"/>
      <c r="Q357" s="244"/>
      <c r="R357" s="245"/>
      <c r="T357" s="245"/>
      <c r="AB357" s="231"/>
      <c r="AC357" s="231"/>
      <c r="AD357" s="231"/>
    </row>
    <row r="358" spans="1:30" x14ac:dyDescent="0.25">
      <c r="A358" s="190">
        <v>343</v>
      </c>
      <c r="B358" s="186" t="s">
        <v>4584</v>
      </c>
      <c r="C358" s="186" t="s">
        <v>4573</v>
      </c>
      <c r="E358" s="209" t="s">
        <v>4585</v>
      </c>
      <c r="F358" s="209"/>
      <c r="G358" s="231" t="s">
        <v>22</v>
      </c>
      <c r="H358" s="231" t="s">
        <v>4570</v>
      </c>
      <c r="I358" s="186"/>
      <c r="K358" s="304" t="s">
        <v>4530</v>
      </c>
      <c r="L358" s="355">
        <v>38295</v>
      </c>
      <c r="M358" s="355">
        <v>41947</v>
      </c>
      <c r="N358" s="242"/>
      <c r="Q358" s="244"/>
      <c r="R358" s="245"/>
      <c r="T358" s="245"/>
      <c r="AB358" s="231"/>
      <c r="AC358" s="231"/>
      <c r="AD358" s="231"/>
    </row>
    <row r="359" spans="1:30" x14ac:dyDescent="0.25">
      <c r="A359" s="309">
        <v>344</v>
      </c>
      <c r="B359" s="190" t="s">
        <v>4586</v>
      </c>
      <c r="C359" s="186" t="s">
        <v>4573</v>
      </c>
      <c r="D359" s="210">
        <v>4700346</v>
      </c>
      <c r="E359" s="209"/>
      <c r="F359" s="209"/>
      <c r="G359" s="231" t="s">
        <v>4587</v>
      </c>
      <c r="H359" s="231"/>
      <c r="K359" s="301" t="s">
        <v>4588</v>
      </c>
      <c r="L359" s="357">
        <v>38568</v>
      </c>
      <c r="M359" s="357">
        <v>42220</v>
      </c>
      <c r="N359" s="242"/>
      <c r="Q359" s="244">
        <v>12</v>
      </c>
      <c r="R359" s="245">
        <v>40820</v>
      </c>
      <c r="S359" s="311" t="s">
        <v>4177</v>
      </c>
      <c r="T359" s="245">
        <v>41186</v>
      </c>
      <c r="U359" s="231" t="s">
        <v>4178</v>
      </c>
      <c r="Z359" s="231">
        <v>1</v>
      </c>
      <c r="AA359" s="231" t="s">
        <v>4179</v>
      </c>
      <c r="AB359" s="231"/>
      <c r="AC359" s="231"/>
      <c r="AD359" s="231"/>
    </row>
    <row r="360" spans="1:30" x14ac:dyDescent="0.25">
      <c r="A360" s="190">
        <v>345</v>
      </c>
      <c r="B360" s="190" t="s">
        <v>4589</v>
      </c>
      <c r="C360" s="186" t="s">
        <v>4573</v>
      </c>
      <c r="E360" s="209" t="s">
        <v>4590</v>
      </c>
      <c r="F360" s="209"/>
      <c r="G360" s="231" t="s">
        <v>4587</v>
      </c>
      <c r="H360" s="231"/>
      <c r="K360" s="301" t="s">
        <v>4588</v>
      </c>
      <c r="L360" s="357">
        <v>38568</v>
      </c>
      <c r="M360" s="357">
        <v>42220</v>
      </c>
      <c r="N360" s="242"/>
      <c r="Q360" s="244"/>
      <c r="R360" s="245"/>
      <c r="T360" s="245"/>
      <c r="AB360" s="231"/>
      <c r="AC360" s="231"/>
      <c r="AD360" s="231"/>
    </row>
    <row r="361" spans="1:30" x14ac:dyDescent="0.25">
      <c r="A361" s="190">
        <v>346</v>
      </c>
      <c r="B361" s="190" t="s">
        <v>4591</v>
      </c>
      <c r="C361" s="186" t="s">
        <v>4573</v>
      </c>
      <c r="E361" s="209" t="s">
        <v>4592</v>
      </c>
      <c r="F361" s="209"/>
      <c r="G361" s="231" t="s">
        <v>4587</v>
      </c>
      <c r="H361" s="231"/>
      <c r="K361" s="301" t="s">
        <v>4588</v>
      </c>
      <c r="L361" s="357">
        <v>38568</v>
      </c>
      <c r="M361" s="357">
        <v>42220</v>
      </c>
      <c r="N361" s="242"/>
      <c r="Q361" s="244"/>
      <c r="R361" s="245"/>
      <c r="T361" s="245"/>
      <c r="AB361" s="231"/>
      <c r="AC361" s="231"/>
      <c r="AD361" s="231"/>
    </row>
    <row r="362" spans="1:30" x14ac:dyDescent="0.25">
      <c r="A362" s="190">
        <v>347</v>
      </c>
      <c r="B362" s="190" t="s">
        <v>4593</v>
      </c>
      <c r="C362" s="186" t="s">
        <v>4573</v>
      </c>
      <c r="E362" s="209" t="s">
        <v>4594</v>
      </c>
      <c r="F362" s="209"/>
      <c r="G362" s="231" t="s">
        <v>4587</v>
      </c>
      <c r="H362" s="231"/>
      <c r="K362" s="301" t="s">
        <v>4588</v>
      </c>
      <c r="L362" s="357">
        <v>38568</v>
      </c>
      <c r="M362" s="357">
        <v>42220</v>
      </c>
      <c r="N362" s="242"/>
      <c r="Q362" s="244"/>
      <c r="R362" s="245"/>
      <c r="T362" s="245"/>
      <c r="AB362" s="231"/>
      <c r="AC362" s="231"/>
      <c r="AD362" s="231"/>
    </row>
    <row r="363" spans="1:30" x14ac:dyDescent="0.25">
      <c r="A363" s="190">
        <v>348</v>
      </c>
      <c r="B363" s="190" t="s">
        <v>4595</v>
      </c>
      <c r="C363" s="186" t="s">
        <v>4573</v>
      </c>
      <c r="E363" s="209" t="s">
        <v>4596</v>
      </c>
      <c r="F363" s="209"/>
      <c r="G363" s="231" t="s">
        <v>4587</v>
      </c>
      <c r="H363" s="231"/>
      <c r="K363" s="301" t="s">
        <v>4588</v>
      </c>
      <c r="L363" s="357">
        <v>38568</v>
      </c>
      <c r="M363" s="357">
        <v>42220</v>
      </c>
      <c r="N363" s="242"/>
      <c r="Q363" s="244"/>
      <c r="R363" s="245"/>
      <c r="T363" s="245"/>
      <c r="AB363" s="231"/>
      <c r="AC363" s="231"/>
      <c r="AD363" s="231"/>
    </row>
    <row r="364" spans="1:30" x14ac:dyDescent="0.25">
      <c r="A364" s="190">
        <v>354</v>
      </c>
      <c r="B364" s="190" t="s">
        <v>4597</v>
      </c>
      <c r="C364" s="186">
        <v>0</v>
      </c>
      <c r="D364" s="210" t="s">
        <v>4598</v>
      </c>
      <c r="E364" s="209" t="s">
        <v>287</v>
      </c>
      <c r="F364" s="209"/>
      <c r="G364" s="231" t="s">
        <v>22</v>
      </c>
      <c r="H364" s="231" t="s">
        <v>4599</v>
      </c>
      <c r="K364" s="301" t="s">
        <v>4600</v>
      </c>
      <c r="L364" s="358">
        <v>39931</v>
      </c>
      <c r="M364" s="301" t="s">
        <v>3958</v>
      </c>
      <c r="N364" s="242"/>
      <c r="Q364" s="244">
        <v>12</v>
      </c>
      <c r="R364" s="245">
        <v>40820</v>
      </c>
      <c r="S364" s="311" t="s">
        <v>4177</v>
      </c>
      <c r="T364" s="245">
        <v>41186</v>
      </c>
      <c r="U364" s="231" t="s">
        <v>4178</v>
      </c>
      <c r="Z364" s="231">
        <v>1</v>
      </c>
      <c r="AA364" s="231" t="s">
        <v>4179</v>
      </c>
      <c r="AB364" s="231"/>
      <c r="AC364" s="231"/>
      <c r="AD364" s="231"/>
    </row>
    <row r="365" spans="1:30" x14ac:dyDescent="0.25">
      <c r="A365" s="190">
        <v>355</v>
      </c>
      <c r="B365" s="190" t="s">
        <v>4601</v>
      </c>
      <c r="C365" s="186" t="s">
        <v>4573</v>
      </c>
      <c r="D365" s="210" t="s">
        <v>4598</v>
      </c>
      <c r="E365" s="209" t="s">
        <v>277</v>
      </c>
      <c r="F365" s="209"/>
      <c r="G365" s="231" t="s">
        <v>22</v>
      </c>
      <c r="H365" s="231" t="s">
        <v>4599</v>
      </c>
      <c r="K365" s="301" t="s">
        <v>4600</v>
      </c>
      <c r="L365" s="357">
        <v>39931</v>
      </c>
      <c r="M365" s="359" t="s">
        <v>3958</v>
      </c>
      <c r="N365" s="242"/>
      <c r="Q365" s="244"/>
      <c r="R365" s="245"/>
      <c r="T365" s="245"/>
      <c r="AB365" s="231"/>
      <c r="AC365" s="231"/>
      <c r="AD365" s="231"/>
    </row>
    <row r="366" spans="1:30" x14ac:dyDescent="0.25">
      <c r="A366" s="190">
        <v>356</v>
      </c>
      <c r="B366" s="190" t="s">
        <v>4602</v>
      </c>
      <c r="C366" s="186" t="s">
        <v>4573</v>
      </c>
      <c r="D366" s="210" t="s">
        <v>4598</v>
      </c>
      <c r="E366" s="209" t="s">
        <v>275</v>
      </c>
      <c r="F366" s="209"/>
      <c r="G366" s="231" t="s">
        <v>22</v>
      </c>
      <c r="H366" s="231" t="s">
        <v>4599</v>
      </c>
      <c r="K366" s="301" t="s">
        <v>4600</v>
      </c>
      <c r="L366" s="357">
        <v>39931</v>
      </c>
      <c r="M366" s="359" t="s">
        <v>3958</v>
      </c>
      <c r="N366" s="242"/>
      <c r="Q366" s="244"/>
      <c r="R366" s="245"/>
      <c r="T366" s="245"/>
      <c r="AB366" s="231"/>
      <c r="AC366" s="231"/>
      <c r="AD366" s="231"/>
    </row>
    <row r="367" spans="1:30" x14ac:dyDescent="0.25">
      <c r="A367" s="190">
        <v>357</v>
      </c>
      <c r="B367" s="190" t="s">
        <v>4603</v>
      </c>
      <c r="C367" s="186" t="s">
        <v>4573</v>
      </c>
      <c r="D367" s="210" t="s">
        <v>4598</v>
      </c>
      <c r="E367" s="209" t="s">
        <v>269</v>
      </c>
      <c r="F367" s="209"/>
      <c r="G367" s="231" t="s">
        <v>22</v>
      </c>
      <c r="H367" s="231" t="s">
        <v>4599</v>
      </c>
      <c r="K367" s="301" t="s">
        <v>4600</v>
      </c>
      <c r="L367" s="357">
        <v>39931</v>
      </c>
      <c r="M367" s="359" t="s">
        <v>3958</v>
      </c>
      <c r="N367" s="242"/>
      <c r="Q367" s="244"/>
      <c r="R367" s="245"/>
      <c r="T367" s="245"/>
      <c r="AB367" s="231"/>
      <c r="AC367" s="231"/>
      <c r="AD367" s="231"/>
    </row>
    <row r="368" spans="1:30" x14ac:dyDescent="0.25">
      <c r="A368" s="309">
        <v>358</v>
      </c>
      <c r="B368" s="190" t="s">
        <v>4604</v>
      </c>
      <c r="C368" s="186" t="s">
        <v>4573</v>
      </c>
      <c r="D368" s="210" t="s">
        <v>4598</v>
      </c>
      <c r="E368" s="209" t="s">
        <v>273</v>
      </c>
      <c r="F368" s="209"/>
      <c r="G368" s="231" t="s">
        <v>22</v>
      </c>
      <c r="H368" s="231" t="s">
        <v>4599</v>
      </c>
      <c r="K368" s="301" t="s">
        <v>4600</v>
      </c>
      <c r="L368" s="357">
        <v>39931</v>
      </c>
      <c r="M368" s="359" t="s">
        <v>3958</v>
      </c>
      <c r="N368" s="242"/>
      <c r="Q368" s="244"/>
      <c r="R368" s="245"/>
      <c r="T368" s="245"/>
      <c r="AB368" s="231"/>
      <c r="AC368" s="231"/>
      <c r="AD368" s="231"/>
    </row>
    <row r="369" spans="1:30" x14ac:dyDescent="0.25">
      <c r="A369" s="360"/>
      <c r="B369" s="186" t="s">
        <v>4605</v>
      </c>
      <c r="C369" s="186"/>
      <c r="D369" s="210">
        <v>8104085</v>
      </c>
      <c r="E369" s="210" t="s">
        <v>4606</v>
      </c>
      <c r="F369" s="210"/>
      <c r="G369" s="231" t="s">
        <v>22</v>
      </c>
      <c r="H369" s="361" t="s">
        <v>1236</v>
      </c>
      <c r="I369" s="186"/>
      <c r="J369" s="361"/>
      <c r="L369" s="361"/>
      <c r="M369" s="361"/>
      <c r="N369" s="361"/>
      <c r="O369" s="361"/>
      <c r="P369" s="361"/>
      <c r="Q369" s="361"/>
      <c r="R369" s="361"/>
      <c r="S369" s="361"/>
      <c r="T369" s="361"/>
      <c r="U369" s="361"/>
      <c r="V369" s="361"/>
      <c r="W369" s="361"/>
      <c r="X369" s="361"/>
      <c r="Y369" s="361"/>
      <c r="Z369" s="361"/>
      <c r="AA369" s="361"/>
      <c r="AB369" s="361"/>
      <c r="AC369" s="361"/>
      <c r="AD369" s="362"/>
    </row>
    <row r="370" spans="1:30" x14ac:dyDescent="0.25">
      <c r="A370" s="360"/>
      <c r="B370" s="363" t="s">
        <v>4607</v>
      </c>
      <c r="C370" s="186"/>
      <c r="D370" s="210">
        <v>4700190</v>
      </c>
      <c r="E370" s="210"/>
      <c r="F370" s="210"/>
      <c r="G370" s="231" t="s">
        <v>22</v>
      </c>
      <c r="H370" s="361" t="s">
        <v>1236</v>
      </c>
      <c r="I370" s="186"/>
      <c r="J370" s="361"/>
      <c r="L370" s="361"/>
      <c r="M370" s="361"/>
      <c r="N370" s="361"/>
      <c r="O370" s="361"/>
      <c r="P370" s="361"/>
      <c r="Q370" s="361"/>
      <c r="R370" s="361"/>
      <c r="S370" s="361"/>
      <c r="T370" s="361"/>
      <c r="U370" s="361"/>
      <c r="V370" s="361"/>
      <c r="W370" s="361"/>
      <c r="X370" s="361"/>
      <c r="Y370" s="361"/>
      <c r="Z370" s="361"/>
      <c r="AA370" s="361"/>
      <c r="AB370" s="361"/>
      <c r="AC370" s="361"/>
      <c r="AD370" s="362"/>
    </row>
    <row r="371" spans="1:30" x14ac:dyDescent="0.25">
      <c r="A371" s="190"/>
      <c r="B371" s="363" t="s">
        <v>4608</v>
      </c>
      <c r="C371" s="186"/>
      <c r="D371" s="210">
        <v>4700346</v>
      </c>
      <c r="E371" s="209"/>
      <c r="F371" s="209"/>
      <c r="G371" s="231"/>
      <c r="H371" s="231"/>
      <c r="L371" s="231"/>
      <c r="M371" s="231"/>
      <c r="N371" s="190"/>
      <c r="Q371" s="244"/>
      <c r="R371" s="245"/>
      <c r="AB371" s="231"/>
      <c r="AC371" s="231"/>
      <c r="AD371" s="231"/>
    </row>
    <row r="372" spans="1:30" x14ac:dyDescent="0.25">
      <c r="A372" s="360"/>
      <c r="B372" s="186" t="s">
        <v>4609</v>
      </c>
      <c r="C372" s="186"/>
      <c r="D372" s="210" t="s">
        <v>339</v>
      </c>
      <c r="E372" s="210" t="s">
        <v>4610</v>
      </c>
      <c r="F372" s="210"/>
      <c r="G372" s="231"/>
      <c r="H372" s="361" t="s">
        <v>4611</v>
      </c>
      <c r="I372" s="186"/>
      <c r="J372" s="361"/>
      <c r="L372" s="361"/>
      <c r="M372" s="361"/>
      <c r="N372" s="361">
        <v>2012</v>
      </c>
      <c r="O372" s="361"/>
      <c r="P372" s="361"/>
      <c r="Q372" s="361"/>
      <c r="R372" s="361"/>
      <c r="S372" s="361"/>
      <c r="T372" s="361"/>
      <c r="U372" s="361"/>
      <c r="V372" s="361"/>
      <c r="W372" s="361"/>
      <c r="X372" s="361"/>
      <c r="Y372" s="361"/>
      <c r="Z372" s="361"/>
      <c r="AA372" s="361"/>
      <c r="AB372" s="361"/>
      <c r="AC372" s="361"/>
      <c r="AD372" s="362"/>
    </row>
    <row r="373" spans="1:30" x14ac:dyDescent="0.25">
      <c r="A373" s="360"/>
      <c r="B373" s="186" t="s">
        <v>4612</v>
      </c>
      <c r="C373" s="186">
        <v>1</v>
      </c>
      <c r="D373" s="210" t="s">
        <v>1003</v>
      </c>
      <c r="E373" s="210" t="s">
        <v>1002</v>
      </c>
      <c r="F373" s="210"/>
      <c r="G373" s="231"/>
      <c r="H373" s="361" t="s">
        <v>4611</v>
      </c>
      <c r="I373" s="186"/>
      <c r="J373" s="361"/>
      <c r="K373" s="262" t="s">
        <v>4613</v>
      </c>
      <c r="L373" s="364">
        <v>39675</v>
      </c>
      <c r="M373" s="361" t="s">
        <v>4614</v>
      </c>
      <c r="N373" s="361"/>
      <c r="O373" s="361"/>
      <c r="P373" s="361"/>
      <c r="Q373" s="361"/>
      <c r="R373" s="361"/>
      <c r="S373" s="361"/>
      <c r="T373" s="361"/>
      <c r="U373" s="361"/>
      <c r="V373" s="361"/>
      <c r="W373" s="361"/>
      <c r="X373" s="361"/>
      <c r="Y373" s="361"/>
      <c r="Z373" s="361"/>
      <c r="AA373" s="361"/>
      <c r="AB373" s="361"/>
      <c r="AC373" s="361"/>
      <c r="AD373" s="362"/>
    </row>
    <row r="374" spans="1:30" x14ac:dyDescent="0.25">
      <c r="A374" s="360"/>
      <c r="B374" s="186" t="s">
        <v>4615</v>
      </c>
      <c r="C374" s="186"/>
      <c r="D374" s="210" t="s">
        <v>4616</v>
      </c>
      <c r="E374" s="210" t="s">
        <v>4617</v>
      </c>
      <c r="F374" s="210"/>
      <c r="G374" s="231"/>
      <c r="H374" s="361" t="s">
        <v>4611</v>
      </c>
      <c r="I374" s="186"/>
      <c r="J374" s="361"/>
      <c r="L374" s="361"/>
      <c r="M374" s="361"/>
      <c r="N374" s="361"/>
      <c r="O374" s="361"/>
      <c r="P374" s="361"/>
      <c r="Q374" s="361"/>
      <c r="R374" s="361"/>
      <c r="S374" s="361"/>
      <c r="T374" s="361"/>
      <c r="U374" s="361"/>
      <c r="V374" s="361"/>
      <c r="W374" s="361"/>
      <c r="X374" s="361"/>
      <c r="Y374" s="361"/>
      <c r="Z374" s="361"/>
      <c r="AA374" s="361"/>
      <c r="AB374" s="361"/>
      <c r="AC374" s="361"/>
      <c r="AD374" s="362"/>
    </row>
    <row r="375" spans="1:30" x14ac:dyDescent="0.25">
      <c r="A375" s="360"/>
      <c r="B375" s="186" t="s">
        <v>4618</v>
      </c>
      <c r="C375" s="186"/>
      <c r="D375" s="210" t="s">
        <v>4619</v>
      </c>
      <c r="E375" s="210"/>
      <c r="F375" s="210"/>
      <c r="G375" s="231"/>
      <c r="H375" s="361" t="s">
        <v>4611</v>
      </c>
      <c r="I375" s="186"/>
      <c r="J375" s="361"/>
      <c r="L375" s="361"/>
      <c r="M375" s="361"/>
      <c r="N375" s="361"/>
      <c r="O375" s="361"/>
      <c r="P375" s="361"/>
      <c r="Q375" s="361"/>
      <c r="R375" s="361"/>
      <c r="S375" s="361"/>
      <c r="T375" s="361"/>
      <c r="U375" s="361"/>
      <c r="V375" s="361"/>
      <c r="W375" s="361"/>
      <c r="X375" s="361"/>
      <c r="Y375" s="361"/>
      <c r="Z375" s="361"/>
      <c r="AA375" s="361"/>
      <c r="AB375" s="361"/>
      <c r="AC375" s="361"/>
      <c r="AD375" s="362"/>
    </row>
    <row r="376" spans="1:30" x14ac:dyDescent="0.25">
      <c r="A376" s="360"/>
      <c r="B376" s="186" t="s">
        <v>4620</v>
      </c>
      <c r="C376" s="186"/>
      <c r="D376" s="210"/>
      <c r="E376" s="210"/>
      <c r="F376" s="210"/>
      <c r="G376" s="231"/>
      <c r="H376" s="361" t="s">
        <v>4611</v>
      </c>
      <c r="I376" s="186"/>
      <c r="J376" s="361"/>
      <c r="L376" s="361"/>
      <c r="M376" s="361"/>
      <c r="N376" s="361"/>
      <c r="O376" s="361"/>
      <c r="P376" s="361"/>
      <c r="Q376" s="361"/>
      <c r="R376" s="361"/>
      <c r="S376" s="361"/>
      <c r="T376" s="361"/>
      <c r="U376" s="361"/>
      <c r="V376" s="361"/>
      <c r="W376" s="361"/>
      <c r="X376" s="361"/>
      <c r="Y376" s="361"/>
      <c r="Z376" s="361"/>
      <c r="AA376" s="361"/>
      <c r="AB376" s="361"/>
      <c r="AC376" s="361"/>
      <c r="AD376" s="362"/>
    </row>
    <row r="377" spans="1:30" x14ac:dyDescent="0.25">
      <c r="A377" s="360"/>
      <c r="B377" s="186" t="s">
        <v>4621</v>
      </c>
      <c r="C377" s="186">
        <v>1</v>
      </c>
      <c r="D377" s="210" t="s">
        <v>4622</v>
      </c>
      <c r="E377" s="210" t="s">
        <v>4623</v>
      </c>
      <c r="F377" s="210"/>
      <c r="G377" s="231"/>
      <c r="H377" s="361" t="s">
        <v>4611</v>
      </c>
      <c r="I377" s="186"/>
      <c r="J377" s="361"/>
      <c r="L377" s="361"/>
      <c r="M377" s="361"/>
      <c r="N377" s="361"/>
      <c r="O377" s="361"/>
      <c r="P377" s="361"/>
      <c r="Q377" s="361"/>
      <c r="R377" s="361"/>
      <c r="S377" s="361"/>
      <c r="T377" s="361"/>
      <c r="U377" s="361"/>
      <c r="V377" s="361"/>
      <c r="W377" s="361"/>
      <c r="X377" s="361"/>
      <c r="Y377" s="361"/>
      <c r="Z377" s="361"/>
      <c r="AA377" s="361"/>
      <c r="AB377" s="361"/>
      <c r="AC377" s="361"/>
      <c r="AD377" s="362"/>
    </row>
    <row r="378" spans="1:30" x14ac:dyDescent="0.25">
      <c r="A378" s="360"/>
      <c r="B378" s="186" t="s">
        <v>4624</v>
      </c>
      <c r="C378" s="186"/>
      <c r="D378" s="210" t="s">
        <v>1011</v>
      </c>
      <c r="E378" s="210"/>
      <c r="F378" s="210"/>
      <c r="G378" s="231"/>
      <c r="H378" s="361" t="s">
        <v>4611</v>
      </c>
      <c r="I378" s="186"/>
      <c r="J378" s="361"/>
      <c r="L378" s="361"/>
      <c r="M378" s="361"/>
      <c r="N378" s="361"/>
      <c r="O378" s="361"/>
      <c r="P378" s="361"/>
      <c r="Q378" s="361"/>
      <c r="R378" s="361"/>
      <c r="S378" s="361"/>
      <c r="T378" s="361"/>
      <c r="U378" s="361"/>
      <c r="V378" s="361"/>
      <c r="W378" s="361"/>
      <c r="X378" s="361"/>
      <c r="Y378" s="361"/>
      <c r="Z378" s="361"/>
      <c r="AA378" s="361"/>
      <c r="AB378" s="361"/>
      <c r="AC378" s="361"/>
      <c r="AD378" s="362"/>
    </row>
    <row r="379" spans="1:30" x14ac:dyDescent="0.25">
      <c r="A379" s="360"/>
      <c r="B379" s="361" t="s">
        <v>4625</v>
      </c>
      <c r="C379" s="361"/>
      <c r="D379" s="365"/>
      <c r="E379" s="210"/>
      <c r="F379" s="210"/>
      <c r="G379" s="231"/>
      <c r="H379" s="361" t="s">
        <v>4611</v>
      </c>
      <c r="I379" s="361"/>
      <c r="J379" s="361"/>
      <c r="L379" s="361"/>
      <c r="M379" s="361"/>
      <c r="N379" s="361"/>
      <c r="O379" s="361"/>
      <c r="P379" s="361"/>
      <c r="Q379" s="361"/>
      <c r="R379" s="361"/>
      <c r="S379" s="361"/>
      <c r="T379" s="361"/>
      <c r="U379" s="361"/>
      <c r="V379" s="361"/>
      <c r="W379" s="361"/>
      <c r="X379" s="361"/>
      <c r="Y379" s="361"/>
      <c r="Z379" s="361"/>
      <c r="AA379" s="361"/>
      <c r="AB379" s="361"/>
      <c r="AC379" s="361"/>
      <c r="AD379" s="362"/>
    </row>
    <row r="380" spans="1:30" x14ac:dyDescent="0.25">
      <c r="A380" s="360"/>
      <c r="B380" s="361" t="s">
        <v>4626</v>
      </c>
      <c r="C380" s="361"/>
      <c r="D380" s="366" t="s">
        <v>4627</v>
      </c>
      <c r="E380" s="210" t="s">
        <v>4628</v>
      </c>
      <c r="F380" s="210"/>
      <c r="G380" s="231"/>
      <c r="H380" s="361" t="s">
        <v>4611</v>
      </c>
      <c r="I380" s="361"/>
      <c r="J380" s="361"/>
      <c r="L380" s="361"/>
      <c r="M380" s="361"/>
      <c r="N380" s="361"/>
      <c r="O380" s="361"/>
      <c r="P380" s="361"/>
      <c r="Q380" s="361"/>
      <c r="R380" s="361"/>
      <c r="S380" s="361"/>
      <c r="T380" s="361"/>
      <c r="U380" s="361"/>
      <c r="V380" s="361"/>
      <c r="W380" s="361"/>
      <c r="X380" s="361"/>
      <c r="Y380" s="361"/>
      <c r="Z380" s="361"/>
      <c r="AA380" s="361"/>
      <c r="AB380" s="361"/>
      <c r="AC380" s="361"/>
      <c r="AD380" s="362"/>
    </row>
    <row r="381" spans="1:30" x14ac:dyDescent="0.25">
      <c r="A381" s="190">
        <v>363</v>
      </c>
      <c r="B381" s="190" t="s">
        <v>4629</v>
      </c>
      <c r="C381" s="190"/>
      <c r="E381" s="209" t="s">
        <v>30</v>
      </c>
      <c r="F381" s="209"/>
      <c r="G381" s="231" t="s">
        <v>22</v>
      </c>
      <c r="H381" s="231">
        <v>103</v>
      </c>
      <c r="K381" s="262" t="s">
        <v>4630</v>
      </c>
      <c r="L381" s="263">
        <v>39623</v>
      </c>
      <c r="M381" s="231" t="s">
        <v>3958</v>
      </c>
      <c r="N381" s="242"/>
      <c r="Q381" s="244">
        <v>12</v>
      </c>
      <c r="R381" s="245">
        <v>42248</v>
      </c>
      <c r="S381" s="311" t="s">
        <v>4177</v>
      </c>
      <c r="T381" s="245">
        <v>41187</v>
      </c>
      <c r="U381" s="231" t="s">
        <v>4179</v>
      </c>
      <c r="Z381" s="231">
        <v>1</v>
      </c>
      <c r="AA381" s="231" t="s">
        <v>4179</v>
      </c>
      <c r="AB381" s="231"/>
      <c r="AC381" s="231"/>
      <c r="AD381" s="231"/>
    </row>
    <row r="382" spans="1:30" x14ac:dyDescent="0.25">
      <c r="A382" s="190"/>
      <c r="B382" s="190" t="s">
        <v>4184</v>
      </c>
      <c r="C382" s="190"/>
      <c r="E382" s="209" t="s">
        <v>4631</v>
      </c>
      <c r="F382" s="209"/>
      <c r="G382" s="231" t="s">
        <v>22</v>
      </c>
      <c r="H382" s="231">
        <v>103</v>
      </c>
      <c r="L382" s="263"/>
      <c r="M382" s="231"/>
      <c r="N382" s="242"/>
      <c r="Q382" s="244">
        <v>12</v>
      </c>
      <c r="R382" s="245">
        <v>42248</v>
      </c>
      <c r="T382" s="245"/>
      <c r="AB382" s="231"/>
      <c r="AC382" s="231"/>
      <c r="AD382" s="231"/>
    </row>
    <row r="383" spans="1:30" x14ac:dyDescent="0.25">
      <c r="A383" s="190">
        <v>364</v>
      </c>
      <c r="B383" s="190" t="s">
        <v>4632</v>
      </c>
      <c r="C383" s="190"/>
      <c r="E383" s="209"/>
      <c r="F383" s="209"/>
      <c r="G383" s="231" t="s">
        <v>22</v>
      </c>
      <c r="H383" s="231"/>
      <c r="L383" s="231"/>
      <c r="M383" s="231"/>
      <c r="N383" s="242"/>
      <c r="Q383" s="244">
        <v>12</v>
      </c>
      <c r="R383" s="245">
        <v>40701</v>
      </c>
      <c r="S383" s="311" t="s">
        <v>4192</v>
      </c>
      <c r="T383" s="245">
        <v>41067</v>
      </c>
      <c r="U383" s="231" t="s">
        <v>4193</v>
      </c>
      <c r="Z383" s="231">
        <v>2</v>
      </c>
      <c r="AA383" s="231" t="s">
        <v>4179</v>
      </c>
      <c r="AB383" s="231"/>
      <c r="AC383" s="231"/>
      <c r="AD383" s="231"/>
    </row>
    <row r="384" spans="1:30" x14ac:dyDescent="0.25">
      <c r="A384" s="309">
        <v>365</v>
      </c>
      <c r="B384" s="190" t="s">
        <v>4633</v>
      </c>
      <c r="C384" s="190"/>
      <c r="E384" s="209"/>
      <c r="F384" s="209"/>
      <c r="G384" s="231" t="s">
        <v>22</v>
      </c>
      <c r="H384" s="231"/>
      <c r="L384" s="231"/>
      <c r="M384" s="231"/>
      <c r="N384" s="242"/>
      <c r="Q384" s="244">
        <v>24</v>
      </c>
      <c r="R384" s="245">
        <v>40695</v>
      </c>
      <c r="S384" s="311" t="s">
        <v>4192</v>
      </c>
      <c r="T384" s="245">
        <v>41431</v>
      </c>
      <c r="U384" s="231" t="s">
        <v>4193</v>
      </c>
      <c r="Z384" s="231">
        <v>2</v>
      </c>
      <c r="AA384" s="231" t="s">
        <v>4179</v>
      </c>
      <c r="AB384" s="231"/>
      <c r="AC384" s="231"/>
      <c r="AD384" s="231"/>
    </row>
    <row r="385" spans="1:30" x14ac:dyDescent="0.25">
      <c r="A385" s="360"/>
      <c r="B385" s="186" t="s">
        <v>3770</v>
      </c>
      <c r="C385" s="186"/>
      <c r="D385" s="210" t="s">
        <v>4634</v>
      </c>
      <c r="E385" s="210"/>
      <c r="F385" s="210"/>
      <c r="G385" s="231" t="s">
        <v>22</v>
      </c>
      <c r="H385" s="361"/>
      <c r="I385" s="186"/>
      <c r="J385" s="361"/>
      <c r="L385" s="361"/>
      <c r="M385" s="361"/>
      <c r="N385" s="361"/>
      <c r="O385" s="361"/>
      <c r="P385" s="361"/>
      <c r="Q385" s="361"/>
      <c r="R385" s="361"/>
      <c r="S385" s="361"/>
      <c r="T385" s="361"/>
      <c r="U385" s="361"/>
      <c r="V385" s="361"/>
      <c r="W385" s="361"/>
      <c r="X385" s="361"/>
      <c r="Y385" s="361"/>
      <c r="Z385" s="361"/>
      <c r="AA385" s="361"/>
      <c r="AB385" s="361"/>
      <c r="AC385" s="361"/>
      <c r="AD385" s="362"/>
    </row>
    <row r="386" spans="1:30" x14ac:dyDescent="0.25">
      <c r="A386" s="367">
        <v>1</v>
      </c>
      <c r="B386" s="186" t="s">
        <v>4635</v>
      </c>
      <c r="C386" s="186"/>
      <c r="D386" s="210" t="s">
        <v>4636</v>
      </c>
      <c r="E386" s="210" t="s">
        <v>320</v>
      </c>
      <c r="F386" s="210"/>
      <c r="G386" s="231" t="s">
        <v>22</v>
      </c>
      <c r="H386" s="361" t="s">
        <v>4637</v>
      </c>
      <c r="I386" s="186"/>
      <c r="J386" s="361"/>
      <c r="K386" s="262" t="s">
        <v>4638</v>
      </c>
      <c r="L386" s="172" t="s">
        <v>4639</v>
      </c>
      <c r="M386" s="172" t="s">
        <v>4640</v>
      </c>
      <c r="N386" s="361">
        <v>2011</v>
      </c>
      <c r="O386" s="361"/>
      <c r="P386" s="361"/>
      <c r="Q386" s="361"/>
      <c r="R386" s="361"/>
      <c r="S386" s="361"/>
      <c r="T386" s="361"/>
      <c r="U386" s="361"/>
      <c r="V386" s="361"/>
      <c r="W386" s="361"/>
      <c r="X386" s="361"/>
      <c r="Y386" s="361"/>
      <c r="Z386" s="361"/>
      <c r="AA386" s="361"/>
      <c r="AB386" s="361"/>
      <c r="AC386" s="361"/>
      <c r="AD386" s="362"/>
    </row>
    <row r="387" spans="1:30" x14ac:dyDescent="0.25">
      <c r="A387" s="367">
        <v>2</v>
      </c>
      <c r="B387" s="186" t="s">
        <v>4635</v>
      </c>
      <c r="C387" s="186"/>
      <c r="D387" s="210" t="s">
        <v>4641</v>
      </c>
      <c r="E387" s="210" t="s">
        <v>321</v>
      </c>
      <c r="F387" s="210"/>
      <c r="G387" s="231" t="s">
        <v>22</v>
      </c>
      <c r="H387" s="361" t="s">
        <v>4637</v>
      </c>
      <c r="I387" s="186"/>
      <c r="J387" s="361"/>
      <c r="K387" s="262" t="s">
        <v>4638</v>
      </c>
      <c r="L387" s="172" t="s">
        <v>4639</v>
      </c>
      <c r="M387" s="172" t="s">
        <v>4640</v>
      </c>
      <c r="N387" s="361">
        <v>2011</v>
      </c>
      <c r="O387" s="361"/>
      <c r="P387" s="361"/>
      <c r="Q387" s="361"/>
      <c r="R387" s="361"/>
      <c r="S387" s="361"/>
      <c r="T387" s="361"/>
      <c r="U387" s="361"/>
      <c r="V387" s="361"/>
      <c r="W387" s="361"/>
      <c r="X387" s="361"/>
      <c r="Y387" s="361"/>
      <c r="Z387" s="361"/>
      <c r="AA387" s="361"/>
      <c r="AB387" s="361"/>
      <c r="AC387" s="361"/>
      <c r="AD387" s="362"/>
    </row>
    <row r="388" spans="1:30" x14ac:dyDescent="0.25">
      <c r="A388" s="367">
        <v>3</v>
      </c>
      <c r="B388" s="186" t="s">
        <v>4635</v>
      </c>
      <c r="C388" s="186"/>
      <c r="D388" s="210" t="s">
        <v>4642</v>
      </c>
      <c r="E388" s="210" t="s">
        <v>323</v>
      </c>
      <c r="F388" s="210"/>
      <c r="G388" s="231" t="s">
        <v>22</v>
      </c>
      <c r="H388" s="361" t="s">
        <v>4637</v>
      </c>
      <c r="I388" s="186"/>
      <c r="J388" s="361"/>
      <c r="K388" s="262" t="s">
        <v>4638</v>
      </c>
      <c r="L388" s="172" t="s">
        <v>4639</v>
      </c>
      <c r="M388" s="172" t="s">
        <v>4640</v>
      </c>
      <c r="N388" s="361">
        <v>2011</v>
      </c>
      <c r="O388" s="361"/>
      <c r="P388" s="361"/>
      <c r="Q388" s="361"/>
      <c r="R388" s="361"/>
      <c r="S388" s="361"/>
      <c r="T388" s="361"/>
      <c r="U388" s="361"/>
      <c r="V388" s="361"/>
      <c r="W388" s="361"/>
      <c r="X388" s="361"/>
      <c r="Y388" s="361"/>
      <c r="Z388" s="361"/>
      <c r="AA388" s="361"/>
      <c r="AB388" s="361"/>
      <c r="AC388" s="361"/>
      <c r="AD388" s="362"/>
    </row>
    <row r="389" spans="1:30" x14ac:dyDescent="0.25">
      <c r="A389" s="367">
        <v>4</v>
      </c>
      <c r="B389" s="186" t="s">
        <v>4643</v>
      </c>
      <c r="C389" s="186"/>
      <c r="D389" s="210">
        <v>4700218</v>
      </c>
      <c r="E389" s="210" t="s">
        <v>4644</v>
      </c>
      <c r="F389" s="210"/>
      <c r="G389" s="231" t="s">
        <v>22</v>
      </c>
      <c r="H389" s="361" t="s">
        <v>4637</v>
      </c>
      <c r="I389" s="186"/>
      <c r="J389" s="361"/>
      <c r="L389" s="361"/>
      <c r="M389" s="361"/>
      <c r="N389" s="361">
        <v>2007</v>
      </c>
      <c r="O389" s="361"/>
      <c r="P389" s="361"/>
      <c r="Q389" s="361"/>
      <c r="R389" s="361"/>
      <c r="S389" s="361"/>
      <c r="T389" s="361"/>
      <c r="U389" s="361"/>
      <c r="V389" s="361"/>
      <c r="W389" s="361"/>
      <c r="X389" s="361"/>
      <c r="Y389" s="361"/>
      <c r="Z389" s="361"/>
      <c r="AA389" s="361"/>
      <c r="AB389" s="361"/>
      <c r="AC389" s="361"/>
      <c r="AD389" s="362"/>
    </row>
    <row r="390" spans="1:30" x14ac:dyDescent="0.25">
      <c r="A390" s="367">
        <v>5</v>
      </c>
      <c r="B390" s="186" t="s">
        <v>4643</v>
      </c>
      <c r="C390" s="186"/>
      <c r="D390" s="210">
        <v>4700219</v>
      </c>
      <c r="E390" s="210" t="s">
        <v>4645</v>
      </c>
      <c r="F390" s="210"/>
      <c r="G390" s="231" t="s">
        <v>22</v>
      </c>
      <c r="H390" s="361" t="s">
        <v>4637</v>
      </c>
      <c r="I390" s="186"/>
      <c r="J390" s="361"/>
      <c r="L390" s="361"/>
      <c r="M390" s="361"/>
      <c r="N390" s="361">
        <v>2007</v>
      </c>
      <c r="O390" s="361"/>
      <c r="P390" s="361"/>
      <c r="Q390" s="361"/>
      <c r="R390" s="361"/>
      <c r="S390" s="361"/>
      <c r="T390" s="361"/>
      <c r="U390" s="361"/>
      <c r="V390" s="361"/>
      <c r="W390" s="361"/>
      <c r="X390" s="361"/>
      <c r="Y390" s="361"/>
      <c r="Z390" s="361"/>
      <c r="AA390" s="361"/>
      <c r="AB390" s="361"/>
      <c r="AC390" s="361"/>
      <c r="AD390" s="362"/>
    </row>
    <row r="391" spans="1:30" x14ac:dyDescent="0.25">
      <c r="A391" s="367">
        <v>6</v>
      </c>
      <c r="B391" s="186" t="s">
        <v>4643</v>
      </c>
      <c r="C391" s="186"/>
      <c r="D391" s="210" t="s">
        <v>303</v>
      </c>
      <c r="E391" s="210" t="s">
        <v>4646</v>
      </c>
      <c r="F391" s="210"/>
      <c r="G391" s="231" t="s">
        <v>22</v>
      </c>
      <c r="H391" s="361" t="s">
        <v>4637</v>
      </c>
      <c r="I391" s="186"/>
      <c r="J391" s="361"/>
      <c r="K391" s="262" t="s">
        <v>4638</v>
      </c>
      <c r="L391" s="172" t="s">
        <v>4639</v>
      </c>
      <c r="M391" s="172" t="s">
        <v>4640</v>
      </c>
      <c r="N391" s="361">
        <v>2011</v>
      </c>
      <c r="O391" s="361"/>
      <c r="P391" s="361"/>
      <c r="Q391" s="361"/>
      <c r="R391" s="361"/>
      <c r="S391" s="361"/>
      <c r="T391" s="361"/>
      <c r="U391" s="361"/>
      <c r="V391" s="361"/>
      <c r="W391" s="361"/>
      <c r="X391" s="361"/>
      <c r="Y391" s="361"/>
      <c r="Z391" s="361"/>
      <c r="AA391" s="361"/>
      <c r="AB391" s="361"/>
      <c r="AC391" s="361"/>
      <c r="AD391" s="362"/>
    </row>
    <row r="392" spans="1:30" x14ac:dyDescent="0.25">
      <c r="A392" s="367">
        <v>7</v>
      </c>
      <c r="B392" s="186" t="s">
        <v>4643</v>
      </c>
      <c r="C392" s="186"/>
      <c r="D392" s="210" t="s">
        <v>4647</v>
      </c>
      <c r="E392" s="210" t="s">
        <v>4648</v>
      </c>
      <c r="F392" s="210"/>
      <c r="G392" s="231" t="s">
        <v>22</v>
      </c>
      <c r="H392" s="361" t="s">
        <v>4637</v>
      </c>
      <c r="I392" s="186"/>
      <c r="J392" s="361"/>
      <c r="K392" s="262" t="s">
        <v>4638</v>
      </c>
      <c r="L392" s="172" t="s">
        <v>4639</v>
      </c>
      <c r="M392" s="172" t="s">
        <v>4640</v>
      </c>
      <c r="N392" s="361">
        <v>2011</v>
      </c>
      <c r="O392" s="361"/>
      <c r="P392" s="361"/>
      <c r="Q392" s="361"/>
      <c r="R392" s="361"/>
      <c r="S392" s="361"/>
      <c r="T392" s="361"/>
      <c r="U392" s="361"/>
      <c r="V392" s="361"/>
      <c r="W392" s="361"/>
      <c r="X392" s="361"/>
      <c r="Y392" s="361"/>
      <c r="Z392" s="361"/>
      <c r="AA392" s="361"/>
      <c r="AB392" s="361"/>
      <c r="AC392" s="361"/>
      <c r="AD392" s="362"/>
    </row>
    <row r="393" spans="1:30" x14ac:dyDescent="0.25">
      <c r="A393" s="367">
        <v>8</v>
      </c>
      <c r="B393" s="186" t="s">
        <v>4643</v>
      </c>
      <c r="C393" s="186"/>
      <c r="D393" s="210" t="s">
        <v>302</v>
      </c>
      <c r="E393" s="210" t="s">
        <v>4649</v>
      </c>
      <c r="F393" s="210"/>
      <c r="G393" s="231" t="s">
        <v>22</v>
      </c>
      <c r="H393" s="361" t="s">
        <v>4637</v>
      </c>
      <c r="I393" s="186"/>
      <c r="J393" s="361"/>
      <c r="L393" s="361"/>
      <c r="M393" s="361"/>
      <c r="N393" s="361">
        <v>2010</v>
      </c>
      <c r="O393" s="361"/>
      <c r="P393" s="361"/>
      <c r="Q393" s="361"/>
      <c r="R393" s="361"/>
      <c r="S393" s="361"/>
      <c r="T393" s="361"/>
      <c r="U393" s="361"/>
      <c r="V393" s="361"/>
      <c r="W393" s="361"/>
      <c r="X393" s="361"/>
      <c r="Y393" s="361"/>
      <c r="Z393" s="361"/>
      <c r="AA393" s="361"/>
      <c r="AB393" s="361"/>
      <c r="AC393" s="361"/>
      <c r="AD393" s="362"/>
    </row>
    <row r="394" spans="1:30" x14ac:dyDescent="0.25">
      <c r="A394" s="367">
        <v>9</v>
      </c>
      <c r="B394" s="186" t="s">
        <v>4650</v>
      </c>
      <c r="C394" s="186"/>
      <c r="D394" s="210" t="s">
        <v>301</v>
      </c>
      <c r="E394" s="210"/>
      <c r="F394" s="210"/>
      <c r="G394" s="231" t="s">
        <v>22</v>
      </c>
      <c r="H394" s="361" t="s">
        <v>4637</v>
      </c>
      <c r="I394" s="186"/>
      <c r="J394" s="361"/>
      <c r="L394" s="361"/>
      <c r="M394" s="361"/>
      <c r="N394" s="361"/>
      <c r="O394" s="361"/>
      <c r="P394" s="361"/>
      <c r="Q394" s="361"/>
      <c r="R394" s="361"/>
      <c r="S394" s="361"/>
      <c r="T394" s="361"/>
      <c r="U394" s="361"/>
      <c r="V394" s="361"/>
      <c r="W394" s="361"/>
      <c r="X394" s="361"/>
      <c r="Y394" s="361"/>
      <c r="Z394" s="361"/>
      <c r="AA394" s="361"/>
      <c r="AB394" s="361"/>
      <c r="AC394" s="361"/>
      <c r="AD394" s="362"/>
    </row>
    <row r="395" spans="1:30" x14ac:dyDescent="0.25">
      <c r="A395" s="367">
        <v>10</v>
      </c>
      <c r="B395" s="186" t="s">
        <v>4650</v>
      </c>
      <c r="C395" s="186"/>
      <c r="D395" s="210" t="s">
        <v>310</v>
      </c>
      <c r="E395" s="210"/>
      <c r="F395" s="210"/>
      <c r="G395" s="231" t="s">
        <v>22</v>
      </c>
      <c r="H395" s="361" t="s">
        <v>4637</v>
      </c>
      <c r="I395" s="186"/>
      <c r="J395" s="361"/>
      <c r="L395" s="361"/>
      <c r="M395" s="361"/>
      <c r="N395" s="361"/>
      <c r="O395" s="361"/>
      <c r="P395" s="361"/>
      <c r="Q395" s="361"/>
      <c r="R395" s="361"/>
      <c r="S395" s="361"/>
      <c r="T395" s="361"/>
      <c r="U395" s="361"/>
      <c r="V395" s="361"/>
      <c r="W395" s="361"/>
      <c r="X395" s="361"/>
      <c r="Y395" s="361"/>
      <c r="Z395" s="361"/>
      <c r="AA395" s="361"/>
      <c r="AB395" s="361"/>
      <c r="AC395" s="361"/>
      <c r="AD395" s="362"/>
    </row>
    <row r="396" spans="1:30" x14ac:dyDescent="0.25">
      <c r="A396" s="367">
        <v>11</v>
      </c>
      <c r="B396" s="186" t="s">
        <v>4651</v>
      </c>
      <c r="C396" s="186"/>
      <c r="D396" s="210" t="s">
        <v>308</v>
      </c>
      <c r="E396" s="210"/>
      <c r="F396" s="210"/>
      <c r="G396" s="231" t="s">
        <v>22</v>
      </c>
      <c r="H396" s="361" t="s">
        <v>4637</v>
      </c>
      <c r="I396" s="186"/>
      <c r="J396" s="361"/>
      <c r="L396" s="361"/>
      <c r="M396" s="361"/>
      <c r="N396" s="361"/>
      <c r="O396" s="361"/>
      <c r="P396" s="361"/>
      <c r="Q396" s="361"/>
      <c r="R396" s="361"/>
      <c r="S396" s="361"/>
      <c r="T396" s="361"/>
      <c r="U396" s="361"/>
      <c r="V396" s="361"/>
      <c r="W396" s="361"/>
      <c r="X396" s="361"/>
      <c r="Y396" s="361"/>
      <c r="Z396" s="361"/>
      <c r="AA396" s="361"/>
      <c r="AB396" s="361"/>
      <c r="AC396" s="361"/>
      <c r="AD396" s="362"/>
    </row>
    <row r="397" spans="1:30" x14ac:dyDescent="0.25">
      <c r="A397" s="367">
        <v>12</v>
      </c>
      <c r="B397" s="186" t="s">
        <v>4651</v>
      </c>
      <c r="C397" s="186"/>
      <c r="D397" s="210" t="s">
        <v>309</v>
      </c>
      <c r="E397" s="210"/>
      <c r="F397" s="210"/>
      <c r="G397" s="231" t="s">
        <v>22</v>
      </c>
      <c r="H397" s="361" t="s">
        <v>4637</v>
      </c>
      <c r="I397" s="186"/>
      <c r="J397" s="361"/>
      <c r="L397" s="361"/>
      <c r="M397" s="361"/>
      <c r="N397" s="361"/>
      <c r="O397" s="361"/>
      <c r="P397" s="361"/>
      <c r="Q397" s="361"/>
      <c r="R397" s="361"/>
      <c r="S397" s="361"/>
      <c r="T397" s="361"/>
      <c r="U397" s="361"/>
      <c r="V397" s="361"/>
      <c r="W397" s="361"/>
      <c r="X397" s="361"/>
      <c r="Y397" s="361"/>
      <c r="Z397" s="361"/>
      <c r="AA397" s="361"/>
      <c r="AB397" s="361"/>
      <c r="AC397" s="361"/>
      <c r="AD397" s="362"/>
    </row>
    <row r="398" spans="1:30" x14ac:dyDescent="0.25">
      <c r="A398" s="367">
        <v>13</v>
      </c>
      <c r="B398" s="186" t="s">
        <v>4652</v>
      </c>
      <c r="C398" s="186"/>
      <c r="D398" s="210" t="s">
        <v>292</v>
      </c>
      <c r="E398" s="210" t="s">
        <v>291</v>
      </c>
      <c r="F398" s="210"/>
      <c r="G398" s="231" t="s">
        <v>22</v>
      </c>
      <c r="H398" s="361" t="s">
        <v>4637</v>
      </c>
      <c r="I398" s="186"/>
      <c r="J398" s="361"/>
      <c r="L398" s="361"/>
      <c r="M398" s="361"/>
      <c r="N398" s="361">
        <v>2007</v>
      </c>
      <c r="O398" s="361"/>
      <c r="P398" s="361"/>
      <c r="Q398" s="361"/>
      <c r="R398" s="361"/>
      <c r="S398" s="361"/>
      <c r="T398" s="361"/>
      <c r="U398" s="361"/>
      <c r="V398" s="361"/>
      <c r="W398" s="361"/>
      <c r="X398" s="361"/>
      <c r="Y398" s="361"/>
      <c r="Z398" s="361"/>
      <c r="AA398" s="361"/>
      <c r="AB398" s="361"/>
      <c r="AC398" s="361"/>
      <c r="AD398" s="362"/>
    </row>
    <row r="399" spans="1:30" x14ac:dyDescent="0.25">
      <c r="A399" s="367"/>
      <c r="B399" s="186" t="s">
        <v>4652</v>
      </c>
      <c r="C399" s="186"/>
      <c r="D399" s="210"/>
      <c r="E399" s="210"/>
      <c r="F399" s="210"/>
      <c r="G399" s="231"/>
      <c r="H399" s="361"/>
      <c r="I399" s="186"/>
      <c r="J399" s="361"/>
      <c r="L399" s="361"/>
      <c r="M399" s="361"/>
      <c r="N399" s="361">
        <v>2013</v>
      </c>
      <c r="O399" s="361"/>
      <c r="P399" s="361"/>
      <c r="Q399" s="361"/>
      <c r="R399" s="361"/>
      <c r="S399" s="361"/>
      <c r="T399" s="361"/>
      <c r="U399" s="361"/>
      <c r="V399" s="361"/>
      <c r="W399" s="361"/>
      <c r="X399" s="361"/>
      <c r="Y399" s="361"/>
      <c r="Z399" s="361"/>
      <c r="AA399" s="361"/>
      <c r="AB399" s="361"/>
      <c r="AC399" s="361"/>
      <c r="AD399" s="362"/>
    </row>
    <row r="400" spans="1:30" x14ac:dyDescent="0.25">
      <c r="A400" s="367">
        <v>14</v>
      </c>
      <c r="B400" s="190" t="s">
        <v>4653</v>
      </c>
      <c r="C400" s="190">
        <v>0</v>
      </c>
      <c r="D400" s="210" t="s">
        <v>4654</v>
      </c>
      <c r="E400" s="210">
        <v>17303740</v>
      </c>
      <c r="F400" s="210"/>
      <c r="G400" s="231" t="s">
        <v>22</v>
      </c>
      <c r="H400" s="361" t="s">
        <v>4637</v>
      </c>
      <c r="J400" s="361"/>
      <c r="K400" s="262" t="s">
        <v>4655</v>
      </c>
      <c r="L400" s="335">
        <v>38853</v>
      </c>
      <c r="M400" s="335">
        <v>42506</v>
      </c>
      <c r="N400" s="231">
        <v>2011</v>
      </c>
      <c r="O400" s="361"/>
      <c r="P400" s="361"/>
      <c r="Q400" s="244">
        <v>12</v>
      </c>
      <c r="R400" s="245">
        <v>41556</v>
      </c>
      <c r="S400" s="311" t="s">
        <v>4177</v>
      </c>
      <c r="T400" s="245">
        <v>41921</v>
      </c>
      <c r="U400" s="231" t="s">
        <v>4178</v>
      </c>
      <c r="V400" s="361"/>
      <c r="W400" s="361"/>
      <c r="X400" s="361"/>
      <c r="Y400" s="361"/>
      <c r="Z400" s="231">
        <v>1</v>
      </c>
      <c r="AA400" s="231" t="s">
        <v>4179</v>
      </c>
      <c r="AB400" s="361"/>
      <c r="AC400" s="361"/>
      <c r="AD400" s="362"/>
    </row>
    <row r="401" spans="1:30" x14ac:dyDescent="0.25">
      <c r="A401" s="367">
        <v>15</v>
      </c>
      <c r="B401" s="190" t="s">
        <v>4653</v>
      </c>
      <c r="C401" s="190">
        <v>1</v>
      </c>
      <c r="D401" s="210" t="s">
        <v>335</v>
      </c>
      <c r="E401" s="209" t="s">
        <v>4656</v>
      </c>
      <c r="F401" s="209"/>
      <c r="G401" s="231" t="s">
        <v>22</v>
      </c>
      <c r="H401" s="361" t="s">
        <v>4637</v>
      </c>
      <c r="J401" s="361"/>
      <c r="K401" s="262" t="s">
        <v>4083</v>
      </c>
      <c r="L401" s="263">
        <v>38853</v>
      </c>
      <c r="M401" s="263">
        <v>42506</v>
      </c>
      <c r="N401" s="231">
        <v>2012</v>
      </c>
      <c r="O401" s="361"/>
      <c r="P401" s="361"/>
      <c r="Q401" s="244">
        <v>12</v>
      </c>
      <c r="R401" s="245">
        <v>41556</v>
      </c>
      <c r="S401" s="311" t="s">
        <v>4177</v>
      </c>
      <c r="T401" s="245">
        <v>41921</v>
      </c>
      <c r="U401" s="231" t="s">
        <v>4178</v>
      </c>
      <c r="V401" s="361"/>
      <c r="W401" s="361"/>
      <c r="X401" s="361"/>
      <c r="Y401" s="361"/>
      <c r="Z401" s="231">
        <v>1</v>
      </c>
      <c r="AA401" s="231" t="s">
        <v>4179</v>
      </c>
      <c r="AB401" s="361"/>
      <c r="AC401" s="361"/>
      <c r="AD401" s="362"/>
    </row>
    <row r="402" spans="1:30" x14ac:dyDescent="0.25">
      <c r="A402" s="367">
        <v>16</v>
      </c>
      <c r="B402" s="186" t="s">
        <v>4657</v>
      </c>
      <c r="C402" s="186">
        <v>1</v>
      </c>
      <c r="D402" s="210" t="s">
        <v>328</v>
      </c>
      <c r="E402" s="210" t="s">
        <v>326</v>
      </c>
      <c r="F402" s="210"/>
      <c r="G402" s="231" t="s">
        <v>22</v>
      </c>
      <c r="H402" s="361" t="s">
        <v>4637</v>
      </c>
      <c r="I402" s="186"/>
      <c r="J402" s="361"/>
      <c r="K402" s="262" t="s">
        <v>4658</v>
      </c>
      <c r="L402" s="310">
        <v>38202</v>
      </c>
      <c r="M402" s="310">
        <v>41854</v>
      </c>
      <c r="N402" s="231">
        <v>2006</v>
      </c>
      <c r="O402" s="361"/>
      <c r="P402" s="361"/>
      <c r="Q402" s="244">
        <v>12</v>
      </c>
      <c r="R402" s="245">
        <v>41556</v>
      </c>
      <c r="S402" s="311" t="s">
        <v>4177</v>
      </c>
      <c r="T402" s="245">
        <v>41921</v>
      </c>
      <c r="U402" s="231" t="s">
        <v>4178</v>
      </c>
      <c r="V402" s="361"/>
      <c r="W402" s="361"/>
      <c r="X402" s="361"/>
      <c r="Y402" s="361"/>
      <c r="Z402" s="231">
        <v>1</v>
      </c>
      <c r="AA402" s="231" t="s">
        <v>4179</v>
      </c>
      <c r="AB402" s="361"/>
      <c r="AC402" s="361"/>
      <c r="AD402" s="362"/>
    </row>
    <row r="403" spans="1:30" x14ac:dyDescent="0.25">
      <c r="A403" s="367">
        <v>17</v>
      </c>
      <c r="B403" s="190" t="s">
        <v>4173</v>
      </c>
      <c r="C403" s="190">
        <v>1</v>
      </c>
      <c r="D403" s="210" t="s">
        <v>329</v>
      </c>
      <c r="E403" s="210" t="s">
        <v>3471</v>
      </c>
      <c r="F403" s="210"/>
      <c r="G403" s="231" t="s">
        <v>22</v>
      </c>
      <c r="H403" s="361" t="s">
        <v>4637</v>
      </c>
      <c r="J403" s="361"/>
      <c r="K403" s="262" t="s">
        <v>4176</v>
      </c>
      <c r="L403" s="310">
        <v>38128</v>
      </c>
      <c r="M403" s="263">
        <v>41780</v>
      </c>
      <c r="N403" s="231">
        <v>2006</v>
      </c>
      <c r="O403" s="361"/>
      <c r="P403" s="361"/>
      <c r="Q403" s="244">
        <v>12</v>
      </c>
      <c r="R403" s="245">
        <v>41556</v>
      </c>
      <c r="S403" s="311" t="s">
        <v>4177</v>
      </c>
      <c r="T403" s="245">
        <v>41921</v>
      </c>
      <c r="U403" s="231" t="s">
        <v>4178</v>
      </c>
      <c r="V403" s="361"/>
      <c r="W403" s="361"/>
      <c r="X403" s="361"/>
      <c r="Y403" s="361"/>
      <c r="Z403" s="231">
        <v>1</v>
      </c>
      <c r="AA403" s="231" t="s">
        <v>4179</v>
      </c>
      <c r="AB403" s="361"/>
      <c r="AC403" s="361"/>
      <c r="AD403" s="362"/>
    </row>
    <row r="404" spans="1:30" x14ac:dyDescent="0.25">
      <c r="A404" s="367">
        <v>18</v>
      </c>
      <c r="B404" s="190" t="s">
        <v>4173</v>
      </c>
      <c r="C404" s="190">
        <v>1</v>
      </c>
      <c r="D404" s="210" t="s">
        <v>4659</v>
      </c>
      <c r="E404" s="210" t="s">
        <v>4660</v>
      </c>
      <c r="F404" s="210"/>
      <c r="G404" s="231" t="s">
        <v>22</v>
      </c>
      <c r="H404" s="361" t="s">
        <v>4637</v>
      </c>
      <c r="J404" s="361"/>
      <c r="K404" s="262" t="s">
        <v>4176</v>
      </c>
      <c r="L404" s="310">
        <v>38128</v>
      </c>
      <c r="M404" s="263">
        <v>41780</v>
      </c>
      <c r="N404" s="231">
        <v>2006</v>
      </c>
      <c r="O404" s="361"/>
      <c r="P404" s="361"/>
      <c r="Q404" s="244">
        <v>12</v>
      </c>
      <c r="R404" s="245">
        <v>41556</v>
      </c>
      <c r="S404" s="311" t="s">
        <v>4177</v>
      </c>
      <c r="T404" s="245">
        <v>41921</v>
      </c>
      <c r="U404" s="231" t="s">
        <v>4178</v>
      </c>
      <c r="V404" s="361"/>
      <c r="W404" s="361"/>
      <c r="X404" s="361"/>
      <c r="Y404" s="361"/>
      <c r="Z404" s="231">
        <v>1</v>
      </c>
      <c r="AA404" s="231" t="s">
        <v>4179</v>
      </c>
      <c r="AB404" s="361"/>
      <c r="AC404" s="361"/>
      <c r="AD404" s="362"/>
    </row>
    <row r="405" spans="1:30" x14ac:dyDescent="0.25">
      <c r="A405" s="367">
        <v>19</v>
      </c>
      <c r="B405" s="190" t="s">
        <v>4661</v>
      </c>
      <c r="C405" s="190"/>
      <c r="E405" s="209"/>
      <c r="F405" s="346"/>
      <c r="G405" s="231" t="s">
        <v>22</v>
      </c>
      <c r="H405" s="361" t="s">
        <v>4637</v>
      </c>
      <c r="J405" s="361"/>
      <c r="K405" s="295" t="s">
        <v>4662</v>
      </c>
      <c r="L405" s="172"/>
      <c r="M405" s="172"/>
      <c r="N405" s="242">
        <v>2012</v>
      </c>
      <c r="Q405" s="244"/>
      <c r="R405" s="245"/>
      <c r="T405" s="245"/>
      <c r="AB405" s="231"/>
      <c r="AC405" s="231"/>
      <c r="AD405" s="231"/>
    </row>
    <row r="406" spans="1:30" x14ac:dyDescent="0.25">
      <c r="A406" s="367">
        <v>20</v>
      </c>
      <c r="B406" s="190" t="s">
        <v>4661</v>
      </c>
      <c r="C406" s="190"/>
      <c r="E406" s="209"/>
      <c r="F406" s="346"/>
      <c r="G406" s="231" t="s">
        <v>22</v>
      </c>
      <c r="H406" s="361" t="s">
        <v>4637</v>
      </c>
      <c r="J406" s="361"/>
      <c r="K406" s="295" t="s">
        <v>4662</v>
      </c>
      <c r="L406" s="172"/>
      <c r="M406" s="172"/>
      <c r="N406" s="242">
        <v>2012</v>
      </c>
      <c r="Q406" s="244"/>
      <c r="R406" s="245"/>
      <c r="T406" s="245"/>
      <c r="AB406" s="231"/>
      <c r="AC406" s="231"/>
      <c r="AD406" s="231"/>
    </row>
    <row r="407" spans="1:30" x14ac:dyDescent="0.25">
      <c r="A407" s="367">
        <v>21</v>
      </c>
      <c r="B407" s="190" t="s">
        <v>4661</v>
      </c>
      <c r="C407" s="190"/>
      <c r="E407" s="209"/>
      <c r="F407" s="346"/>
      <c r="G407" s="231" t="s">
        <v>22</v>
      </c>
      <c r="H407" s="361" t="s">
        <v>4637</v>
      </c>
      <c r="J407" s="361"/>
      <c r="K407" s="295" t="s">
        <v>4662</v>
      </c>
      <c r="L407" s="172"/>
      <c r="M407" s="172"/>
      <c r="N407" s="242">
        <v>2012</v>
      </c>
      <c r="Q407" s="244"/>
      <c r="R407" s="245"/>
      <c r="T407" s="245"/>
      <c r="AB407" s="231"/>
      <c r="AC407" s="231"/>
      <c r="AD407" s="231"/>
    </row>
    <row r="408" spans="1:30" x14ac:dyDescent="0.25">
      <c r="A408" s="367">
        <v>22</v>
      </c>
      <c r="B408" s="190" t="s">
        <v>4661</v>
      </c>
      <c r="C408" s="190"/>
      <c r="E408" s="209"/>
      <c r="F408" s="346"/>
      <c r="G408" s="231" t="s">
        <v>22</v>
      </c>
      <c r="H408" s="361" t="s">
        <v>4637</v>
      </c>
      <c r="J408" s="361"/>
      <c r="K408" s="295" t="s">
        <v>4662</v>
      </c>
      <c r="L408" s="172"/>
      <c r="M408" s="172"/>
      <c r="N408" s="242">
        <v>2012</v>
      </c>
      <c r="Q408" s="244"/>
      <c r="R408" s="245"/>
      <c r="T408" s="245"/>
      <c r="AB408" s="231"/>
      <c r="AC408" s="231"/>
      <c r="AD408" s="231"/>
    </row>
    <row r="409" spans="1:30" x14ac:dyDescent="0.25">
      <c r="A409" s="367">
        <v>23</v>
      </c>
      <c r="B409" s="190" t="s">
        <v>4663</v>
      </c>
      <c r="C409" s="190"/>
      <c r="E409" s="209"/>
      <c r="F409" s="346"/>
      <c r="G409" s="231" t="s">
        <v>22</v>
      </c>
      <c r="H409" s="361" t="s">
        <v>4637</v>
      </c>
      <c r="J409" s="361"/>
      <c r="K409" s="295" t="s">
        <v>4662</v>
      </c>
      <c r="L409" s="172"/>
      <c r="M409" s="172"/>
      <c r="N409" s="242">
        <v>2012</v>
      </c>
      <c r="Q409" s="244"/>
      <c r="R409" s="245"/>
      <c r="T409" s="245"/>
      <c r="AB409" s="231"/>
      <c r="AC409" s="231"/>
      <c r="AD409" s="231"/>
    </row>
    <row r="410" spans="1:30" x14ac:dyDescent="0.25">
      <c r="A410" s="367">
        <v>24</v>
      </c>
      <c r="B410" s="190" t="s">
        <v>4663</v>
      </c>
      <c r="C410" s="190"/>
      <c r="E410" s="209"/>
      <c r="F410" s="346"/>
      <c r="G410" s="231" t="s">
        <v>22</v>
      </c>
      <c r="H410" s="361" t="s">
        <v>4637</v>
      </c>
      <c r="J410" s="361"/>
      <c r="K410" s="295" t="s">
        <v>4662</v>
      </c>
      <c r="L410" s="172"/>
      <c r="M410" s="172"/>
      <c r="N410" s="242">
        <v>2012</v>
      </c>
      <c r="Q410" s="244"/>
      <c r="R410" s="245"/>
      <c r="T410" s="245"/>
      <c r="AB410" s="231"/>
      <c r="AC410" s="231"/>
      <c r="AD410" s="231"/>
    </row>
    <row r="411" spans="1:30" x14ac:dyDescent="0.25">
      <c r="A411" s="367">
        <v>25</v>
      </c>
      <c r="B411" s="190" t="s">
        <v>4663</v>
      </c>
      <c r="C411" s="190"/>
      <c r="E411" s="209"/>
      <c r="F411" s="346"/>
      <c r="G411" s="231" t="s">
        <v>22</v>
      </c>
      <c r="H411" s="361" t="s">
        <v>4637</v>
      </c>
      <c r="J411" s="361"/>
      <c r="K411" s="295" t="s">
        <v>4662</v>
      </c>
      <c r="L411" s="172"/>
      <c r="M411" s="172"/>
      <c r="N411" s="242">
        <v>2012</v>
      </c>
      <c r="Q411" s="244"/>
      <c r="R411" s="245"/>
      <c r="T411" s="245"/>
      <c r="AB411" s="231"/>
      <c r="AC411" s="231"/>
      <c r="AD411" s="231"/>
    </row>
    <row r="412" spans="1:30" x14ac:dyDescent="0.25">
      <c r="A412" s="367">
        <v>26</v>
      </c>
      <c r="B412" s="190" t="s">
        <v>4663</v>
      </c>
      <c r="C412" s="190"/>
      <c r="E412" s="209"/>
      <c r="F412" s="346"/>
      <c r="G412" s="231" t="s">
        <v>22</v>
      </c>
      <c r="H412" s="361" t="s">
        <v>4637</v>
      </c>
      <c r="J412" s="361"/>
      <c r="K412" s="295" t="s">
        <v>4662</v>
      </c>
      <c r="L412" s="172"/>
      <c r="M412" s="172"/>
      <c r="N412" s="242">
        <v>2012</v>
      </c>
      <c r="Q412" s="244"/>
      <c r="R412" s="245"/>
      <c r="T412" s="245"/>
      <c r="AB412" s="231"/>
      <c r="AC412" s="231"/>
      <c r="AD412" s="231"/>
    </row>
    <row r="413" spans="1:30" x14ac:dyDescent="0.25">
      <c r="A413" s="367">
        <v>27</v>
      </c>
      <c r="B413" s="190" t="s">
        <v>4663</v>
      </c>
      <c r="C413" s="190"/>
      <c r="E413" s="209"/>
      <c r="F413" s="346"/>
      <c r="G413" s="231" t="s">
        <v>22</v>
      </c>
      <c r="H413" s="361" t="s">
        <v>4637</v>
      </c>
      <c r="J413" s="361"/>
      <c r="K413" s="295" t="s">
        <v>4662</v>
      </c>
      <c r="L413" s="172"/>
      <c r="M413" s="172"/>
      <c r="N413" s="242">
        <v>2012</v>
      </c>
      <c r="Q413" s="244"/>
      <c r="R413" s="245"/>
      <c r="T413" s="245"/>
      <c r="AB413" s="231"/>
      <c r="AC413" s="231"/>
      <c r="AD413" s="231"/>
    </row>
    <row r="414" spans="1:30" x14ac:dyDescent="0.25">
      <c r="A414" s="360"/>
      <c r="B414" s="186" t="s">
        <v>4664</v>
      </c>
      <c r="C414" s="186">
        <v>1</v>
      </c>
      <c r="D414" s="210" t="s">
        <v>433</v>
      </c>
      <c r="E414" s="210" t="s">
        <v>4665</v>
      </c>
      <c r="F414" s="210"/>
      <c r="G414" s="231" t="s">
        <v>22</v>
      </c>
      <c r="H414" s="361" t="s">
        <v>4666</v>
      </c>
      <c r="I414" s="186"/>
      <c r="J414" s="361"/>
      <c r="K414" s="262" t="s">
        <v>4667</v>
      </c>
      <c r="L414" s="364">
        <v>39022</v>
      </c>
      <c r="M414" s="364">
        <v>42675</v>
      </c>
      <c r="N414" s="361"/>
      <c r="O414" s="361"/>
      <c r="P414" s="361"/>
      <c r="Q414" s="361"/>
      <c r="R414" s="361"/>
      <c r="S414" s="361"/>
      <c r="T414" s="361"/>
      <c r="U414" s="361"/>
      <c r="V414" s="361"/>
      <c r="W414" s="361"/>
      <c r="X414" s="361"/>
      <c r="Y414" s="361"/>
      <c r="Z414" s="361"/>
      <c r="AA414" s="361"/>
      <c r="AB414" s="361"/>
      <c r="AC414" s="361"/>
      <c r="AD414" s="362"/>
    </row>
    <row r="415" spans="1:30" x14ac:dyDescent="0.25">
      <c r="A415" s="360"/>
      <c r="B415" s="186" t="s">
        <v>4668</v>
      </c>
      <c r="C415" s="186"/>
      <c r="D415" s="210" t="s">
        <v>418</v>
      </c>
      <c r="E415" s="210" t="s">
        <v>417</v>
      </c>
      <c r="F415" s="210"/>
      <c r="G415" s="231" t="s">
        <v>22</v>
      </c>
      <c r="H415" s="361" t="s">
        <v>4666</v>
      </c>
      <c r="I415" s="186"/>
      <c r="J415" s="361"/>
      <c r="K415" s="262" t="s">
        <v>4667</v>
      </c>
      <c r="L415" s="364">
        <v>39022</v>
      </c>
      <c r="M415" s="364">
        <v>42675</v>
      </c>
      <c r="N415" s="361"/>
      <c r="O415" s="361"/>
      <c r="P415" s="361"/>
      <c r="Q415" s="361"/>
      <c r="R415" s="361"/>
      <c r="S415" s="361"/>
      <c r="T415" s="361"/>
      <c r="U415" s="361"/>
      <c r="V415" s="361"/>
      <c r="W415" s="361"/>
      <c r="X415" s="361"/>
      <c r="Y415" s="361"/>
      <c r="Z415" s="361"/>
      <c r="AA415" s="361"/>
      <c r="AB415" s="361"/>
      <c r="AC415" s="361"/>
      <c r="AD415" s="362"/>
    </row>
    <row r="416" spans="1:30" x14ac:dyDescent="0.25">
      <c r="A416" s="360"/>
      <c r="B416" s="186" t="s">
        <v>4669</v>
      </c>
      <c r="C416" s="186"/>
      <c r="D416" s="210" t="s">
        <v>418</v>
      </c>
      <c r="E416" s="210" t="s">
        <v>425</v>
      </c>
      <c r="F416" s="210"/>
      <c r="G416" s="231" t="s">
        <v>22</v>
      </c>
      <c r="H416" s="361" t="s">
        <v>4666</v>
      </c>
      <c r="I416" s="186"/>
      <c r="J416" s="361"/>
      <c r="K416" s="262" t="s">
        <v>4667</v>
      </c>
      <c r="L416" s="364">
        <v>39022</v>
      </c>
      <c r="M416" s="364">
        <v>42675</v>
      </c>
      <c r="N416" s="361"/>
      <c r="O416" s="361"/>
      <c r="P416" s="361"/>
      <c r="Q416" s="361"/>
      <c r="R416" s="361"/>
      <c r="S416" s="361"/>
      <c r="T416" s="361"/>
      <c r="U416" s="361"/>
      <c r="V416" s="361"/>
      <c r="W416" s="361"/>
      <c r="X416" s="361"/>
      <c r="Y416" s="361"/>
      <c r="Z416" s="361"/>
      <c r="AA416" s="361"/>
      <c r="AB416" s="361"/>
      <c r="AC416" s="361"/>
      <c r="AD416" s="362"/>
    </row>
    <row r="417" spans="1:30" x14ac:dyDescent="0.25">
      <c r="A417" s="360"/>
      <c r="B417" s="186" t="s">
        <v>4670</v>
      </c>
      <c r="C417" s="186"/>
      <c r="D417" s="210" t="s">
        <v>418</v>
      </c>
      <c r="E417" s="210" t="s">
        <v>423</v>
      </c>
      <c r="F417" s="210"/>
      <c r="G417" s="231" t="s">
        <v>22</v>
      </c>
      <c r="H417" s="361" t="s">
        <v>4666</v>
      </c>
      <c r="I417" s="186"/>
      <c r="J417" s="361"/>
      <c r="K417" s="262" t="s">
        <v>4667</v>
      </c>
      <c r="L417" s="364">
        <v>39022</v>
      </c>
      <c r="M417" s="364">
        <v>42675</v>
      </c>
      <c r="N417" s="361"/>
      <c r="O417" s="361"/>
      <c r="P417" s="361"/>
      <c r="Q417" s="361"/>
      <c r="R417" s="361"/>
      <c r="S417" s="361"/>
      <c r="T417" s="361"/>
      <c r="U417" s="361"/>
      <c r="V417" s="361"/>
      <c r="W417" s="361"/>
      <c r="X417" s="361"/>
      <c r="Y417" s="361"/>
      <c r="Z417" s="361"/>
      <c r="AA417" s="361"/>
      <c r="AB417" s="361"/>
      <c r="AC417" s="361"/>
      <c r="AD417" s="362"/>
    </row>
    <row r="418" spans="1:30" x14ac:dyDescent="0.25">
      <c r="A418" s="360"/>
      <c r="B418" s="186" t="s">
        <v>4671</v>
      </c>
      <c r="C418" s="186"/>
      <c r="D418" s="210" t="s">
        <v>4672</v>
      </c>
      <c r="E418" s="210" t="s">
        <v>410</v>
      </c>
      <c r="F418" s="210"/>
      <c r="G418" s="231" t="s">
        <v>22</v>
      </c>
      <c r="H418" s="361" t="s">
        <v>4666</v>
      </c>
      <c r="I418" s="186"/>
      <c r="J418" s="361"/>
      <c r="K418" s="262" t="s">
        <v>4391</v>
      </c>
      <c r="L418" s="364">
        <v>39022</v>
      </c>
      <c r="M418" s="364">
        <v>42675</v>
      </c>
      <c r="N418" s="361"/>
      <c r="O418" s="361"/>
      <c r="P418" s="361"/>
      <c r="Q418" s="361"/>
      <c r="R418" s="361"/>
      <c r="S418" s="361"/>
      <c r="T418" s="361"/>
      <c r="U418" s="361"/>
      <c r="V418" s="361"/>
      <c r="W418" s="361"/>
      <c r="X418" s="361"/>
      <c r="Y418" s="361"/>
      <c r="Z418" s="361"/>
      <c r="AA418" s="361"/>
      <c r="AB418" s="361"/>
      <c r="AC418" s="361"/>
      <c r="AD418" s="362"/>
    </row>
    <row r="419" spans="1:30" x14ac:dyDescent="0.25">
      <c r="A419" s="360"/>
      <c r="B419" s="186" t="s">
        <v>4673</v>
      </c>
      <c r="C419" s="186"/>
      <c r="D419" s="210" t="s">
        <v>4674</v>
      </c>
      <c r="E419" s="210"/>
      <c r="F419" s="210"/>
      <c r="G419" s="231" t="s">
        <v>22</v>
      </c>
      <c r="H419" s="361" t="s">
        <v>4666</v>
      </c>
      <c r="I419" s="186"/>
      <c r="J419" s="361"/>
      <c r="K419" s="262" t="s">
        <v>4391</v>
      </c>
      <c r="L419" s="364">
        <v>39022</v>
      </c>
      <c r="M419" s="364">
        <v>42675</v>
      </c>
      <c r="N419" s="361"/>
      <c r="O419" s="361"/>
      <c r="P419" s="361"/>
      <c r="Q419" s="361"/>
      <c r="R419" s="361"/>
      <c r="S419" s="361"/>
      <c r="T419" s="361"/>
      <c r="U419" s="361"/>
      <c r="V419" s="361"/>
      <c r="W419" s="361"/>
      <c r="X419" s="361"/>
      <c r="Y419" s="361"/>
      <c r="Z419" s="361"/>
      <c r="AA419" s="361"/>
      <c r="AB419" s="361"/>
      <c r="AC419" s="361"/>
      <c r="AD419" s="362"/>
    </row>
    <row r="420" spans="1:30" x14ac:dyDescent="0.25">
      <c r="A420" s="360"/>
      <c r="B420" s="186" t="s">
        <v>4675</v>
      </c>
      <c r="C420" s="186"/>
      <c r="D420" s="210" t="s">
        <v>440</v>
      </c>
      <c r="E420" s="210" t="s">
        <v>439</v>
      </c>
      <c r="F420" s="210"/>
      <c r="G420" s="231" t="s">
        <v>22</v>
      </c>
      <c r="H420" s="361" t="s">
        <v>4666</v>
      </c>
      <c r="I420" s="186"/>
      <c r="J420" s="361"/>
      <c r="L420" s="361"/>
      <c r="M420" s="361"/>
      <c r="N420" s="361"/>
      <c r="O420" s="361"/>
      <c r="P420" s="361"/>
      <c r="Q420" s="361"/>
      <c r="R420" s="361"/>
      <c r="S420" s="361"/>
      <c r="T420" s="361"/>
      <c r="U420" s="361"/>
      <c r="V420" s="361"/>
      <c r="W420" s="361"/>
      <c r="X420" s="361"/>
      <c r="Y420" s="361"/>
      <c r="Z420" s="361"/>
      <c r="AA420" s="361"/>
      <c r="AB420" s="361"/>
      <c r="AC420" s="361"/>
      <c r="AD420" s="362"/>
    </row>
    <row r="421" spans="1:30" x14ac:dyDescent="0.25">
      <c r="A421" s="360"/>
      <c r="B421" s="186" t="s">
        <v>4676</v>
      </c>
      <c r="C421" s="186">
        <v>1</v>
      </c>
      <c r="D421" s="210" t="s">
        <v>4677</v>
      </c>
      <c r="E421" s="210"/>
      <c r="F421" s="210"/>
      <c r="G421" s="231" t="s">
        <v>22</v>
      </c>
      <c r="H421" s="361" t="s">
        <v>4666</v>
      </c>
      <c r="I421" s="186"/>
      <c r="J421" s="361"/>
      <c r="K421" s="262" t="s">
        <v>4391</v>
      </c>
      <c r="L421" s="364">
        <v>39022</v>
      </c>
      <c r="M421" s="364">
        <v>42675</v>
      </c>
      <c r="N421" s="361"/>
      <c r="O421" s="361"/>
      <c r="P421" s="361"/>
      <c r="Q421" s="361"/>
      <c r="R421" s="361"/>
      <c r="S421" s="361"/>
      <c r="T421" s="361"/>
      <c r="U421" s="361"/>
      <c r="V421" s="361"/>
      <c r="W421" s="361"/>
      <c r="X421" s="361"/>
      <c r="Y421" s="361"/>
      <c r="Z421" s="361"/>
      <c r="AA421" s="361"/>
      <c r="AB421" s="361"/>
      <c r="AC421" s="361"/>
      <c r="AD421" s="362"/>
    </row>
    <row r="422" spans="1:30" x14ac:dyDescent="0.25">
      <c r="A422" s="360"/>
      <c r="B422" s="186" t="s">
        <v>4678</v>
      </c>
      <c r="C422" s="186">
        <v>1</v>
      </c>
      <c r="D422" s="210" t="s">
        <v>4679</v>
      </c>
      <c r="E422" s="210" t="s">
        <v>4680</v>
      </c>
      <c r="F422" s="210"/>
      <c r="G422" s="231" t="s">
        <v>22</v>
      </c>
      <c r="H422" s="361" t="s">
        <v>4666</v>
      </c>
      <c r="I422" s="186"/>
      <c r="J422" s="361"/>
      <c r="K422" s="262" t="s">
        <v>4391</v>
      </c>
      <c r="L422" s="364">
        <v>39022</v>
      </c>
      <c r="M422" s="364">
        <v>42675</v>
      </c>
      <c r="N422" s="361"/>
      <c r="O422" s="361"/>
      <c r="P422" s="361"/>
      <c r="Q422" s="361"/>
      <c r="R422" s="361"/>
      <c r="S422" s="361"/>
      <c r="T422" s="361"/>
      <c r="U422" s="361"/>
      <c r="V422" s="361"/>
      <c r="W422" s="361"/>
      <c r="X422" s="361"/>
      <c r="Y422" s="361"/>
      <c r="Z422" s="361"/>
      <c r="AA422" s="361"/>
      <c r="AB422" s="361"/>
      <c r="AC422" s="361"/>
      <c r="AD422" s="362"/>
    </row>
    <row r="423" spans="1:30" x14ac:dyDescent="0.25">
      <c r="A423" s="360"/>
      <c r="B423" s="186" t="s">
        <v>4681</v>
      </c>
      <c r="C423" s="186">
        <v>1</v>
      </c>
      <c r="D423" s="210" t="s">
        <v>4682</v>
      </c>
      <c r="E423" s="210" t="s">
        <v>4683</v>
      </c>
      <c r="F423" s="210"/>
      <c r="G423" s="231" t="s">
        <v>22</v>
      </c>
      <c r="H423" s="361" t="s">
        <v>4666</v>
      </c>
      <c r="I423" s="186"/>
      <c r="J423" s="361"/>
      <c r="K423" s="262" t="s">
        <v>4684</v>
      </c>
      <c r="L423" s="364">
        <v>39857</v>
      </c>
      <c r="M423" s="361" t="s">
        <v>3958</v>
      </c>
      <c r="N423" s="361">
        <v>2012</v>
      </c>
      <c r="O423" s="361"/>
      <c r="P423" s="361"/>
      <c r="Q423" s="361"/>
      <c r="R423" s="361"/>
      <c r="S423" s="361"/>
      <c r="T423" s="361"/>
      <c r="U423" s="361"/>
      <c r="V423" s="361"/>
      <c r="W423" s="361"/>
      <c r="X423" s="361"/>
      <c r="Y423" s="361"/>
      <c r="Z423" s="361"/>
      <c r="AA423" s="361"/>
      <c r="AB423" s="361"/>
      <c r="AC423" s="361"/>
      <c r="AD423" s="362"/>
    </row>
    <row r="424" spans="1:30" x14ac:dyDescent="0.25">
      <c r="A424" s="360"/>
      <c r="B424" s="186" t="s">
        <v>4685</v>
      </c>
      <c r="C424" s="186"/>
      <c r="D424" s="210" t="s">
        <v>4682</v>
      </c>
      <c r="E424" s="210" t="s">
        <v>4686</v>
      </c>
      <c r="F424" s="210"/>
      <c r="G424" s="231" t="s">
        <v>22</v>
      </c>
      <c r="H424" s="361" t="s">
        <v>4666</v>
      </c>
      <c r="I424" s="186"/>
      <c r="J424" s="361"/>
      <c r="K424" s="262" t="s">
        <v>4684</v>
      </c>
      <c r="L424" s="364">
        <v>39857</v>
      </c>
      <c r="M424" s="361" t="s">
        <v>3958</v>
      </c>
      <c r="N424" s="361">
        <v>2012</v>
      </c>
      <c r="O424" s="361"/>
      <c r="P424" s="361"/>
      <c r="Q424" s="361"/>
      <c r="R424" s="361"/>
      <c r="S424" s="361"/>
      <c r="T424" s="361"/>
      <c r="U424" s="361"/>
      <c r="V424" s="361"/>
      <c r="W424" s="361"/>
      <c r="X424" s="361"/>
      <c r="Y424" s="361"/>
      <c r="Z424" s="361"/>
      <c r="AA424" s="361"/>
      <c r="AB424" s="361"/>
      <c r="AC424" s="361"/>
      <c r="AD424" s="362"/>
    </row>
    <row r="425" spans="1:30" x14ac:dyDescent="0.25">
      <c r="A425" s="360"/>
      <c r="B425" s="186" t="s">
        <v>4687</v>
      </c>
      <c r="C425" s="186"/>
      <c r="D425" s="210" t="s">
        <v>4682</v>
      </c>
      <c r="E425" s="210" t="s">
        <v>4688</v>
      </c>
      <c r="F425" s="210"/>
      <c r="G425" s="231" t="s">
        <v>22</v>
      </c>
      <c r="H425" s="361" t="s">
        <v>4666</v>
      </c>
      <c r="I425" s="186"/>
      <c r="J425" s="361"/>
      <c r="K425" s="262" t="s">
        <v>4684</v>
      </c>
      <c r="L425" s="364">
        <v>39857</v>
      </c>
      <c r="M425" s="361" t="s">
        <v>3958</v>
      </c>
      <c r="N425" s="361">
        <v>2012</v>
      </c>
      <c r="O425" s="361"/>
      <c r="P425" s="361"/>
      <c r="Q425" s="361"/>
      <c r="R425" s="361"/>
      <c r="S425" s="361"/>
      <c r="T425" s="361"/>
      <c r="U425" s="361"/>
      <c r="V425" s="361"/>
      <c r="W425" s="361"/>
      <c r="X425" s="361"/>
      <c r="Y425" s="361"/>
      <c r="Z425" s="361"/>
      <c r="AA425" s="361"/>
      <c r="AB425" s="361"/>
      <c r="AC425" s="361"/>
      <c r="AD425" s="362"/>
    </row>
    <row r="426" spans="1:30" x14ac:dyDescent="0.25">
      <c r="A426" s="360"/>
      <c r="B426" s="186" t="s">
        <v>4689</v>
      </c>
      <c r="C426" s="186"/>
      <c r="D426" s="210" t="s">
        <v>384</v>
      </c>
      <c r="E426" s="210"/>
      <c r="F426" s="210"/>
      <c r="G426" s="231" t="s">
        <v>22</v>
      </c>
      <c r="H426" s="361" t="s">
        <v>4666</v>
      </c>
      <c r="I426" s="186"/>
      <c r="J426" s="361"/>
      <c r="K426" s="262" t="s">
        <v>4690</v>
      </c>
      <c r="L426" s="368">
        <v>37462</v>
      </c>
      <c r="M426" s="368">
        <v>41001</v>
      </c>
      <c r="N426" s="361"/>
      <c r="O426" s="361"/>
      <c r="P426" s="361"/>
      <c r="Q426" s="361"/>
      <c r="R426" s="361"/>
      <c r="S426" s="361"/>
      <c r="T426" s="361"/>
      <c r="U426" s="361"/>
      <c r="V426" s="361"/>
      <c r="W426" s="361"/>
      <c r="X426" s="361"/>
      <c r="Y426" s="361"/>
      <c r="Z426" s="361"/>
      <c r="AA426" s="361"/>
      <c r="AB426" s="361"/>
      <c r="AC426" s="361"/>
      <c r="AD426" s="362"/>
    </row>
    <row r="427" spans="1:30" x14ac:dyDescent="0.25">
      <c r="A427" s="360"/>
      <c r="B427" s="186" t="s">
        <v>4691</v>
      </c>
      <c r="C427" s="186">
        <v>1</v>
      </c>
      <c r="D427" s="210">
        <v>8104206</v>
      </c>
      <c r="E427" s="210" t="s">
        <v>4336</v>
      </c>
      <c r="F427" s="210"/>
      <c r="G427" s="231" t="s">
        <v>22</v>
      </c>
      <c r="H427" s="361" t="s">
        <v>4666</v>
      </c>
      <c r="I427" s="186"/>
      <c r="J427" s="361"/>
      <c r="L427" s="361"/>
      <c r="M427" s="361"/>
      <c r="N427" s="361">
        <v>2012</v>
      </c>
      <c r="O427" s="361"/>
      <c r="P427" s="361"/>
      <c r="Q427" s="361"/>
      <c r="R427" s="361"/>
      <c r="S427" s="361"/>
      <c r="T427" s="361"/>
      <c r="U427" s="361"/>
      <c r="V427" s="361"/>
      <c r="W427" s="361"/>
      <c r="X427" s="361"/>
      <c r="Y427" s="361"/>
      <c r="Z427" s="361"/>
      <c r="AA427" s="361"/>
      <c r="AB427" s="361"/>
      <c r="AC427" s="361"/>
      <c r="AD427" s="362"/>
    </row>
    <row r="428" spans="1:30" x14ac:dyDescent="0.25">
      <c r="A428" s="360"/>
      <c r="B428" s="186" t="s">
        <v>4692</v>
      </c>
      <c r="C428" s="186">
        <v>1</v>
      </c>
      <c r="D428" s="210">
        <v>8104207</v>
      </c>
      <c r="E428" s="210" t="s">
        <v>4336</v>
      </c>
      <c r="F428" s="210"/>
      <c r="G428" s="231" t="s">
        <v>22</v>
      </c>
      <c r="H428" s="361" t="s">
        <v>4666</v>
      </c>
      <c r="I428" s="186"/>
      <c r="J428" s="361"/>
      <c r="L428" s="361"/>
      <c r="M428" s="361"/>
      <c r="N428" s="361">
        <v>2012</v>
      </c>
      <c r="O428" s="361"/>
      <c r="P428" s="361"/>
      <c r="Q428" s="361"/>
      <c r="R428" s="361"/>
      <c r="S428" s="361"/>
      <c r="T428" s="361"/>
      <c r="U428" s="361"/>
      <c r="V428" s="361"/>
      <c r="W428" s="361"/>
      <c r="X428" s="361"/>
      <c r="Y428" s="361"/>
      <c r="Z428" s="361"/>
      <c r="AA428" s="361"/>
      <c r="AB428" s="361"/>
      <c r="AC428" s="361"/>
      <c r="AD428" s="362"/>
    </row>
    <row r="429" spans="1:30" x14ac:dyDescent="0.25">
      <c r="A429" s="360"/>
      <c r="B429" s="186" t="s">
        <v>4693</v>
      </c>
      <c r="C429" s="186">
        <v>1</v>
      </c>
      <c r="D429" s="210" t="s">
        <v>398</v>
      </c>
      <c r="E429" s="210"/>
      <c r="F429" s="210"/>
      <c r="G429" s="231" t="s">
        <v>22</v>
      </c>
      <c r="H429" s="361" t="s">
        <v>4694</v>
      </c>
      <c r="I429" s="186"/>
      <c r="J429" s="361"/>
      <c r="K429" s="262" t="s">
        <v>4667</v>
      </c>
      <c r="L429" s="364">
        <v>39022</v>
      </c>
      <c r="M429" s="364">
        <v>42675</v>
      </c>
      <c r="N429" s="361"/>
      <c r="O429" s="361"/>
      <c r="P429" s="361"/>
      <c r="Q429" s="361"/>
      <c r="R429" s="361"/>
      <c r="S429" s="361"/>
      <c r="T429" s="361"/>
      <c r="U429" s="361"/>
      <c r="V429" s="361"/>
      <c r="W429" s="361"/>
      <c r="X429" s="361"/>
      <c r="Y429" s="361"/>
      <c r="Z429" s="361"/>
      <c r="AA429" s="361"/>
      <c r="AB429" s="361"/>
      <c r="AC429" s="361"/>
      <c r="AD429" s="362"/>
    </row>
    <row r="430" spans="1:30" x14ac:dyDescent="0.25">
      <c r="A430" s="360"/>
      <c r="B430" s="186" t="s">
        <v>4695</v>
      </c>
      <c r="C430" s="186"/>
      <c r="D430" s="210" t="s">
        <v>4696</v>
      </c>
      <c r="E430" s="210" t="s">
        <v>4336</v>
      </c>
      <c r="F430" s="210"/>
      <c r="G430" s="231" t="s">
        <v>22</v>
      </c>
      <c r="H430" s="361" t="s">
        <v>4694</v>
      </c>
      <c r="I430" s="186"/>
      <c r="J430" s="361"/>
      <c r="K430" s="262" t="s">
        <v>4667</v>
      </c>
      <c r="L430" s="364">
        <v>39022</v>
      </c>
      <c r="M430" s="364">
        <v>42675</v>
      </c>
      <c r="N430" s="361"/>
      <c r="O430" s="361"/>
      <c r="P430" s="361"/>
      <c r="Q430" s="361"/>
      <c r="R430" s="361"/>
      <c r="S430" s="361"/>
      <c r="T430" s="361"/>
      <c r="U430" s="361"/>
      <c r="V430" s="361"/>
      <c r="W430" s="361"/>
      <c r="X430" s="361"/>
      <c r="Y430" s="361"/>
      <c r="Z430" s="361"/>
      <c r="AA430" s="361"/>
      <c r="AB430" s="361"/>
      <c r="AC430" s="361"/>
      <c r="AD430" s="362"/>
    </row>
    <row r="431" spans="1:30" x14ac:dyDescent="0.25">
      <c r="A431" s="360"/>
      <c r="B431" s="186" t="s">
        <v>4668</v>
      </c>
      <c r="C431" s="186"/>
      <c r="D431" s="210" t="s">
        <v>401</v>
      </c>
      <c r="E431" s="210" t="s">
        <v>400</v>
      </c>
      <c r="F431" s="210"/>
      <c r="G431" s="231" t="s">
        <v>22</v>
      </c>
      <c r="H431" s="361" t="s">
        <v>4694</v>
      </c>
      <c r="I431" s="186"/>
      <c r="J431" s="361"/>
      <c r="K431" s="262" t="s">
        <v>4391</v>
      </c>
      <c r="L431" s="364">
        <v>39022</v>
      </c>
      <c r="M431" s="364">
        <v>42675</v>
      </c>
      <c r="N431" s="361"/>
      <c r="O431" s="361"/>
      <c r="P431" s="361"/>
      <c r="Q431" s="361"/>
      <c r="R431" s="361"/>
      <c r="S431" s="361"/>
      <c r="T431" s="361"/>
      <c r="U431" s="361"/>
      <c r="V431" s="361"/>
      <c r="W431" s="361"/>
      <c r="X431" s="361"/>
      <c r="Y431" s="361"/>
      <c r="Z431" s="361"/>
      <c r="AA431" s="361"/>
      <c r="AB431" s="361"/>
      <c r="AC431" s="361"/>
      <c r="AD431" s="362"/>
    </row>
    <row r="432" spans="1:30" x14ac:dyDescent="0.25">
      <c r="A432" s="360"/>
      <c r="B432" s="186" t="s">
        <v>4669</v>
      </c>
      <c r="C432" s="186"/>
      <c r="D432" s="210" t="s">
        <v>4697</v>
      </c>
      <c r="E432" s="210" t="s">
        <v>381</v>
      </c>
      <c r="F432" s="210"/>
      <c r="G432" s="231" t="s">
        <v>22</v>
      </c>
      <c r="H432" s="361" t="s">
        <v>4694</v>
      </c>
      <c r="I432" s="186"/>
      <c r="J432" s="361"/>
      <c r="K432" s="262" t="s">
        <v>4391</v>
      </c>
      <c r="L432" s="364">
        <v>39022</v>
      </c>
      <c r="M432" s="364">
        <v>42675</v>
      </c>
      <c r="N432" s="361"/>
      <c r="O432" s="361"/>
      <c r="P432" s="361"/>
      <c r="Q432" s="361"/>
      <c r="R432" s="361"/>
      <c r="S432" s="361"/>
      <c r="T432" s="361"/>
      <c r="U432" s="361"/>
      <c r="V432" s="361"/>
      <c r="W432" s="361"/>
      <c r="X432" s="361"/>
      <c r="Y432" s="361"/>
      <c r="Z432" s="361"/>
      <c r="AA432" s="361"/>
      <c r="AB432" s="361"/>
      <c r="AC432" s="361"/>
      <c r="AD432" s="362"/>
    </row>
    <row r="433" spans="1:30" x14ac:dyDescent="0.25">
      <c r="A433" s="360"/>
      <c r="B433" s="186" t="s">
        <v>4698</v>
      </c>
      <c r="C433" s="186"/>
      <c r="D433" s="210"/>
      <c r="E433" s="210" t="s">
        <v>354</v>
      </c>
      <c r="F433" s="210"/>
      <c r="G433" s="231" t="s">
        <v>22</v>
      </c>
      <c r="H433" s="361" t="s">
        <v>4694</v>
      </c>
      <c r="I433" s="186"/>
      <c r="J433" s="361"/>
      <c r="K433" s="262" t="s">
        <v>4391</v>
      </c>
      <c r="L433" s="364">
        <v>39022</v>
      </c>
      <c r="M433" s="364">
        <v>42675</v>
      </c>
      <c r="N433" s="361"/>
      <c r="O433" s="361"/>
      <c r="P433" s="361"/>
      <c r="Q433" s="361"/>
      <c r="R433" s="361"/>
      <c r="S433" s="361"/>
      <c r="T433" s="361"/>
      <c r="U433" s="361"/>
      <c r="V433" s="361"/>
      <c r="W433" s="361"/>
      <c r="X433" s="361"/>
      <c r="Y433" s="361"/>
      <c r="Z433" s="361"/>
      <c r="AA433" s="361"/>
      <c r="AB433" s="361"/>
      <c r="AC433" s="361"/>
      <c r="AD433" s="362"/>
    </row>
    <row r="434" spans="1:30" x14ac:dyDescent="0.25">
      <c r="A434" s="360"/>
      <c r="B434" s="186" t="s">
        <v>4699</v>
      </c>
      <c r="C434" s="186"/>
      <c r="D434" s="210"/>
      <c r="E434" s="210" t="s">
        <v>4700</v>
      </c>
      <c r="F434" s="210"/>
      <c r="G434" s="231" t="s">
        <v>22</v>
      </c>
      <c r="H434" s="361" t="s">
        <v>4694</v>
      </c>
      <c r="I434" s="186"/>
      <c r="J434" s="361"/>
      <c r="K434" s="262" t="s">
        <v>4391</v>
      </c>
      <c r="L434" s="364">
        <v>39022</v>
      </c>
      <c r="M434" s="364">
        <v>42675</v>
      </c>
      <c r="N434" s="361"/>
      <c r="O434" s="361"/>
      <c r="P434" s="361"/>
      <c r="Q434" s="361"/>
      <c r="R434" s="361"/>
      <c r="S434" s="361"/>
      <c r="T434" s="361"/>
      <c r="U434" s="361"/>
      <c r="V434" s="361"/>
      <c r="W434" s="361"/>
      <c r="X434" s="361"/>
      <c r="Y434" s="361"/>
      <c r="Z434" s="361"/>
      <c r="AA434" s="361"/>
      <c r="AB434" s="361"/>
      <c r="AC434" s="361"/>
      <c r="AD434" s="362"/>
    </row>
    <row r="435" spans="1:30" x14ac:dyDescent="0.25">
      <c r="A435" s="360"/>
      <c r="B435" s="186" t="s">
        <v>4701</v>
      </c>
      <c r="C435" s="186"/>
      <c r="D435" s="210" t="s">
        <v>426</v>
      </c>
      <c r="E435" s="210"/>
      <c r="F435" s="210"/>
      <c r="G435" s="231" t="s">
        <v>22</v>
      </c>
      <c r="H435" s="361" t="s">
        <v>4694</v>
      </c>
      <c r="I435" s="186"/>
      <c r="J435" s="361"/>
      <c r="K435" s="262" t="s">
        <v>4391</v>
      </c>
      <c r="L435" s="364">
        <v>39022</v>
      </c>
      <c r="M435" s="364">
        <v>42675</v>
      </c>
      <c r="N435" s="361"/>
      <c r="O435" s="361"/>
      <c r="P435" s="361"/>
      <c r="Q435" s="361"/>
      <c r="R435" s="361"/>
      <c r="S435" s="361"/>
      <c r="T435" s="361"/>
      <c r="U435" s="361"/>
      <c r="V435" s="361"/>
      <c r="W435" s="361"/>
      <c r="X435" s="361"/>
      <c r="Y435" s="361"/>
      <c r="Z435" s="361"/>
      <c r="AA435" s="361"/>
      <c r="AB435" s="361"/>
      <c r="AC435" s="361"/>
      <c r="AD435" s="362"/>
    </row>
    <row r="436" spans="1:30" x14ac:dyDescent="0.25">
      <c r="A436" s="360"/>
      <c r="B436" s="186" t="s">
        <v>4678</v>
      </c>
      <c r="C436" s="186"/>
      <c r="D436" s="210" t="s">
        <v>4702</v>
      </c>
      <c r="E436" s="210" t="s">
        <v>4336</v>
      </c>
      <c r="F436" s="210"/>
      <c r="G436" s="231" t="s">
        <v>22</v>
      </c>
      <c r="H436" s="361" t="s">
        <v>4694</v>
      </c>
      <c r="I436" s="186"/>
      <c r="J436" s="361"/>
      <c r="K436" s="262" t="s">
        <v>4391</v>
      </c>
      <c r="L436" s="364">
        <v>39022</v>
      </c>
      <c r="M436" s="364">
        <v>42675</v>
      </c>
      <c r="N436" s="361"/>
      <c r="O436" s="361"/>
      <c r="P436" s="361"/>
      <c r="Q436" s="361"/>
      <c r="R436" s="361"/>
      <c r="S436" s="361"/>
      <c r="T436" s="361"/>
      <c r="U436" s="361"/>
      <c r="V436" s="361"/>
      <c r="W436" s="361"/>
      <c r="X436" s="361"/>
      <c r="Y436" s="361"/>
      <c r="Z436" s="361"/>
      <c r="AA436" s="361"/>
      <c r="AB436" s="361"/>
      <c r="AC436" s="361"/>
      <c r="AD436" s="362"/>
    </row>
    <row r="437" spans="1:30" x14ac:dyDescent="0.25">
      <c r="A437" s="190">
        <v>349</v>
      </c>
      <c r="B437" s="190" t="s">
        <v>4703</v>
      </c>
      <c r="C437" s="190">
        <v>1</v>
      </c>
      <c r="E437" s="209"/>
      <c r="F437" s="209"/>
      <c r="G437" s="231" t="s">
        <v>22</v>
      </c>
      <c r="H437" s="361" t="s">
        <v>4694</v>
      </c>
      <c r="J437" s="361"/>
      <c r="K437" s="301" t="s">
        <v>4704</v>
      </c>
      <c r="L437" s="357">
        <v>38644</v>
      </c>
      <c r="M437" s="357">
        <v>42296</v>
      </c>
      <c r="N437" s="242"/>
      <c r="Q437" s="244">
        <v>12</v>
      </c>
      <c r="R437" s="245">
        <v>40820</v>
      </c>
      <c r="S437" s="311" t="s">
        <v>4177</v>
      </c>
      <c r="T437" s="245">
        <v>41186</v>
      </c>
      <c r="U437" s="231" t="s">
        <v>4178</v>
      </c>
      <c r="Z437" s="231">
        <v>1</v>
      </c>
      <c r="AA437" s="231" t="s">
        <v>4179</v>
      </c>
      <c r="AB437" s="231"/>
      <c r="AC437" s="231"/>
      <c r="AD437" s="231"/>
    </row>
    <row r="438" spans="1:30" x14ac:dyDescent="0.25">
      <c r="A438" s="190"/>
      <c r="B438" s="190" t="s">
        <v>4705</v>
      </c>
      <c r="C438" s="190"/>
      <c r="E438" s="209" t="s">
        <v>4706</v>
      </c>
      <c r="F438" s="209"/>
      <c r="G438" s="231" t="s">
        <v>22</v>
      </c>
      <c r="H438" s="361" t="s">
        <v>4694</v>
      </c>
      <c r="J438" s="361"/>
      <c r="K438" s="301"/>
      <c r="L438" s="359"/>
      <c r="M438" s="359"/>
      <c r="N438" s="242"/>
      <c r="Q438" s="244"/>
      <c r="R438" s="245"/>
      <c r="T438" s="245"/>
      <c r="AB438" s="231"/>
      <c r="AC438" s="231"/>
      <c r="AD438" s="172"/>
    </row>
    <row r="439" spans="1:30" x14ac:dyDescent="0.25">
      <c r="A439" s="360"/>
      <c r="B439" s="186" t="s">
        <v>4707</v>
      </c>
      <c r="C439" s="186"/>
      <c r="D439" s="210" t="s">
        <v>418</v>
      </c>
      <c r="E439" s="210" t="s">
        <v>377</v>
      </c>
      <c r="F439" s="210"/>
      <c r="G439" s="231" t="s">
        <v>22</v>
      </c>
      <c r="H439" s="361" t="s">
        <v>4694</v>
      </c>
      <c r="I439" s="186"/>
      <c r="J439" s="361"/>
      <c r="L439" s="361"/>
      <c r="M439" s="361"/>
      <c r="N439" s="361"/>
      <c r="O439" s="361"/>
      <c r="P439" s="361"/>
      <c r="Q439" s="361"/>
      <c r="R439" s="361"/>
      <c r="S439" s="361"/>
      <c r="T439" s="361"/>
      <c r="U439" s="361"/>
      <c r="V439" s="361"/>
      <c r="W439" s="361"/>
      <c r="X439" s="361"/>
      <c r="Y439" s="361"/>
      <c r="Z439" s="361"/>
      <c r="AA439" s="361"/>
      <c r="AB439" s="361"/>
      <c r="AC439" s="361"/>
      <c r="AD439" s="362"/>
    </row>
    <row r="440" spans="1:30" x14ac:dyDescent="0.25">
      <c r="A440" s="360"/>
      <c r="B440" s="186" t="s">
        <v>4689</v>
      </c>
      <c r="C440" s="186"/>
      <c r="D440" s="210">
        <v>4700323</v>
      </c>
      <c r="E440" s="210" t="s">
        <v>4708</v>
      </c>
      <c r="F440" s="294"/>
      <c r="G440" s="231" t="s">
        <v>22</v>
      </c>
      <c r="H440" s="361" t="s">
        <v>4694</v>
      </c>
      <c r="I440" s="186"/>
      <c r="J440" s="361"/>
      <c r="K440" s="295" t="s">
        <v>4690</v>
      </c>
      <c r="L440" s="368">
        <v>37462</v>
      </c>
      <c r="M440" s="368">
        <v>41001</v>
      </c>
      <c r="N440" s="361"/>
      <c r="O440" s="361"/>
      <c r="P440" s="361"/>
      <c r="Q440" s="361"/>
      <c r="R440" s="361"/>
      <c r="S440" s="361"/>
      <c r="T440" s="361"/>
      <c r="U440" s="361"/>
      <c r="V440" s="361"/>
      <c r="W440" s="361"/>
      <c r="X440" s="361"/>
      <c r="Y440" s="361"/>
      <c r="Z440" s="361"/>
      <c r="AA440" s="361"/>
      <c r="AB440" s="361"/>
      <c r="AC440" s="361"/>
      <c r="AD440" s="362"/>
    </row>
    <row r="441" spans="1:30" x14ac:dyDescent="0.25">
      <c r="A441" s="360"/>
      <c r="B441" s="186" t="s">
        <v>4277</v>
      </c>
      <c r="C441" s="186"/>
      <c r="D441" s="210" t="s">
        <v>4709</v>
      </c>
      <c r="E441" s="210"/>
      <c r="F441" s="210"/>
      <c r="G441" s="231" t="s">
        <v>22</v>
      </c>
      <c r="H441" s="361" t="s">
        <v>4694</v>
      </c>
      <c r="I441" s="186"/>
      <c r="J441" s="361"/>
      <c r="K441" s="262" t="s">
        <v>4049</v>
      </c>
      <c r="L441" s="263">
        <v>38944</v>
      </c>
      <c r="M441" s="263">
        <v>40770</v>
      </c>
      <c r="N441" s="361"/>
      <c r="O441" s="361"/>
      <c r="P441" s="361"/>
      <c r="Q441" s="361"/>
      <c r="R441" s="361"/>
      <c r="S441" s="361"/>
      <c r="T441" s="361"/>
      <c r="U441" s="361"/>
      <c r="V441" s="361"/>
      <c r="W441" s="361"/>
      <c r="X441" s="361"/>
      <c r="Y441" s="361"/>
      <c r="Z441" s="361"/>
      <c r="AA441" s="361"/>
      <c r="AB441" s="361"/>
      <c r="AC441" s="361"/>
      <c r="AD441" s="362"/>
    </row>
    <row r="442" spans="1:30" x14ac:dyDescent="0.25">
      <c r="A442" s="360"/>
      <c r="B442" s="186" t="s">
        <v>4277</v>
      </c>
      <c r="C442" s="186"/>
      <c r="D442" s="210" t="s">
        <v>4710</v>
      </c>
      <c r="E442" s="210"/>
      <c r="F442" s="210"/>
      <c r="G442" s="231" t="s">
        <v>22</v>
      </c>
      <c r="H442" s="361" t="s">
        <v>4694</v>
      </c>
      <c r="I442" s="186"/>
      <c r="J442" s="361"/>
      <c r="K442" s="262" t="s">
        <v>4049</v>
      </c>
      <c r="L442" s="263">
        <v>38944</v>
      </c>
      <c r="M442" s="263">
        <v>40770</v>
      </c>
      <c r="N442" s="361"/>
      <c r="O442" s="361"/>
      <c r="P442" s="361"/>
      <c r="Q442" s="361"/>
      <c r="R442" s="361"/>
      <c r="S442" s="361"/>
      <c r="T442" s="361"/>
      <c r="U442" s="361"/>
      <c r="V442" s="361"/>
      <c r="W442" s="361"/>
      <c r="X442" s="361"/>
      <c r="Y442" s="361"/>
      <c r="Z442" s="361"/>
      <c r="AA442" s="361"/>
      <c r="AB442" s="361"/>
      <c r="AC442" s="361"/>
      <c r="AD442" s="362"/>
    </row>
    <row r="443" spans="1:30" x14ac:dyDescent="0.25">
      <c r="A443" s="360"/>
      <c r="B443" s="186" t="s">
        <v>4277</v>
      </c>
      <c r="C443" s="186"/>
      <c r="D443" s="210" t="s">
        <v>4711</v>
      </c>
      <c r="E443" s="210"/>
      <c r="F443" s="210"/>
      <c r="G443" s="231" t="s">
        <v>22</v>
      </c>
      <c r="H443" s="361" t="s">
        <v>4694</v>
      </c>
      <c r="I443" s="186"/>
      <c r="J443" s="361"/>
      <c r="K443" s="262" t="s">
        <v>4049</v>
      </c>
      <c r="L443" s="263">
        <v>38944</v>
      </c>
      <c r="M443" s="263">
        <v>40770</v>
      </c>
      <c r="N443" s="361"/>
      <c r="O443" s="361"/>
      <c r="P443" s="361"/>
      <c r="Q443" s="361"/>
      <c r="R443" s="361"/>
      <c r="S443" s="361"/>
      <c r="T443" s="361"/>
      <c r="U443" s="361"/>
      <c r="V443" s="361"/>
      <c r="W443" s="361"/>
      <c r="X443" s="361"/>
      <c r="Y443" s="361"/>
      <c r="Z443" s="361"/>
      <c r="AA443" s="361"/>
      <c r="AB443" s="361"/>
      <c r="AC443" s="361"/>
      <c r="AD443" s="362"/>
    </row>
    <row r="444" spans="1:30" x14ac:dyDescent="0.25">
      <c r="A444" s="360"/>
      <c r="B444" s="186" t="s">
        <v>4712</v>
      </c>
      <c r="C444" s="186"/>
      <c r="D444" s="210" t="s">
        <v>4713</v>
      </c>
      <c r="E444" s="210"/>
      <c r="F444" s="210"/>
      <c r="G444" s="231" t="s">
        <v>22</v>
      </c>
      <c r="H444" s="361"/>
      <c r="I444" s="186"/>
      <c r="J444" s="361"/>
      <c r="L444" s="361"/>
      <c r="M444" s="361"/>
      <c r="N444" s="361"/>
      <c r="O444" s="361"/>
      <c r="P444" s="361"/>
      <c r="Q444" s="361"/>
      <c r="R444" s="361"/>
      <c r="S444" s="361"/>
      <c r="T444" s="361"/>
      <c r="U444" s="361"/>
      <c r="V444" s="361"/>
      <c r="W444" s="361"/>
      <c r="X444" s="361"/>
      <c r="Y444" s="361"/>
      <c r="Z444" s="361"/>
      <c r="AA444" s="361"/>
      <c r="AB444" s="361"/>
      <c r="AC444" s="361"/>
      <c r="AD444" s="362"/>
    </row>
    <row r="445" spans="1:30" x14ac:dyDescent="0.25">
      <c r="A445" s="360"/>
      <c r="B445" s="186" t="s">
        <v>4714</v>
      </c>
      <c r="C445" s="186"/>
      <c r="D445" s="210" t="s">
        <v>4715</v>
      </c>
      <c r="E445" s="210"/>
      <c r="F445" s="210"/>
      <c r="G445" s="231" t="s">
        <v>22</v>
      </c>
      <c r="H445" s="361"/>
      <c r="I445" s="186"/>
      <c r="J445" s="361"/>
      <c r="L445" s="361"/>
      <c r="M445" s="361"/>
      <c r="N445" s="361"/>
      <c r="O445" s="361"/>
      <c r="P445" s="361"/>
      <c r="Q445" s="361"/>
      <c r="R445" s="361"/>
      <c r="S445" s="361"/>
      <c r="T445" s="361"/>
      <c r="U445" s="361"/>
      <c r="V445" s="361"/>
      <c r="W445" s="361"/>
      <c r="X445" s="361"/>
      <c r="Y445" s="361"/>
      <c r="Z445" s="361"/>
      <c r="AA445" s="361"/>
      <c r="AB445" s="361"/>
      <c r="AC445" s="361"/>
      <c r="AD445" s="362"/>
    </row>
    <row r="446" spans="1:30" x14ac:dyDescent="0.25">
      <c r="A446" s="360"/>
      <c r="B446" s="186" t="s">
        <v>832</v>
      </c>
      <c r="C446" s="186"/>
      <c r="D446" s="210" t="s">
        <v>4716</v>
      </c>
      <c r="E446" s="210" t="s">
        <v>4336</v>
      </c>
      <c r="F446" s="210"/>
      <c r="G446" s="231" t="s">
        <v>22</v>
      </c>
      <c r="H446" s="361" t="s">
        <v>4717</v>
      </c>
      <c r="I446" s="186"/>
      <c r="J446" s="361"/>
      <c r="L446" s="361"/>
      <c r="M446" s="361"/>
      <c r="N446" s="361"/>
      <c r="O446" s="361"/>
      <c r="P446" s="361"/>
      <c r="Q446" s="361"/>
      <c r="R446" s="361"/>
      <c r="S446" s="361"/>
      <c r="T446" s="361"/>
      <c r="U446" s="361"/>
      <c r="V446" s="361"/>
      <c r="W446" s="361"/>
      <c r="X446" s="361"/>
      <c r="Y446" s="361"/>
      <c r="Z446" s="361"/>
      <c r="AA446" s="361"/>
      <c r="AB446" s="361"/>
      <c r="AC446" s="361"/>
      <c r="AD446" s="362"/>
    </row>
    <row r="447" spans="1:30" x14ac:dyDescent="0.25">
      <c r="A447" s="360"/>
      <c r="B447" s="186" t="s">
        <v>4718</v>
      </c>
      <c r="C447" s="186"/>
      <c r="D447" s="210" t="s">
        <v>4719</v>
      </c>
      <c r="E447" s="210" t="s">
        <v>4336</v>
      </c>
      <c r="F447" s="210"/>
      <c r="G447" s="231" t="s">
        <v>22</v>
      </c>
      <c r="H447" s="361" t="s">
        <v>4717</v>
      </c>
      <c r="I447" s="186"/>
      <c r="J447" s="361"/>
      <c r="L447" s="361"/>
      <c r="M447" s="361"/>
      <c r="N447" s="361"/>
      <c r="O447" s="361"/>
      <c r="P447" s="361"/>
      <c r="Q447" s="361"/>
      <c r="R447" s="361"/>
      <c r="S447" s="361"/>
      <c r="T447" s="361"/>
      <c r="U447" s="361"/>
      <c r="V447" s="361"/>
      <c r="W447" s="361"/>
      <c r="X447" s="361"/>
      <c r="Y447" s="361"/>
      <c r="Z447" s="361"/>
      <c r="AA447" s="361"/>
      <c r="AB447" s="361"/>
      <c r="AC447" s="361"/>
      <c r="AD447" s="362"/>
    </row>
    <row r="448" spans="1:30" x14ac:dyDescent="0.25">
      <c r="A448" s="360"/>
      <c r="B448" s="186" t="s">
        <v>4720</v>
      </c>
      <c r="C448" s="186"/>
      <c r="D448" s="210" t="s">
        <v>4721</v>
      </c>
      <c r="E448" s="210" t="s">
        <v>4336</v>
      </c>
      <c r="F448" s="210"/>
      <c r="G448" s="231" t="s">
        <v>22</v>
      </c>
      <c r="H448" s="361" t="s">
        <v>4717</v>
      </c>
      <c r="I448" s="186"/>
      <c r="J448" s="361"/>
      <c r="L448" s="361"/>
      <c r="M448" s="361"/>
      <c r="N448" s="361"/>
      <c r="O448" s="361"/>
      <c r="P448" s="361"/>
      <c r="Q448" s="361"/>
      <c r="R448" s="361"/>
      <c r="S448" s="361"/>
      <c r="T448" s="361"/>
      <c r="U448" s="361"/>
      <c r="V448" s="361"/>
      <c r="W448" s="361"/>
      <c r="X448" s="361"/>
      <c r="Y448" s="361"/>
      <c r="Z448" s="361"/>
      <c r="AA448" s="361"/>
      <c r="AB448" s="361"/>
      <c r="AC448" s="361"/>
      <c r="AD448" s="362"/>
    </row>
    <row r="449" spans="1:30" x14ac:dyDescent="0.25">
      <c r="A449" s="360"/>
      <c r="B449" s="186" t="s">
        <v>4722</v>
      </c>
      <c r="C449" s="186"/>
      <c r="D449" s="210" t="s">
        <v>4723</v>
      </c>
      <c r="E449" s="210" t="s">
        <v>4336</v>
      </c>
      <c r="F449" s="210"/>
      <c r="G449" s="231" t="s">
        <v>22</v>
      </c>
      <c r="H449" s="361" t="s">
        <v>4717</v>
      </c>
      <c r="I449" s="186"/>
      <c r="J449" s="361"/>
      <c r="L449" s="361"/>
      <c r="M449" s="361"/>
      <c r="N449" s="361"/>
      <c r="O449" s="361"/>
      <c r="P449" s="361"/>
      <c r="Q449" s="361"/>
      <c r="R449" s="361"/>
      <c r="S449" s="361"/>
      <c r="T449" s="361"/>
      <c r="U449" s="361"/>
      <c r="V449" s="361"/>
      <c r="W449" s="361"/>
      <c r="X449" s="361"/>
      <c r="Y449" s="361"/>
      <c r="Z449" s="361"/>
      <c r="AA449" s="361"/>
      <c r="AB449" s="361"/>
      <c r="AC449" s="361"/>
      <c r="AD449" s="362"/>
    </row>
    <row r="450" spans="1:30" x14ac:dyDescent="0.25">
      <c r="A450" s="360"/>
      <c r="B450" s="186" t="s">
        <v>4724</v>
      </c>
      <c r="C450" s="186"/>
      <c r="D450" s="210">
        <v>8104616</v>
      </c>
      <c r="E450" s="210" t="s">
        <v>4336</v>
      </c>
      <c r="F450" s="210"/>
      <c r="G450" s="231" t="s">
        <v>22</v>
      </c>
      <c r="H450" s="361" t="s">
        <v>4717</v>
      </c>
      <c r="I450" s="186"/>
      <c r="J450" s="361"/>
      <c r="L450" s="361"/>
      <c r="M450" s="361"/>
      <c r="N450" s="361"/>
      <c r="O450" s="361"/>
      <c r="P450" s="361"/>
      <c r="Q450" s="361"/>
      <c r="R450" s="361"/>
      <c r="S450" s="361"/>
      <c r="T450" s="361"/>
      <c r="U450" s="361"/>
      <c r="V450" s="361"/>
      <c r="W450" s="361"/>
      <c r="X450" s="361"/>
      <c r="Y450" s="361"/>
      <c r="Z450" s="361"/>
      <c r="AA450" s="361"/>
      <c r="AB450" s="361"/>
      <c r="AC450" s="361"/>
      <c r="AD450" s="362"/>
    </row>
    <row r="451" spans="1:30" x14ac:dyDescent="0.25">
      <c r="A451" s="360"/>
      <c r="B451" s="186" t="s">
        <v>4724</v>
      </c>
      <c r="C451" s="186"/>
      <c r="D451" s="210">
        <v>8104617</v>
      </c>
      <c r="E451" s="210" t="s">
        <v>4336</v>
      </c>
      <c r="F451" s="210"/>
      <c r="G451" s="231" t="s">
        <v>22</v>
      </c>
      <c r="H451" s="361" t="s">
        <v>4717</v>
      </c>
      <c r="I451" s="186"/>
      <c r="J451" s="361"/>
      <c r="L451" s="361"/>
      <c r="M451" s="361"/>
      <c r="N451" s="361"/>
      <c r="O451" s="361"/>
      <c r="P451" s="361"/>
      <c r="Q451" s="361"/>
      <c r="R451" s="361"/>
      <c r="S451" s="361"/>
      <c r="T451" s="361"/>
      <c r="U451" s="361"/>
      <c r="V451" s="361"/>
      <c r="W451" s="361"/>
      <c r="X451" s="361"/>
      <c r="Y451" s="361"/>
      <c r="Z451" s="361"/>
      <c r="AA451" s="361"/>
      <c r="AB451" s="361"/>
      <c r="AC451" s="361"/>
      <c r="AD451" s="362"/>
    </row>
    <row r="452" spans="1:30" x14ac:dyDescent="0.25">
      <c r="A452" s="360"/>
      <c r="B452" s="186" t="s">
        <v>4725</v>
      </c>
      <c r="C452" s="186"/>
      <c r="D452" s="210" t="s">
        <v>4726</v>
      </c>
      <c r="E452" s="210"/>
      <c r="F452" s="210"/>
      <c r="G452" s="231" t="s">
        <v>22</v>
      </c>
      <c r="H452" s="361"/>
      <c r="I452" s="186"/>
      <c r="J452" s="361"/>
      <c r="L452" s="361"/>
      <c r="M452" s="361"/>
      <c r="N452" s="361"/>
      <c r="O452" s="361"/>
      <c r="P452" s="361"/>
      <c r="Q452" s="361"/>
      <c r="R452" s="361"/>
      <c r="S452" s="361"/>
      <c r="T452" s="361"/>
      <c r="U452" s="361"/>
      <c r="V452" s="361"/>
      <c r="W452" s="361"/>
      <c r="X452" s="361"/>
      <c r="Y452" s="361"/>
      <c r="Z452" s="361"/>
      <c r="AA452" s="361"/>
      <c r="AB452" s="361"/>
      <c r="AC452" s="361"/>
      <c r="AD452" s="362"/>
    </row>
    <row r="453" spans="1:30" x14ac:dyDescent="0.25">
      <c r="A453" s="360"/>
      <c r="B453" s="186" t="s">
        <v>4725</v>
      </c>
      <c r="C453" s="186"/>
      <c r="D453" s="210" t="s">
        <v>4727</v>
      </c>
      <c r="E453" s="210"/>
      <c r="F453" s="210"/>
      <c r="G453" s="231" t="s">
        <v>22</v>
      </c>
      <c r="H453" s="361"/>
      <c r="I453" s="186"/>
      <c r="J453" s="361"/>
      <c r="L453" s="361"/>
      <c r="M453" s="361"/>
      <c r="N453" s="361"/>
      <c r="O453" s="361"/>
      <c r="P453" s="361"/>
      <c r="Q453" s="361"/>
      <c r="R453" s="361"/>
      <c r="S453" s="361"/>
      <c r="T453" s="361"/>
      <c r="U453" s="361"/>
      <c r="V453" s="361"/>
      <c r="W453" s="361"/>
      <c r="X453" s="361"/>
      <c r="Y453" s="361"/>
      <c r="Z453" s="361"/>
      <c r="AA453" s="361"/>
      <c r="AB453" s="361"/>
      <c r="AC453" s="361"/>
      <c r="AD453" s="362"/>
    </row>
    <row r="454" spans="1:30" x14ac:dyDescent="0.25">
      <c r="A454" s="360"/>
      <c r="B454" s="186" t="s">
        <v>4728</v>
      </c>
      <c r="C454" s="186"/>
      <c r="D454" s="210">
        <v>1370528</v>
      </c>
      <c r="E454" s="210"/>
      <c r="F454" s="210"/>
      <c r="G454" s="231" t="s">
        <v>22</v>
      </c>
      <c r="H454" s="361"/>
      <c r="I454" s="186"/>
      <c r="J454" s="361"/>
      <c r="L454" s="361"/>
      <c r="M454" s="361"/>
      <c r="N454" s="361"/>
      <c r="O454" s="361"/>
      <c r="P454" s="361"/>
      <c r="Q454" s="361"/>
      <c r="R454" s="361"/>
      <c r="S454" s="361"/>
      <c r="T454" s="361"/>
      <c r="U454" s="361"/>
      <c r="V454" s="361"/>
      <c r="W454" s="361"/>
      <c r="X454" s="361"/>
      <c r="Y454" s="361"/>
      <c r="Z454" s="361"/>
      <c r="AA454" s="361"/>
      <c r="AB454" s="361"/>
      <c r="AC454" s="361"/>
      <c r="AD454" s="362"/>
    </row>
    <row r="455" spans="1:30" x14ac:dyDescent="0.25">
      <c r="A455" s="360"/>
      <c r="B455" s="186" t="s">
        <v>4729</v>
      </c>
      <c r="C455" s="186"/>
      <c r="D455" s="210">
        <v>1370530</v>
      </c>
      <c r="E455" s="210"/>
      <c r="F455" s="210"/>
      <c r="G455" s="231" t="s">
        <v>22</v>
      </c>
      <c r="H455" s="361"/>
      <c r="I455" s="186"/>
      <c r="J455" s="361"/>
      <c r="L455" s="361"/>
      <c r="M455" s="361"/>
      <c r="N455" s="361"/>
      <c r="O455" s="361"/>
      <c r="P455" s="361"/>
      <c r="Q455" s="361"/>
      <c r="R455" s="361"/>
      <c r="S455" s="361"/>
      <c r="T455" s="361"/>
      <c r="U455" s="361"/>
      <c r="V455" s="361"/>
      <c r="W455" s="361"/>
      <c r="X455" s="361"/>
      <c r="Y455" s="361"/>
      <c r="Z455" s="361"/>
      <c r="AA455" s="361"/>
      <c r="AB455" s="361"/>
      <c r="AC455" s="361"/>
      <c r="AD455" s="362"/>
    </row>
    <row r="456" spans="1:30" x14ac:dyDescent="0.25">
      <c r="A456" s="360"/>
      <c r="B456" s="186" t="s">
        <v>4730</v>
      </c>
      <c r="C456" s="186"/>
      <c r="D456" s="210">
        <v>1370534</v>
      </c>
      <c r="E456" s="210"/>
      <c r="F456" s="210"/>
      <c r="G456" s="231" t="s">
        <v>22</v>
      </c>
      <c r="H456" s="361"/>
      <c r="I456" s="186"/>
      <c r="J456" s="361"/>
      <c r="L456" s="361"/>
      <c r="M456" s="361"/>
      <c r="N456" s="361"/>
      <c r="O456" s="361"/>
      <c r="P456" s="361"/>
      <c r="Q456" s="361"/>
      <c r="R456" s="361"/>
      <c r="S456" s="361"/>
      <c r="T456" s="361"/>
      <c r="U456" s="361"/>
      <c r="V456" s="361"/>
      <c r="W456" s="361"/>
      <c r="X456" s="361"/>
      <c r="Y456" s="361"/>
      <c r="Z456" s="361"/>
      <c r="AA456" s="361"/>
      <c r="AB456" s="361"/>
      <c r="AC456" s="361"/>
      <c r="AD456" s="362"/>
    </row>
    <row r="457" spans="1:30" x14ac:dyDescent="0.25">
      <c r="A457" s="360"/>
      <c r="B457" s="186" t="s">
        <v>4731</v>
      </c>
      <c r="C457" s="186"/>
      <c r="D457" s="210">
        <v>4700104</v>
      </c>
      <c r="E457" s="210"/>
      <c r="F457" s="210"/>
      <c r="G457" s="231" t="s">
        <v>22</v>
      </c>
      <c r="H457" s="361"/>
      <c r="I457" s="186"/>
      <c r="J457" s="361"/>
      <c r="L457" s="361"/>
      <c r="M457" s="361"/>
      <c r="N457" s="361"/>
      <c r="O457" s="361"/>
      <c r="P457" s="361"/>
      <c r="Q457" s="361"/>
      <c r="R457" s="361"/>
      <c r="S457" s="361"/>
      <c r="T457" s="361"/>
      <c r="U457" s="361"/>
      <c r="V457" s="361"/>
      <c r="W457" s="361"/>
      <c r="X457" s="361"/>
      <c r="Y457" s="361"/>
      <c r="Z457" s="361"/>
      <c r="AA457" s="361"/>
      <c r="AB457" s="361"/>
      <c r="AC457" s="361"/>
      <c r="AD457" s="362"/>
    </row>
    <row r="458" spans="1:30" x14ac:dyDescent="0.25">
      <c r="A458" s="360"/>
      <c r="B458" s="186" t="s">
        <v>4732</v>
      </c>
      <c r="C458" s="186"/>
      <c r="D458" s="210">
        <v>1370769</v>
      </c>
      <c r="E458" s="210"/>
      <c r="F458" s="210"/>
      <c r="G458" s="231" t="s">
        <v>22</v>
      </c>
      <c r="H458" s="361"/>
      <c r="I458" s="186"/>
      <c r="J458" s="361"/>
      <c r="L458" s="361"/>
      <c r="M458" s="361"/>
      <c r="N458" s="361"/>
      <c r="O458" s="361"/>
      <c r="P458" s="361"/>
      <c r="Q458" s="361"/>
      <c r="R458" s="361"/>
      <c r="S458" s="361"/>
      <c r="T458" s="361"/>
      <c r="U458" s="361"/>
      <c r="V458" s="361"/>
      <c r="W458" s="361"/>
      <c r="X458" s="361"/>
      <c r="Y458" s="361"/>
      <c r="Z458" s="361"/>
      <c r="AA458" s="361"/>
      <c r="AB458" s="361"/>
      <c r="AC458" s="361"/>
      <c r="AD458" s="362"/>
    </row>
    <row r="459" spans="1:30" x14ac:dyDescent="0.25">
      <c r="A459" s="360"/>
      <c r="B459" s="186" t="s">
        <v>4733</v>
      </c>
      <c r="C459" s="186"/>
      <c r="D459" s="210">
        <v>1370535</v>
      </c>
      <c r="E459" s="210" t="s">
        <v>4336</v>
      </c>
      <c r="F459" s="210"/>
      <c r="G459" s="231" t="s">
        <v>22</v>
      </c>
      <c r="H459" s="361" t="s">
        <v>4717</v>
      </c>
      <c r="I459" s="186"/>
      <c r="J459" s="361"/>
      <c r="L459" s="361"/>
      <c r="M459" s="361"/>
      <c r="N459" s="361"/>
      <c r="O459" s="361"/>
      <c r="P459" s="361"/>
      <c r="Q459" s="361"/>
      <c r="R459" s="361"/>
      <c r="S459" s="361"/>
      <c r="T459" s="361"/>
      <c r="U459" s="361"/>
      <c r="V459" s="361"/>
      <c r="W459" s="361"/>
      <c r="X459" s="361"/>
      <c r="Y459" s="361"/>
      <c r="Z459" s="361"/>
      <c r="AA459" s="361"/>
      <c r="AB459" s="361"/>
      <c r="AC459" s="361"/>
      <c r="AD459" s="362"/>
    </row>
    <row r="460" spans="1:30" x14ac:dyDescent="0.25">
      <c r="A460" s="360"/>
      <c r="B460" s="186" t="s">
        <v>4733</v>
      </c>
      <c r="C460" s="186"/>
      <c r="D460" s="210">
        <v>1370536</v>
      </c>
      <c r="E460" s="210" t="s">
        <v>4336</v>
      </c>
      <c r="F460" s="210"/>
      <c r="G460" s="231" t="s">
        <v>22</v>
      </c>
      <c r="H460" s="361" t="s">
        <v>4717</v>
      </c>
      <c r="I460" s="186"/>
      <c r="J460" s="361"/>
      <c r="L460" s="361"/>
      <c r="M460" s="361"/>
      <c r="N460" s="361"/>
      <c r="O460" s="361"/>
      <c r="P460" s="361"/>
      <c r="Q460" s="361"/>
      <c r="R460" s="361"/>
      <c r="S460" s="361"/>
      <c r="T460" s="361"/>
      <c r="U460" s="361"/>
      <c r="V460" s="361"/>
      <c r="W460" s="361"/>
      <c r="X460" s="361"/>
      <c r="Y460" s="361"/>
      <c r="Z460" s="361"/>
      <c r="AA460" s="361"/>
      <c r="AB460" s="361"/>
      <c r="AC460" s="361"/>
      <c r="AD460" s="362"/>
    </row>
    <row r="461" spans="1:30" x14ac:dyDescent="0.25">
      <c r="A461" s="360"/>
      <c r="B461" s="186" t="s">
        <v>4734</v>
      </c>
      <c r="C461" s="186"/>
      <c r="D461" s="210">
        <v>4700351</v>
      </c>
      <c r="E461" s="210" t="s">
        <v>4336</v>
      </c>
      <c r="F461" s="210"/>
      <c r="G461" s="231" t="s">
        <v>22</v>
      </c>
      <c r="H461" s="361" t="s">
        <v>4717</v>
      </c>
      <c r="I461" s="186"/>
      <c r="J461" s="361"/>
      <c r="L461" s="361"/>
      <c r="M461" s="361"/>
      <c r="N461" s="361"/>
      <c r="O461" s="361"/>
      <c r="P461" s="361"/>
      <c r="Q461" s="361"/>
      <c r="R461" s="361"/>
      <c r="S461" s="361"/>
      <c r="T461" s="361"/>
      <c r="U461" s="361"/>
      <c r="V461" s="361"/>
      <c r="W461" s="361"/>
      <c r="X461" s="361"/>
      <c r="Y461" s="361"/>
      <c r="Z461" s="361"/>
      <c r="AA461" s="361"/>
      <c r="AB461" s="361"/>
      <c r="AC461" s="361"/>
      <c r="AD461" s="362"/>
    </row>
    <row r="462" spans="1:30" x14ac:dyDescent="0.25">
      <c r="A462" s="360"/>
      <c r="B462" s="186" t="s">
        <v>4735</v>
      </c>
      <c r="C462" s="186"/>
      <c r="D462" s="210">
        <v>4700349</v>
      </c>
      <c r="E462" s="210" t="s">
        <v>4336</v>
      </c>
      <c r="F462" s="210"/>
      <c r="G462" s="231" t="s">
        <v>22</v>
      </c>
      <c r="H462" s="361" t="s">
        <v>4717</v>
      </c>
      <c r="I462" s="186"/>
      <c r="J462" s="361"/>
      <c r="L462" s="361"/>
      <c r="M462" s="361"/>
      <c r="N462" s="361"/>
      <c r="O462" s="361"/>
      <c r="P462" s="361"/>
      <c r="Q462" s="361"/>
      <c r="R462" s="361"/>
      <c r="S462" s="361"/>
      <c r="T462" s="361"/>
      <c r="U462" s="361"/>
      <c r="V462" s="361"/>
      <c r="W462" s="361"/>
      <c r="X462" s="361"/>
      <c r="Y462" s="361"/>
      <c r="Z462" s="361"/>
      <c r="AA462" s="361"/>
      <c r="AB462" s="361"/>
      <c r="AC462" s="361"/>
      <c r="AD462" s="362"/>
    </row>
    <row r="463" spans="1:30" x14ac:dyDescent="0.25">
      <c r="A463" s="360"/>
      <c r="B463" s="186" t="s">
        <v>4736</v>
      </c>
      <c r="C463" s="186"/>
      <c r="D463" s="210">
        <v>1370525</v>
      </c>
      <c r="E463" s="210" t="s">
        <v>4336</v>
      </c>
      <c r="F463" s="210"/>
      <c r="G463" s="231" t="s">
        <v>22</v>
      </c>
      <c r="H463" s="361" t="s">
        <v>4717</v>
      </c>
      <c r="I463" s="186"/>
      <c r="J463" s="361"/>
      <c r="K463" s="262" t="s">
        <v>4336</v>
      </c>
      <c r="L463" s="361"/>
      <c r="M463" s="361"/>
      <c r="N463" s="361"/>
      <c r="O463" s="361"/>
      <c r="P463" s="361"/>
      <c r="Q463" s="361"/>
      <c r="R463" s="361"/>
      <c r="S463" s="361"/>
      <c r="T463" s="361"/>
      <c r="U463" s="361"/>
      <c r="V463" s="361"/>
      <c r="W463" s="361"/>
      <c r="X463" s="361"/>
      <c r="Y463" s="361"/>
      <c r="Z463" s="361"/>
      <c r="AA463" s="361"/>
      <c r="AB463" s="361"/>
      <c r="AC463" s="361"/>
      <c r="AD463" s="362"/>
    </row>
    <row r="464" spans="1:30" x14ac:dyDescent="0.25">
      <c r="A464" s="360"/>
      <c r="B464" s="186" t="s">
        <v>4737</v>
      </c>
      <c r="C464" s="186"/>
      <c r="D464" s="210">
        <v>1370614</v>
      </c>
      <c r="E464" s="210" t="s">
        <v>4336</v>
      </c>
      <c r="F464" s="210"/>
      <c r="G464" s="231" t="s">
        <v>22</v>
      </c>
      <c r="H464" s="361" t="s">
        <v>4717</v>
      </c>
      <c r="I464" s="186"/>
      <c r="J464" s="361"/>
      <c r="K464" s="262" t="s">
        <v>4336</v>
      </c>
      <c r="L464" s="361"/>
      <c r="M464" s="361"/>
      <c r="N464" s="361"/>
      <c r="O464" s="361"/>
      <c r="P464" s="361"/>
      <c r="Q464" s="361"/>
      <c r="R464" s="361"/>
      <c r="S464" s="361"/>
      <c r="T464" s="361"/>
      <c r="U464" s="361"/>
      <c r="V464" s="361"/>
      <c r="W464" s="361"/>
      <c r="X464" s="361"/>
      <c r="Y464" s="361"/>
      <c r="Z464" s="361"/>
      <c r="AA464" s="361"/>
      <c r="AB464" s="361"/>
      <c r="AC464" s="361"/>
      <c r="AD464" s="362"/>
    </row>
    <row r="465" spans="1:30" x14ac:dyDescent="0.25">
      <c r="A465" s="360"/>
      <c r="B465" s="186" t="s">
        <v>4738</v>
      </c>
      <c r="C465" s="186"/>
      <c r="D465" s="210">
        <v>1370612</v>
      </c>
      <c r="E465" s="210" t="s">
        <v>4336</v>
      </c>
      <c r="F465" s="210"/>
      <c r="G465" s="231" t="s">
        <v>22</v>
      </c>
      <c r="H465" s="361" t="s">
        <v>4717</v>
      </c>
      <c r="I465" s="186"/>
      <c r="J465" s="361"/>
      <c r="L465" s="361"/>
      <c r="M465" s="361"/>
      <c r="N465" s="361"/>
      <c r="O465" s="361"/>
      <c r="P465" s="361"/>
      <c r="Q465" s="361"/>
      <c r="R465" s="361"/>
      <c r="S465" s="361"/>
      <c r="T465" s="361"/>
      <c r="U465" s="361"/>
      <c r="V465" s="361"/>
      <c r="W465" s="361"/>
      <c r="X465" s="361"/>
      <c r="Y465" s="361"/>
      <c r="Z465" s="361"/>
      <c r="AA465" s="361"/>
      <c r="AB465" s="361"/>
      <c r="AC465" s="361"/>
      <c r="AD465" s="362"/>
    </row>
    <row r="466" spans="1:30" x14ac:dyDescent="0.25">
      <c r="A466" s="360"/>
      <c r="B466" s="186" t="s">
        <v>4739</v>
      </c>
      <c r="C466" s="186"/>
      <c r="D466" s="210">
        <v>1370951</v>
      </c>
      <c r="E466" s="210" t="s">
        <v>4336</v>
      </c>
      <c r="F466" s="210"/>
      <c r="G466" s="231" t="s">
        <v>22</v>
      </c>
      <c r="H466" s="361" t="s">
        <v>4717</v>
      </c>
      <c r="I466" s="186"/>
      <c r="J466" s="361"/>
      <c r="L466" s="361"/>
      <c r="M466" s="361"/>
      <c r="N466" s="361"/>
      <c r="O466" s="361"/>
      <c r="P466" s="361"/>
      <c r="Q466" s="361"/>
      <c r="R466" s="361"/>
      <c r="S466" s="361"/>
      <c r="T466" s="361"/>
      <c r="U466" s="361"/>
      <c r="V466" s="361"/>
      <c r="W466" s="361"/>
      <c r="X466" s="361"/>
      <c r="Y466" s="361"/>
      <c r="Z466" s="361"/>
      <c r="AA466" s="361"/>
      <c r="AB466" s="361"/>
      <c r="AC466" s="361"/>
      <c r="AD466" s="362"/>
    </row>
    <row r="467" spans="1:30" x14ac:dyDescent="0.25">
      <c r="A467" s="360"/>
      <c r="B467" s="186" t="s">
        <v>4740</v>
      </c>
      <c r="C467" s="186"/>
      <c r="D467" s="210">
        <v>3100435</v>
      </c>
      <c r="E467" s="210" t="s">
        <v>4336</v>
      </c>
      <c r="F467" s="210"/>
      <c r="G467" s="231" t="s">
        <v>22</v>
      </c>
      <c r="H467" s="361" t="s">
        <v>4717</v>
      </c>
      <c r="I467" s="186"/>
      <c r="J467" s="361"/>
      <c r="L467" s="361"/>
      <c r="M467" s="361"/>
      <c r="N467" s="361"/>
      <c r="O467" s="361"/>
      <c r="P467" s="361"/>
      <c r="Q467" s="361"/>
      <c r="R467" s="361"/>
      <c r="S467" s="361"/>
      <c r="T467" s="361"/>
      <c r="U467" s="361"/>
      <c r="V467" s="361"/>
      <c r="W467" s="361"/>
      <c r="X467" s="361"/>
      <c r="Y467" s="361"/>
      <c r="Z467" s="361"/>
      <c r="AA467" s="361"/>
      <c r="AB467" s="361"/>
      <c r="AC467" s="361"/>
      <c r="AD467" s="362"/>
    </row>
    <row r="468" spans="1:30" x14ac:dyDescent="0.25">
      <c r="A468" s="360"/>
      <c r="B468" s="186" t="s">
        <v>4741</v>
      </c>
      <c r="C468" s="186"/>
      <c r="D468" s="210">
        <v>1370647</v>
      </c>
      <c r="E468" s="210" t="s">
        <v>4336</v>
      </c>
      <c r="F468" s="210"/>
      <c r="G468" s="231" t="s">
        <v>22</v>
      </c>
      <c r="H468" s="361" t="s">
        <v>4717</v>
      </c>
      <c r="I468" s="186"/>
      <c r="J468" s="361"/>
      <c r="L468" s="361"/>
      <c r="M468" s="361"/>
      <c r="N468" s="361"/>
      <c r="O468" s="361"/>
      <c r="P468" s="361"/>
      <c r="Q468" s="361"/>
      <c r="R468" s="361"/>
      <c r="S468" s="361"/>
      <c r="T468" s="361"/>
      <c r="U468" s="361"/>
      <c r="V468" s="361"/>
      <c r="W468" s="361"/>
      <c r="X468" s="361"/>
      <c r="Y468" s="361"/>
      <c r="Z468" s="361"/>
      <c r="AA468" s="361"/>
      <c r="AB468" s="361"/>
      <c r="AC468" s="361"/>
      <c r="AD468" s="362"/>
    </row>
    <row r="469" spans="1:30" x14ac:dyDescent="0.25">
      <c r="A469" s="360"/>
      <c r="B469" s="186" t="s">
        <v>4742</v>
      </c>
      <c r="C469" s="186"/>
      <c r="D469" s="210" t="s">
        <v>4743</v>
      </c>
      <c r="E469" s="210" t="s">
        <v>4336</v>
      </c>
      <c r="F469" s="210"/>
      <c r="G469" s="231" t="s">
        <v>22</v>
      </c>
      <c r="H469" s="361" t="s">
        <v>4717</v>
      </c>
      <c r="I469" s="186"/>
      <c r="J469" s="361"/>
      <c r="L469" s="361"/>
      <c r="M469" s="361"/>
      <c r="N469" s="361"/>
      <c r="O469" s="361"/>
      <c r="P469" s="361"/>
      <c r="Q469" s="361"/>
      <c r="R469" s="361"/>
      <c r="S469" s="361"/>
      <c r="T469" s="361"/>
      <c r="U469" s="361"/>
      <c r="V469" s="361"/>
      <c r="W469" s="361"/>
      <c r="X469" s="361"/>
      <c r="Y469" s="361"/>
      <c r="Z469" s="361"/>
      <c r="AA469" s="361"/>
      <c r="AB469" s="361"/>
      <c r="AC469" s="361"/>
      <c r="AD469" s="362"/>
    </row>
    <row r="470" spans="1:30" x14ac:dyDescent="0.25">
      <c r="A470" s="360"/>
      <c r="B470" s="186" t="s">
        <v>4744</v>
      </c>
      <c r="C470" s="186"/>
      <c r="D470" s="210">
        <v>1370579</v>
      </c>
      <c r="E470" s="210" t="s">
        <v>4336</v>
      </c>
      <c r="F470" s="210"/>
      <c r="G470" s="231" t="s">
        <v>22</v>
      </c>
      <c r="H470" s="361" t="s">
        <v>4717</v>
      </c>
      <c r="I470" s="186"/>
      <c r="J470" s="361"/>
      <c r="L470" s="361"/>
      <c r="M470" s="361"/>
      <c r="N470" s="361"/>
      <c r="O470" s="361"/>
      <c r="P470" s="361"/>
      <c r="Q470" s="361"/>
      <c r="R470" s="361"/>
      <c r="S470" s="361"/>
      <c r="T470" s="361"/>
      <c r="U470" s="361"/>
      <c r="V470" s="361"/>
      <c r="W470" s="361"/>
      <c r="X470" s="361"/>
      <c r="Y470" s="361"/>
      <c r="Z470" s="361"/>
      <c r="AA470" s="361"/>
      <c r="AB470" s="361"/>
      <c r="AC470" s="361"/>
      <c r="AD470" s="362"/>
    </row>
    <row r="471" spans="1:30" x14ac:dyDescent="0.25">
      <c r="A471" s="360"/>
      <c r="B471" s="186" t="s">
        <v>4745</v>
      </c>
      <c r="C471" s="186"/>
      <c r="D471" s="210">
        <v>1370578</v>
      </c>
      <c r="E471" s="210" t="s">
        <v>4336</v>
      </c>
      <c r="F471" s="210"/>
      <c r="G471" s="231" t="s">
        <v>22</v>
      </c>
      <c r="H471" s="361" t="s">
        <v>4717</v>
      </c>
      <c r="I471" s="186"/>
      <c r="J471" s="361"/>
      <c r="L471" s="361"/>
      <c r="M471" s="361"/>
      <c r="N471" s="361"/>
      <c r="O471" s="361"/>
      <c r="P471" s="361"/>
      <c r="Q471" s="361"/>
      <c r="R471" s="361"/>
      <c r="S471" s="361"/>
      <c r="T471" s="361"/>
      <c r="U471" s="361"/>
      <c r="V471" s="361"/>
      <c r="W471" s="361"/>
      <c r="X471" s="361"/>
      <c r="Y471" s="361"/>
      <c r="Z471" s="361"/>
      <c r="AA471" s="361"/>
      <c r="AB471" s="361"/>
      <c r="AC471" s="361"/>
      <c r="AD471" s="362"/>
    </row>
    <row r="472" spans="1:30" x14ac:dyDescent="0.25">
      <c r="A472" s="360"/>
      <c r="B472" s="186" t="s">
        <v>4746</v>
      </c>
      <c r="C472" s="186"/>
      <c r="D472" s="210" t="s">
        <v>4747</v>
      </c>
      <c r="E472" s="210"/>
      <c r="F472" s="210"/>
      <c r="G472" s="231" t="s">
        <v>22</v>
      </c>
      <c r="H472" s="361"/>
      <c r="I472" s="186"/>
      <c r="J472" s="361"/>
      <c r="L472" s="361"/>
      <c r="M472" s="361"/>
      <c r="N472" s="361"/>
      <c r="O472" s="361"/>
      <c r="P472" s="361"/>
      <c r="Q472" s="361"/>
      <c r="R472" s="361"/>
      <c r="S472" s="361"/>
      <c r="T472" s="361"/>
      <c r="U472" s="361"/>
      <c r="V472" s="361"/>
      <c r="W472" s="361"/>
      <c r="X472" s="361"/>
      <c r="Y472" s="361"/>
      <c r="Z472" s="361"/>
      <c r="AA472" s="361"/>
      <c r="AB472" s="361"/>
      <c r="AC472" s="361"/>
      <c r="AD472" s="362"/>
    </row>
    <row r="473" spans="1:30" x14ac:dyDescent="0.25">
      <c r="A473" s="360"/>
      <c r="B473" s="186" t="s">
        <v>4746</v>
      </c>
      <c r="C473" s="186"/>
      <c r="D473" s="210" t="s">
        <v>4748</v>
      </c>
      <c r="E473" s="210"/>
      <c r="F473" s="210"/>
      <c r="G473" s="231" t="s">
        <v>22</v>
      </c>
      <c r="H473" s="361"/>
      <c r="I473" s="186"/>
      <c r="J473" s="361"/>
      <c r="L473" s="361"/>
      <c r="M473" s="361"/>
      <c r="N473" s="361"/>
      <c r="O473" s="361"/>
      <c r="P473" s="361"/>
      <c r="Q473" s="361"/>
      <c r="R473" s="361"/>
      <c r="S473" s="361"/>
      <c r="T473" s="361"/>
      <c r="U473" s="361"/>
      <c r="V473" s="361"/>
      <c r="W473" s="361"/>
      <c r="X473" s="361"/>
      <c r="Y473" s="361"/>
      <c r="Z473" s="361"/>
      <c r="AA473" s="361"/>
      <c r="AB473" s="361"/>
      <c r="AC473" s="361"/>
      <c r="AD473" s="362"/>
    </row>
    <row r="474" spans="1:30" x14ac:dyDescent="0.25">
      <c r="A474" s="360"/>
      <c r="B474" s="186" t="s">
        <v>4749</v>
      </c>
      <c r="C474" s="186"/>
      <c r="D474" s="210">
        <v>4700070</v>
      </c>
      <c r="E474" s="210"/>
      <c r="F474" s="210"/>
      <c r="G474" s="231" t="s">
        <v>22</v>
      </c>
      <c r="H474" s="361"/>
      <c r="I474" s="186"/>
      <c r="J474" s="361"/>
      <c r="L474" s="361"/>
      <c r="M474" s="361"/>
      <c r="N474" s="361"/>
      <c r="O474" s="361"/>
      <c r="P474" s="361"/>
      <c r="Q474" s="361"/>
      <c r="R474" s="361"/>
      <c r="S474" s="361"/>
      <c r="T474" s="361"/>
      <c r="U474" s="361"/>
      <c r="V474" s="361"/>
      <c r="W474" s="361"/>
      <c r="X474" s="361"/>
      <c r="Y474" s="361"/>
      <c r="Z474" s="361"/>
      <c r="AA474" s="361"/>
      <c r="AB474" s="361"/>
      <c r="AC474" s="361"/>
      <c r="AD474" s="362"/>
    </row>
    <row r="475" spans="1:30" x14ac:dyDescent="0.25">
      <c r="A475" s="360"/>
      <c r="B475" s="186" t="s">
        <v>4750</v>
      </c>
      <c r="C475" s="186"/>
      <c r="D475" s="210">
        <v>1370655</v>
      </c>
      <c r="E475" s="210"/>
      <c r="F475" s="210"/>
      <c r="G475" s="231" t="s">
        <v>22</v>
      </c>
      <c r="H475" s="361"/>
      <c r="I475" s="186"/>
      <c r="J475" s="361"/>
      <c r="L475" s="361"/>
      <c r="M475" s="361"/>
      <c r="N475" s="361"/>
      <c r="O475" s="361"/>
      <c r="P475" s="361"/>
      <c r="Q475" s="361"/>
      <c r="R475" s="361"/>
      <c r="S475" s="361"/>
      <c r="T475" s="361"/>
      <c r="U475" s="361"/>
      <c r="V475" s="361"/>
      <c r="W475" s="361"/>
      <c r="X475" s="361"/>
      <c r="Y475" s="361"/>
      <c r="Z475" s="361"/>
      <c r="AA475" s="361"/>
      <c r="AB475" s="361"/>
      <c r="AC475" s="361"/>
      <c r="AD475" s="362"/>
    </row>
    <row r="476" spans="1:30" x14ac:dyDescent="0.25">
      <c r="A476" s="360"/>
      <c r="B476" s="186" t="s">
        <v>4751</v>
      </c>
      <c r="C476" s="186"/>
      <c r="D476" s="210">
        <v>4700256</v>
      </c>
      <c r="E476" s="210"/>
      <c r="F476" s="210"/>
      <c r="G476" s="231" t="s">
        <v>22</v>
      </c>
      <c r="H476" s="361"/>
      <c r="I476" s="186"/>
      <c r="J476" s="361"/>
      <c r="L476" s="361"/>
      <c r="M476" s="361"/>
      <c r="N476" s="361"/>
      <c r="O476" s="361"/>
      <c r="P476" s="361"/>
      <c r="Q476" s="361"/>
      <c r="R476" s="361"/>
      <c r="S476" s="361"/>
      <c r="T476" s="361"/>
      <c r="U476" s="361"/>
      <c r="V476" s="361"/>
      <c r="W476" s="361"/>
      <c r="X476" s="361"/>
      <c r="Y476" s="361"/>
      <c r="Z476" s="361"/>
      <c r="AA476" s="361"/>
      <c r="AB476" s="361"/>
      <c r="AC476" s="361"/>
      <c r="AD476" s="362"/>
    </row>
    <row r="477" spans="1:30" x14ac:dyDescent="0.25">
      <c r="A477" s="360"/>
      <c r="B477" s="186" t="s">
        <v>4752</v>
      </c>
      <c r="C477" s="186"/>
      <c r="D477" s="210" t="s">
        <v>94</v>
      </c>
      <c r="E477" s="210"/>
      <c r="F477" s="210"/>
      <c r="G477" s="231" t="s">
        <v>22</v>
      </c>
      <c r="H477" s="361"/>
      <c r="I477" s="186"/>
      <c r="J477" s="361"/>
      <c r="L477" s="361"/>
      <c r="M477" s="361"/>
      <c r="N477" s="361"/>
      <c r="O477" s="361"/>
      <c r="P477" s="361"/>
      <c r="Q477" s="361"/>
      <c r="R477" s="361"/>
      <c r="S477" s="361"/>
      <c r="T477" s="361"/>
      <c r="U477" s="361"/>
      <c r="V477" s="361"/>
      <c r="W477" s="361"/>
      <c r="X477" s="361"/>
      <c r="Y477" s="361"/>
      <c r="Z477" s="361"/>
      <c r="AA477" s="361"/>
      <c r="AB477" s="361"/>
      <c r="AC477" s="361"/>
      <c r="AD477" s="362"/>
    </row>
    <row r="478" spans="1:30" x14ac:dyDescent="0.25">
      <c r="A478" s="360"/>
      <c r="B478" s="186" t="s">
        <v>4753</v>
      </c>
      <c r="C478" s="186"/>
      <c r="D478" s="210">
        <v>8104618</v>
      </c>
      <c r="E478" s="210"/>
      <c r="F478" s="210"/>
      <c r="G478" s="231" t="s">
        <v>22</v>
      </c>
      <c r="H478" s="361"/>
      <c r="I478" s="186"/>
      <c r="J478" s="361"/>
      <c r="L478" s="361"/>
      <c r="M478" s="361"/>
      <c r="N478" s="361"/>
      <c r="O478" s="361"/>
      <c r="P478" s="361"/>
      <c r="Q478" s="361"/>
      <c r="R478" s="361"/>
      <c r="S478" s="361"/>
      <c r="T478" s="361"/>
      <c r="U478" s="361"/>
      <c r="V478" s="361"/>
      <c r="W478" s="361"/>
      <c r="X478" s="361"/>
      <c r="Y478" s="361"/>
      <c r="Z478" s="361"/>
      <c r="AA478" s="361"/>
      <c r="AB478" s="361"/>
      <c r="AC478" s="361"/>
      <c r="AD478" s="362"/>
    </row>
    <row r="479" spans="1:30" x14ac:dyDescent="0.25">
      <c r="A479" s="360"/>
      <c r="B479" s="186" t="s">
        <v>4754</v>
      </c>
      <c r="C479" s="186">
        <v>1</v>
      </c>
      <c r="D479" s="210" t="s">
        <v>4755</v>
      </c>
      <c r="E479" s="210" t="s">
        <v>78</v>
      </c>
      <c r="F479" s="210"/>
      <c r="G479" s="231" t="s">
        <v>22</v>
      </c>
      <c r="H479" s="361" t="s">
        <v>4756</v>
      </c>
      <c r="I479" s="186"/>
      <c r="J479" s="361"/>
      <c r="K479" s="262" t="s">
        <v>4757</v>
      </c>
      <c r="L479" s="364">
        <v>41254</v>
      </c>
      <c r="M479" s="361" t="s">
        <v>3958</v>
      </c>
      <c r="N479" s="361"/>
      <c r="O479" s="361"/>
      <c r="P479" s="361"/>
      <c r="Q479" s="361"/>
      <c r="R479" s="361"/>
      <c r="S479" s="361"/>
      <c r="T479" s="361"/>
      <c r="U479" s="361"/>
      <c r="V479" s="361"/>
      <c r="W479" s="361"/>
      <c r="X479" s="361"/>
      <c r="Y479" s="361"/>
      <c r="Z479" s="361"/>
      <c r="AA479" s="361"/>
      <c r="AB479" s="361"/>
      <c r="AC479" s="361"/>
      <c r="AD479" s="362"/>
    </row>
    <row r="480" spans="1:30" x14ac:dyDescent="0.25">
      <c r="A480" s="360"/>
      <c r="B480" s="186" t="s">
        <v>4758</v>
      </c>
      <c r="C480" s="186">
        <v>1</v>
      </c>
      <c r="D480" s="210" t="s">
        <v>80</v>
      </c>
      <c r="E480" s="210" t="s">
        <v>89</v>
      </c>
      <c r="F480" s="210"/>
      <c r="G480" s="231" t="s">
        <v>22</v>
      </c>
      <c r="H480" s="361" t="s">
        <v>4756</v>
      </c>
      <c r="I480" s="186"/>
      <c r="J480" s="361"/>
      <c r="L480" s="361"/>
      <c r="M480" s="361"/>
      <c r="N480" s="361"/>
      <c r="O480" s="361"/>
      <c r="P480" s="361"/>
      <c r="Q480" s="361"/>
      <c r="R480" s="361"/>
      <c r="S480" s="361"/>
      <c r="T480" s="361"/>
      <c r="U480" s="361"/>
      <c r="V480" s="361"/>
      <c r="W480" s="361"/>
      <c r="X480" s="361"/>
      <c r="Y480" s="361"/>
      <c r="Z480" s="361"/>
      <c r="AA480" s="361"/>
      <c r="AB480" s="361"/>
      <c r="AC480" s="361"/>
      <c r="AD480" s="362"/>
    </row>
    <row r="481" spans="1:30" x14ac:dyDescent="0.25">
      <c r="A481" s="360"/>
      <c r="B481" s="186" t="s">
        <v>4759</v>
      </c>
      <c r="C481" s="186"/>
      <c r="D481" s="210" t="s">
        <v>99</v>
      </c>
      <c r="E481" s="210" t="s">
        <v>98</v>
      </c>
      <c r="F481" s="210"/>
      <c r="G481" s="231" t="s">
        <v>22</v>
      </c>
      <c r="H481" s="361" t="s">
        <v>4756</v>
      </c>
      <c r="I481" s="186"/>
      <c r="J481" s="361"/>
      <c r="K481" s="262" t="s">
        <v>4760</v>
      </c>
      <c r="L481" s="364">
        <v>39556</v>
      </c>
      <c r="M481" s="361" t="s">
        <v>4761</v>
      </c>
      <c r="N481" s="361"/>
      <c r="O481" s="361"/>
      <c r="P481" s="361"/>
      <c r="Q481" s="361"/>
      <c r="R481" s="361"/>
      <c r="S481" s="361"/>
      <c r="T481" s="361"/>
      <c r="U481" s="361"/>
      <c r="V481" s="361"/>
      <c r="W481" s="361"/>
      <c r="X481" s="361"/>
      <c r="Y481" s="361"/>
      <c r="Z481" s="361"/>
      <c r="AA481" s="361"/>
      <c r="AB481" s="361"/>
      <c r="AC481" s="361"/>
      <c r="AD481" s="362"/>
    </row>
    <row r="482" spans="1:30" x14ac:dyDescent="0.25">
      <c r="A482" s="360"/>
      <c r="B482" s="186" t="s">
        <v>4762</v>
      </c>
      <c r="C482" s="186">
        <v>1</v>
      </c>
      <c r="D482" s="210" t="s">
        <v>4763</v>
      </c>
      <c r="E482" s="210" t="s">
        <v>4764</v>
      </c>
      <c r="F482" s="210"/>
      <c r="G482" s="231" t="s">
        <v>22</v>
      </c>
      <c r="H482" s="361" t="s">
        <v>4756</v>
      </c>
      <c r="I482" s="186"/>
      <c r="J482" s="361"/>
      <c r="K482" s="262" t="s">
        <v>4765</v>
      </c>
      <c r="L482" s="263">
        <v>40273</v>
      </c>
      <c r="M482" s="231" t="s">
        <v>3958</v>
      </c>
      <c r="N482" s="361">
        <v>2009</v>
      </c>
      <c r="O482" s="361"/>
      <c r="P482" s="361"/>
      <c r="Q482" s="361"/>
      <c r="R482" s="361"/>
      <c r="S482" s="361"/>
      <c r="T482" s="361"/>
      <c r="U482" s="361"/>
      <c r="V482" s="361"/>
      <c r="W482" s="361"/>
      <c r="X482" s="361"/>
      <c r="Y482" s="361"/>
      <c r="Z482" s="361"/>
      <c r="AA482" s="361"/>
      <c r="AB482" s="361"/>
      <c r="AC482" s="361"/>
      <c r="AD482" s="362"/>
    </row>
    <row r="483" spans="1:30" x14ac:dyDescent="0.25">
      <c r="A483" s="360"/>
      <c r="B483" s="186" t="s">
        <v>4766</v>
      </c>
      <c r="C483" s="186">
        <v>1</v>
      </c>
      <c r="D483" s="210" t="s">
        <v>113</v>
      </c>
      <c r="E483" s="210" t="s">
        <v>4767</v>
      </c>
      <c r="F483" s="210"/>
      <c r="G483" s="231" t="s">
        <v>22</v>
      </c>
      <c r="H483" s="361" t="s">
        <v>4756</v>
      </c>
      <c r="I483" s="186"/>
      <c r="J483" s="361"/>
      <c r="K483" s="262" t="s">
        <v>4768</v>
      </c>
      <c r="L483" s="364">
        <v>39924</v>
      </c>
      <c r="M483" s="361" t="s">
        <v>4761</v>
      </c>
      <c r="N483" s="361"/>
      <c r="O483" s="361"/>
      <c r="P483" s="361"/>
      <c r="Q483" s="361"/>
      <c r="R483" s="361"/>
      <c r="S483" s="361"/>
      <c r="T483" s="361"/>
      <c r="U483" s="361"/>
      <c r="V483" s="361"/>
      <c r="W483" s="361"/>
      <c r="X483" s="361"/>
      <c r="Y483" s="361"/>
      <c r="Z483" s="361"/>
      <c r="AA483" s="361"/>
      <c r="AB483" s="361"/>
      <c r="AC483" s="361"/>
      <c r="AD483" s="362"/>
    </row>
    <row r="484" spans="1:30" x14ac:dyDescent="0.25">
      <c r="A484" s="360"/>
      <c r="B484" s="314" t="s">
        <v>4286</v>
      </c>
      <c r="C484" s="314"/>
      <c r="D484" s="210" t="s">
        <v>4769</v>
      </c>
      <c r="E484" s="210" t="s">
        <v>4770</v>
      </c>
      <c r="F484" s="210"/>
      <c r="G484" s="231" t="s">
        <v>22</v>
      </c>
      <c r="H484" s="361" t="s">
        <v>4756</v>
      </c>
      <c r="I484" s="314"/>
      <c r="J484" s="361"/>
      <c r="K484" s="262" t="s">
        <v>3996</v>
      </c>
      <c r="L484" s="263">
        <v>40319</v>
      </c>
      <c r="M484" s="263" t="s">
        <v>3958</v>
      </c>
      <c r="N484" s="361"/>
      <c r="O484" s="361"/>
      <c r="P484" s="361"/>
      <c r="Q484" s="361"/>
      <c r="R484" s="361"/>
      <c r="S484" s="361"/>
      <c r="T484" s="361"/>
      <c r="U484" s="361"/>
      <c r="V484" s="361"/>
      <c r="W484" s="361"/>
      <c r="X484" s="361"/>
      <c r="Y484" s="361"/>
      <c r="Z484" s="361"/>
      <c r="AA484" s="361"/>
      <c r="AB484" s="361"/>
      <c r="AC484" s="361"/>
      <c r="AD484" s="362"/>
    </row>
    <row r="485" spans="1:30" x14ac:dyDescent="0.25">
      <c r="A485" s="360"/>
      <c r="B485" s="186" t="s">
        <v>4771</v>
      </c>
      <c r="C485" s="186"/>
      <c r="D485" s="210" t="s">
        <v>4772</v>
      </c>
      <c r="E485" s="210"/>
      <c r="F485" s="210"/>
      <c r="G485" s="231" t="s">
        <v>22</v>
      </c>
      <c r="H485" s="361" t="s">
        <v>4756</v>
      </c>
      <c r="I485" s="186"/>
      <c r="J485" s="361"/>
      <c r="L485" s="361"/>
      <c r="M485" s="361"/>
      <c r="N485" s="361"/>
      <c r="O485" s="361"/>
      <c r="P485" s="361"/>
      <c r="Q485" s="361"/>
      <c r="R485" s="361"/>
      <c r="S485" s="361"/>
      <c r="T485" s="361"/>
      <c r="U485" s="361"/>
      <c r="V485" s="361"/>
      <c r="W485" s="361"/>
      <c r="X485" s="361"/>
      <c r="Y485" s="361"/>
      <c r="Z485" s="361"/>
      <c r="AA485" s="361"/>
      <c r="AB485" s="361"/>
      <c r="AC485" s="361"/>
      <c r="AD485" s="362"/>
    </row>
    <row r="486" spans="1:30" x14ac:dyDescent="0.25">
      <c r="A486" s="360"/>
      <c r="B486" s="186" t="s">
        <v>4203</v>
      </c>
      <c r="C486" s="186"/>
      <c r="D486" s="210" t="s">
        <v>4773</v>
      </c>
      <c r="E486" s="210"/>
      <c r="F486" s="210"/>
      <c r="G486" s="231" t="s">
        <v>22</v>
      </c>
      <c r="H486" s="361" t="s">
        <v>4756</v>
      </c>
      <c r="I486" s="186"/>
      <c r="J486" s="361"/>
      <c r="K486" s="262" t="s">
        <v>4047</v>
      </c>
      <c r="L486" s="263">
        <v>41272</v>
      </c>
      <c r="M486" s="231" t="s">
        <v>3958</v>
      </c>
      <c r="N486" s="361"/>
      <c r="O486" s="361"/>
      <c r="P486" s="361"/>
      <c r="Q486" s="361"/>
      <c r="R486" s="361"/>
      <c r="S486" s="361"/>
      <c r="T486" s="361"/>
      <c r="U486" s="361"/>
      <c r="V486" s="361"/>
      <c r="W486" s="361"/>
      <c r="X486" s="361"/>
      <c r="Y486" s="361"/>
      <c r="Z486" s="361"/>
      <c r="AA486" s="361"/>
      <c r="AB486" s="361"/>
      <c r="AC486" s="361"/>
      <c r="AD486" s="362"/>
    </row>
    <row r="487" spans="1:30" x14ac:dyDescent="0.25">
      <c r="A487" s="360"/>
      <c r="B487" s="186" t="s">
        <v>4203</v>
      </c>
      <c r="C487" s="186"/>
      <c r="D487" s="210" t="s">
        <v>4774</v>
      </c>
      <c r="E487" s="210"/>
      <c r="F487" s="210"/>
      <c r="G487" s="231" t="s">
        <v>22</v>
      </c>
      <c r="H487" s="361" t="s">
        <v>4756</v>
      </c>
      <c r="I487" s="186"/>
      <c r="J487" s="361"/>
      <c r="K487" s="262" t="s">
        <v>4047</v>
      </c>
      <c r="L487" s="263">
        <v>41272</v>
      </c>
      <c r="M487" s="231" t="s">
        <v>3958</v>
      </c>
      <c r="N487" s="361"/>
      <c r="O487" s="361"/>
      <c r="P487" s="361"/>
      <c r="Q487" s="361"/>
      <c r="R487" s="361"/>
      <c r="S487" s="361"/>
      <c r="T487" s="361"/>
      <c r="U487" s="361"/>
      <c r="V487" s="361"/>
      <c r="W487" s="361"/>
      <c r="X487" s="361"/>
      <c r="Y487" s="361"/>
      <c r="Z487" s="361"/>
      <c r="AA487" s="361"/>
      <c r="AB487" s="361"/>
      <c r="AC487" s="361"/>
      <c r="AD487" s="362"/>
    </row>
    <row r="488" spans="1:30" x14ac:dyDescent="0.25">
      <c r="A488" s="360"/>
      <c r="B488" s="186" t="s">
        <v>4775</v>
      </c>
      <c r="C488" s="186"/>
      <c r="D488" s="210" t="s">
        <v>4776</v>
      </c>
      <c r="E488" s="210"/>
      <c r="F488" s="210"/>
      <c r="G488" s="231" t="s">
        <v>22</v>
      </c>
      <c r="H488" s="361"/>
      <c r="I488" s="186"/>
      <c r="J488" s="361"/>
      <c r="K488" s="262" t="s">
        <v>4049</v>
      </c>
      <c r="L488" s="263">
        <v>38944</v>
      </c>
      <c r="M488" s="263">
        <v>40770</v>
      </c>
      <c r="N488" s="361"/>
      <c r="O488" s="361"/>
      <c r="P488" s="361"/>
      <c r="Q488" s="361"/>
      <c r="R488" s="361"/>
      <c r="S488" s="361"/>
      <c r="T488" s="361"/>
      <c r="U488" s="361"/>
      <c r="V488" s="361"/>
      <c r="W488" s="361"/>
      <c r="X488" s="361"/>
      <c r="Y488" s="361"/>
      <c r="Z488" s="361"/>
      <c r="AA488" s="361"/>
      <c r="AB488" s="361"/>
      <c r="AC488" s="361"/>
      <c r="AD488" s="362"/>
    </row>
    <row r="489" spans="1:30" x14ac:dyDescent="0.25">
      <c r="A489" s="360"/>
      <c r="B489" s="186" t="s">
        <v>4775</v>
      </c>
      <c r="C489" s="186"/>
      <c r="D489" s="210" t="s">
        <v>4777</v>
      </c>
      <c r="E489" s="210"/>
      <c r="F489" s="210"/>
      <c r="G489" s="231" t="s">
        <v>22</v>
      </c>
      <c r="H489" s="361"/>
      <c r="I489" s="186"/>
      <c r="J489" s="361"/>
      <c r="K489" s="262" t="s">
        <v>4049</v>
      </c>
      <c r="L489" s="263">
        <v>38944</v>
      </c>
      <c r="M489" s="263">
        <v>40770</v>
      </c>
      <c r="N489" s="361"/>
      <c r="O489" s="361"/>
      <c r="P489" s="361"/>
      <c r="Q489" s="361"/>
      <c r="R489" s="361"/>
      <c r="S489" s="361"/>
      <c r="T489" s="361"/>
      <c r="U489" s="361"/>
      <c r="V489" s="361"/>
      <c r="W489" s="361"/>
      <c r="X489" s="361"/>
      <c r="Y489" s="361"/>
      <c r="Z489" s="361"/>
      <c r="AA489" s="361"/>
      <c r="AB489" s="361"/>
      <c r="AC489" s="361"/>
      <c r="AD489" s="362"/>
    </row>
    <row r="490" spans="1:30" x14ac:dyDescent="0.25">
      <c r="A490" s="360"/>
      <c r="B490" s="186" t="s">
        <v>4778</v>
      </c>
      <c r="C490" s="186"/>
      <c r="D490" s="210" t="s">
        <v>1013</v>
      </c>
      <c r="E490" s="210"/>
      <c r="F490" s="210"/>
      <c r="G490" s="231" t="s">
        <v>22</v>
      </c>
      <c r="H490" s="361"/>
      <c r="I490" s="186"/>
      <c r="J490" s="361"/>
      <c r="K490" s="262" t="s">
        <v>4049</v>
      </c>
      <c r="L490" s="263">
        <v>38944</v>
      </c>
      <c r="M490" s="263">
        <v>40770</v>
      </c>
      <c r="N490" s="361"/>
      <c r="O490" s="361"/>
      <c r="P490" s="361"/>
      <c r="Q490" s="361"/>
      <c r="R490" s="361"/>
      <c r="S490" s="361"/>
      <c r="T490" s="361"/>
      <c r="U490" s="361"/>
      <c r="V490" s="361"/>
      <c r="W490" s="361"/>
      <c r="X490" s="361"/>
      <c r="Y490" s="361"/>
      <c r="Z490" s="361"/>
      <c r="AA490" s="361"/>
      <c r="AB490" s="361"/>
      <c r="AC490" s="361"/>
      <c r="AD490" s="362"/>
    </row>
    <row r="491" spans="1:30" x14ac:dyDescent="0.25">
      <c r="A491" s="360"/>
      <c r="B491" s="186" t="s">
        <v>4779</v>
      </c>
      <c r="C491" s="186"/>
      <c r="D491" s="210" t="s">
        <v>4780</v>
      </c>
      <c r="E491" s="210"/>
      <c r="F491" s="210"/>
      <c r="G491" s="231" t="s">
        <v>22</v>
      </c>
      <c r="H491" s="361"/>
      <c r="I491" s="186"/>
      <c r="J491" s="361"/>
      <c r="L491" s="361"/>
      <c r="M491" s="361"/>
      <c r="N491" s="361"/>
      <c r="O491" s="361"/>
      <c r="P491" s="361"/>
      <c r="Q491" s="361"/>
      <c r="R491" s="361"/>
      <c r="S491" s="361"/>
      <c r="T491" s="361"/>
      <c r="U491" s="361"/>
      <c r="V491" s="361"/>
      <c r="W491" s="361"/>
      <c r="X491" s="361"/>
      <c r="Y491" s="361"/>
      <c r="Z491" s="361"/>
      <c r="AA491" s="361"/>
      <c r="AB491" s="361"/>
      <c r="AC491" s="361"/>
      <c r="AD491" s="362"/>
    </row>
    <row r="492" spans="1:30" x14ac:dyDescent="0.25">
      <c r="A492" s="360"/>
      <c r="B492" s="186" t="s">
        <v>4779</v>
      </c>
      <c r="C492" s="186"/>
      <c r="D492" s="210" t="s">
        <v>4781</v>
      </c>
      <c r="E492" s="210"/>
      <c r="F492" s="210"/>
      <c r="G492" s="231" t="s">
        <v>22</v>
      </c>
      <c r="H492" s="361"/>
      <c r="I492" s="186"/>
      <c r="J492" s="361"/>
      <c r="L492" s="361"/>
      <c r="M492" s="361"/>
      <c r="N492" s="361"/>
      <c r="O492" s="361"/>
      <c r="P492" s="361"/>
      <c r="Q492" s="361"/>
      <c r="R492" s="361"/>
      <c r="S492" s="361"/>
      <c r="T492" s="361"/>
      <c r="U492" s="361"/>
      <c r="V492" s="361"/>
      <c r="W492" s="361"/>
      <c r="X492" s="361"/>
      <c r="Y492" s="361"/>
      <c r="Z492" s="361"/>
      <c r="AA492" s="361"/>
      <c r="AB492" s="361"/>
      <c r="AC492" s="361"/>
      <c r="AD492" s="362"/>
    </row>
    <row r="493" spans="1:30" x14ac:dyDescent="0.25">
      <c r="A493" s="360"/>
      <c r="B493" s="186" t="s">
        <v>4779</v>
      </c>
      <c r="C493" s="186"/>
      <c r="D493" s="210" t="s">
        <v>48</v>
      </c>
      <c r="E493" s="210"/>
      <c r="F493" s="210"/>
      <c r="G493" s="231" t="s">
        <v>22</v>
      </c>
      <c r="H493" s="361"/>
      <c r="I493" s="186"/>
      <c r="J493" s="361"/>
      <c r="L493" s="361"/>
      <c r="M493" s="361"/>
      <c r="N493" s="361"/>
      <c r="O493" s="361"/>
      <c r="P493" s="361"/>
      <c r="Q493" s="361"/>
      <c r="R493" s="361"/>
      <c r="S493" s="361"/>
      <c r="T493" s="361"/>
      <c r="U493" s="361"/>
      <c r="V493" s="361"/>
      <c r="W493" s="361"/>
      <c r="X493" s="361"/>
      <c r="Y493" s="361"/>
      <c r="Z493" s="361"/>
      <c r="AA493" s="361"/>
      <c r="AB493" s="361"/>
      <c r="AC493" s="361"/>
      <c r="AD493" s="362"/>
    </row>
    <row r="494" spans="1:30" x14ac:dyDescent="0.25">
      <c r="A494" s="360"/>
      <c r="B494" s="186" t="s">
        <v>4779</v>
      </c>
      <c r="C494" s="186"/>
      <c r="D494" s="210" t="s">
        <v>4782</v>
      </c>
      <c r="E494" s="210"/>
      <c r="F494" s="210"/>
      <c r="G494" s="231" t="s">
        <v>22</v>
      </c>
      <c r="H494" s="361"/>
      <c r="I494" s="186"/>
      <c r="J494" s="361"/>
      <c r="L494" s="361"/>
      <c r="M494" s="361"/>
      <c r="N494" s="361"/>
      <c r="O494" s="361"/>
      <c r="P494" s="361"/>
      <c r="Q494" s="361"/>
      <c r="R494" s="361"/>
      <c r="S494" s="361"/>
      <c r="T494" s="361"/>
      <c r="U494" s="361"/>
      <c r="V494" s="361"/>
      <c r="W494" s="361"/>
      <c r="X494" s="361"/>
      <c r="Y494" s="361"/>
      <c r="Z494" s="361"/>
      <c r="AA494" s="361"/>
      <c r="AB494" s="361"/>
      <c r="AC494" s="361"/>
      <c r="AD494" s="362"/>
    </row>
    <row r="495" spans="1:30" x14ac:dyDescent="0.25">
      <c r="A495" s="360"/>
      <c r="B495" s="186" t="s">
        <v>4779</v>
      </c>
      <c r="C495" s="186"/>
      <c r="D495" s="210" t="s">
        <v>4783</v>
      </c>
      <c r="E495" s="210"/>
      <c r="F495" s="210"/>
      <c r="G495" s="231" t="s">
        <v>22</v>
      </c>
      <c r="H495" s="361"/>
      <c r="I495" s="186"/>
      <c r="J495" s="361"/>
      <c r="L495" s="361"/>
      <c r="M495" s="361"/>
      <c r="N495" s="361"/>
      <c r="O495" s="361"/>
      <c r="P495" s="361"/>
      <c r="Q495" s="361"/>
      <c r="R495" s="361"/>
      <c r="S495" s="361"/>
      <c r="T495" s="361"/>
      <c r="U495" s="361"/>
      <c r="V495" s="361"/>
      <c r="W495" s="361"/>
      <c r="X495" s="361"/>
      <c r="Y495" s="361"/>
      <c r="Z495" s="361"/>
      <c r="AA495" s="361"/>
      <c r="AB495" s="361"/>
      <c r="AC495" s="361"/>
      <c r="AD495" s="362"/>
    </row>
    <row r="496" spans="1:30" x14ac:dyDescent="0.25">
      <c r="A496" s="360"/>
      <c r="B496" s="186" t="s">
        <v>4779</v>
      </c>
      <c r="C496" s="186"/>
      <c r="D496" s="210" t="s">
        <v>4784</v>
      </c>
      <c r="E496" s="210"/>
      <c r="F496" s="210"/>
      <c r="G496" s="231" t="s">
        <v>22</v>
      </c>
      <c r="H496" s="361"/>
      <c r="I496" s="186"/>
      <c r="J496" s="361"/>
      <c r="L496" s="361"/>
      <c r="M496" s="361"/>
      <c r="N496" s="361"/>
      <c r="O496" s="361"/>
      <c r="P496" s="361"/>
      <c r="Q496" s="361"/>
      <c r="R496" s="361"/>
      <c r="S496" s="361"/>
      <c r="T496" s="361"/>
      <c r="U496" s="361"/>
      <c r="V496" s="361"/>
      <c r="W496" s="361"/>
      <c r="X496" s="361"/>
      <c r="Y496" s="361"/>
      <c r="Z496" s="361"/>
      <c r="AA496" s="361"/>
      <c r="AB496" s="361"/>
      <c r="AC496" s="361"/>
      <c r="AD496" s="362"/>
    </row>
    <row r="497" spans="1:30" x14ac:dyDescent="0.25">
      <c r="A497" s="360"/>
      <c r="B497" s="186" t="s">
        <v>4785</v>
      </c>
      <c r="C497" s="186"/>
      <c r="D497" s="210" t="s">
        <v>4786</v>
      </c>
      <c r="E497" s="210"/>
      <c r="F497" s="210"/>
      <c r="G497" s="231" t="s">
        <v>22</v>
      </c>
      <c r="H497" s="361"/>
      <c r="I497" s="186"/>
      <c r="J497" s="361"/>
      <c r="L497" s="361"/>
      <c r="M497" s="361"/>
      <c r="N497" s="361"/>
      <c r="O497" s="361"/>
      <c r="P497" s="361"/>
      <c r="Q497" s="361"/>
      <c r="R497" s="361"/>
      <c r="S497" s="361"/>
      <c r="T497" s="361"/>
      <c r="U497" s="361"/>
      <c r="V497" s="361"/>
      <c r="W497" s="361"/>
      <c r="X497" s="361"/>
      <c r="Y497" s="361"/>
      <c r="Z497" s="361"/>
      <c r="AA497" s="361"/>
      <c r="AB497" s="361"/>
      <c r="AC497" s="361"/>
      <c r="AD497" s="362"/>
    </row>
    <row r="498" spans="1:30" x14ac:dyDescent="0.25">
      <c r="A498" s="360"/>
      <c r="B498" s="186" t="s">
        <v>4785</v>
      </c>
      <c r="C498" s="186"/>
      <c r="D498" s="210" t="s">
        <v>4787</v>
      </c>
      <c r="E498" s="210"/>
      <c r="F498" s="210"/>
      <c r="G498" s="231" t="s">
        <v>22</v>
      </c>
      <c r="H498" s="361"/>
      <c r="I498" s="186"/>
      <c r="J498" s="361"/>
      <c r="L498" s="361"/>
      <c r="M498" s="361"/>
      <c r="N498" s="361"/>
      <c r="O498" s="361"/>
      <c r="P498" s="361"/>
      <c r="Q498" s="361"/>
      <c r="R498" s="361"/>
      <c r="S498" s="361"/>
      <c r="T498" s="361"/>
      <c r="U498" s="361"/>
      <c r="V498" s="361"/>
      <c r="W498" s="361"/>
      <c r="X498" s="361"/>
      <c r="Y498" s="361"/>
      <c r="Z498" s="361"/>
      <c r="AA498" s="361"/>
      <c r="AB498" s="361"/>
      <c r="AC498" s="361"/>
      <c r="AD498" s="362"/>
    </row>
    <row r="499" spans="1:30" x14ac:dyDescent="0.25">
      <c r="A499" s="360"/>
      <c r="B499" s="186" t="s">
        <v>4785</v>
      </c>
      <c r="C499" s="186"/>
      <c r="D499" s="210" t="s">
        <v>4788</v>
      </c>
      <c r="E499" s="210"/>
      <c r="F499" s="210"/>
      <c r="G499" s="231" t="s">
        <v>22</v>
      </c>
      <c r="H499" s="361"/>
      <c r="I499" s="186"/>
      <c r="J499" s="361"/>
      <c r="L499" s="361"/>
      <c r="M499" s="361"/>
      <c r="N499" s="361"/>
      <c r="O499" s="361"/>
      <c r="P499" s="361"/>
      <c r="Q499" s="361"/>
      <c r="R499" s="361"/>
      <c r="S499" s="361"/>
      <c r="T499" s="361"/>
      <c r="U499" s="361"/>
      <c r="V499" s="361"/>
      <c r="W499" s="361"/>
      <c r="X499" s="361"/>
      <c r="Y499" s="361"/>
      <c r="Z499" s="361"/>
      <c r="AA499" s="361"/>
      <c r="AB499" s="361"/>
      <c r="AC499" s="361"/>
      <c r="AD499" s="362"/>
    </row>
    <row r="500" spans="1:30" x14ac:dyDescent="0.25">
      <c r="A500" s="360"/>
      <c r="B500" s="186" t="s">
        <v>4789</v>
      </c>
      <c r="C500" s="186"/>
      <c r="D500" s="210" t="s">
        <v>106</v>
      </c>
      <c r="E500" s="210"/>
      <c r="F500" s="210"/>
      <c r="G500" s="231" t="s">
        <v>22</v>
      </c>
      <c r="H500" s="361"/>
      <c r="I500" s="186"/>
      <c r="J500" s="361"/>
      <c r="K500" s="262" t="s">
        <v>4047</v>
      </c>
      <c r="L500" s="263">
        <v>41272</v>
      </c>
      <c r="M500" s="231" t="s">
        <v>3958</v>
      </c>
      <c r="N500" s="361"/>
      <c r="O500" s="361"/>
      <c r="P500" s="361"/>
      <c r="Q500" s="361"/>
      <c r="R500" s="361"/>
      <c r="S500" s="361"/>
      <c r="T500" s="361"/>
      <c r="U500" s="361"/>
      <c r="V500" s="361"/>
      <c r="W500" s="361"/>
      <c r="X500" s="361"/>
      <c r="Y500" s="361"/>
      <c r="Z500" s="361"/>
      <c r="AA500" s="361"/>
      <c r="AB500" s="361"/>
      <c r="AC500" s="361"/>
      <c r="AD500" s="362"/>
    </row>
    <row r="501" spans="1:30" x14ac:dyDescent="0.25">
      <c r="A501" s="360"/>
      <c r="B501" s="186" t="s">
        <v>4789</v>
      </c>
      <c r="C501" s="186"/>
      <c r="D501" s="210" t="s">
        <v>4790</v>
      </c>
      <c r="E501" s="210"/>
      <c r="F501" s="210"/>
      <c r="G501" s="231" t="s">
        <v>22</v>
      </c>
      <c r="H501" s="361"/>
      <c r="I501" s="186"/>
      <c r="J501" s="361"/>
      <c r="K501" s="262" t="s">
        <v>4047</v>
      </c>
      <c r="L501" s="263">
        <v>41272</v>
      </c>
      <c r="M501" s="231" t="s">
        <v>3958</v>
      </c>
      <c r="N501" s="361"/>
      <c r="O501" s="361"/>
      <c r="P501" s="361"/>
      <c r="Q501" s="361"/>
      <c r="R501" s="361"/>
      <c r="S501" s="361"/>
      <c r="T501" s="361"/>
      <c r="U501" s="361"/>
      <c r="V501" s="361"/>
      <c r="W501" s="361"/>
      <c r="X501" s="361"/>
      <c r="Y501" s="361"/>
      <c r="Z501" s="361"/>
      <c r="AA501" s="361"/>
      <c r="AB501" s="361"/>
      <c r="AC501" s="361"/>
      <c r="AD501" s="362"/>
    </row>
    <row r="502" spans="1:30" x14ac:dyDescent="0.25">
      <c r="A502" s="360"/>
      <c r="B502" s="186" t="s">
        <v>4789</v>
      </c>
      <c r="C502" s="186"/>
      <c r="D502" s="210" t="s">
        <v>4791</v>
      </c>
      <c r="E502" s="210"/>
      <c r="F502" s="210"/>
      <c r="G502" s="231" t="s">
        <v>22</v>
      </c>
      <c r="H502" s="361"/>
      <c r="I502" s="186"/>
      <c r="J502" s="361"/>
      <c r="K502" s="262" t="s">
        <v>4047</v>
      </c>
      <c r="L502" s="263">
        <v>41272</v>
      </c>
      <c r="M502" s="231" t="s">
        <v>3958</v>
      </c>
      <c r="N502" s="361"/>
      <c r="O502" s="361"/>
      <c r="P502" s="361"/>
      <c r="Q502" s="361"/>
      <c r="R502" s="361"/>
      <c r="S502" s="361"/>
      <c r="T502" s="361"/>
      <c r="U502" s="361"/>
      <c r="V502" s="361"/>
      <c r="W502" s="361"/>
      <c r="X502" s="361"/>
      <c r="Y502" s="361"/>
      <c r="Z502" s="361"/>
      <c r="AA502" s="361"/>
      <c r="AB502" s="361"/>
      <c r="AC502" s="361"/>
      <c r="AD502" s="362"/>
    </row>
    <row r="503" spans="1:30" x14ac:dyDescent="0.25">
      <c r="A503" s="360"/>
      <c r="B503" s="186" t="s">
        <v>4789</v>
      </c>
      <c r="C503" s="186"/>
      <c r="D503" s="210" t="s">
        <v>4792</v>
      </c>
      <c r="E503" s="210"/>
      <c r="F503" s="210"/>
      <c r="G503" s="231" t="s">
        <v>22</v>
      </c>
      <c r="H503" s="361"/>
      <c r="I503" s="186"/>
      <c r="J503" s="361"/>
      <c r="K503" s="262" t="s">
        <v>4047</v>
      </c>
      <c r="L503" s="263">
        <v>41272</v>
      </c>
      <c r="M503" s="231" t="s">
        <v>3958</v>
      </c>
      <c r="N503" s="361"/>
      <c r="O503" s="361"/>
      <c r="P503" s="361"/>
      <c r="Q503" s="361"/>
      <c r="R503" s="361"/>
      <c r="S503" s="361"/>
      <c r="T503" s="361"/>
      <c r="U503" s="361"/>
      <c r="V503" s="361"/>
      <c r="W503" s="361"/>
      <c r="X503" s="361"/>
      <c r="Y503" s="361"/>
      <c r="Z503" s="361"/>
      <c r="AA503" s="361"/>
      <c r="AB503" s="361"/>
      <c r="AC503" s="361"/>
      <c r="AD503" s="362"/>
    </row>
    <row r="504" spans="1:30" x14ac:dyDescent="0.25">
      <c r="A504" s="360"/>
      <c r="B504" s="186" t="s">
        <v>4789</v>
      </c>
      <c r="C504" s="186"/>
      <c r="D504" s="210" t="s">
        <v>4793</v>
      </c>
      <c r="E504" s="210"/>
      <c r="F504" s="210"/>
      <c r="G504" s="231" t="s">
        <v>22</v>
      </c>
      <c r="H504" s="361"/>
      <c r="I504" s="186"/>
      <c r="J504" s="361"/>
      <c r="K504" s="262" t="s">
        <v>4047</v>
      </c>
      <c r="L504" s="263">
        <v>41272</v>
      </c>
      <c r="M504" s="231" t="s">
        <v>3958</v>
      </c>
      <c r="N504" s="361"/>
      <c r="O504" s="361"/>
      <c r="P504" s="361"/>
      <c r="Q504" s="361"/>
      <c r="R504" s="361"/>
      <c r="S504" s="361"/>
      <c r="T504" s="361"/>
      <c r="U504" s="361"/>
      <c r="V504" s="361"/>
      <c r="W504" s="361"/>
      <c r="X504" s="361"/>
      <c r="Y504" s="361"/>
      <c r="Z504" s="361"/>
      <c r="AA504" s="361"/>
      <c r="AB504" s="361"/>
      <c r="AC504" s="361"/>
      <c r="AD504" s="362"/>
    </row>
    <row r="505" spans="1:30" x14ac:dyDescent="0.25">
      <c r="A505" s="360"/>
      <c r="B505" s="186" t="s">
        <v>4794</v>
      </c>
      <c r="C505" s="186"/>
      <c r="D505" s="210" t="s">
        <v>344</v>
      </c>
      <c r="E505" s="210"/>
      <c r="F505" s="210"/>
      <c r="G505" s="231" t="s">
        <v>22</v>
      </c>
      <c r="H505" s="361"/>
      <c r="I505" s="186"/>
      <c r="J505" s="361"/>
      <c r="K505" s="262" t="s">
        <v>4047</v>
      </c>
      <c r="L505" s="263">
        <v>41272</v>
      </c>
      <c r="M505" s="231" t="s">
        <v>3958</v>
      </c>
      <c r="N505" s="361"/>
      <c r="O505" s="361"/>
      <c r="P505" s="361"/>
      <c r="Q505" s="361"/>
      <c r="R505" s="361"/>
      <c r="S505" s="361"/>
      <c r="T505" s="361"/>
      <c r="U505" s="361"/>
      <c r="V505" s="361"/>
      <c r="W505" s="361"/>
      <c r="X505" s="361"/>
      <c r="Y505" s="361"/>
      <c r="Z505" s="361"/>
      <c r="AA505" s="361"/>
      <c r="AB505" s="361"/>
      <c r="AC505" s="361"/>
      <c r="AD505" s="362"/>
    </row>
    <row r="506" spans="1:30" x14ac:dyDescent="0.25">
      <c r="A506" s="360"/>
      <c r="B506" s="186" t="s">
        <v>4795</v>
      </c>
      <c r="C506" s="186"/>
      <c r="D506" s="210">
        <v>4700205</v>
      </c>
      <c r="E506" s="210"/>
      <c r="F506" s="210"/>
      <c r="G506" s="231" t="s">
        <v>22</v>
      </c>
      <c r="H506" s="361"/>
      <c r="I506" s="186"/>
      <c r="J506" s="361"/>
      <c r="L506" s="361"/>
      <c r="M506" s="361"/>
      <c r="N506" s="361"/>
      <c r="O506" s="361"/>
      <c r="P506" s="361"/>
      <c r="Q506" s="361"/>
      <c r="R506" s="361"/>
      <c r="S506" s="361"/>
      <c r="T506" s="361"/>
      <c r="U506" s="361"/>
      <c r="V506" s="361"/>
      <c r="W506" s="361"/>
      <c r="X506" s="361"/>
      <c r="Y506" s="361"/>
      <c r="Z506" s="361"/>
      <c r="AA506" s="361"/>
      <c r="AB506" s="361"/>
      <c r="AC506" s="361"/>
      <c r="AD506" s="362"/>
    </row>
    <row r="507" spans="1:30" x14ac:dyDescent="0.25">
      <c r="A507" s="360"/>
      <c r="B507" s="186" t="s">
        <v>4796</v>
      </c>
      <c r="C507" s="186"/>
      <c r="D507" s="210">
        <v>1370705</v>
      </c>
      <c r="E507" s="210"/>
      <c r="F507" s="210"/>
      <c r="G507" s="231" t="s">
        <v>22</v>
      </c>
      <c r="H507" s="361"/>
      <c r="I507" s="186"/>
      <c r="J507" s="361"/>
      <c r="L507" s="361"/>
      <c r="M507" s="361"/>
      <c r="N507" s="361"/>
      <c r="O507" s="361"/>
      <c r="P507" s="361"/>
      <c r="Q507" s="361"/>
      <c r="R507" s="361"/>
      <c r="S507" s="361"/>
      <c r="T507" s="361"/>
      <c r="U507" s="361"/>
      <c r="V507" s="361"/>
      <c r="W507" s="361"/>
      <c r="X507" s="361"/>
      <c r="Y507" s="361"/>
      <c r="Z507" s="361"/>
      <c r="AA507" s="361"/>
      <c r="AB507" s="361"/>
      <c r="AC507" s="361"/>
      <c r="AD507" s="362"/>
    </row>
    <row r="508" spans="1:30" x14ac:dyDescent="0.25">
      <c r="A508" s="360"/>
      <c r="B508" s="186" t="s">
        <v>4797</v>
      </c>
      <c r="C508" s="186"/>
      <c r="D508" s="210">
        <v>1370759</v>
      </c>
      <c r="E508" s="210"/>
      <c r="F508" s="210"/>
      <c r="G508" s="231" t="s">
        <v>22</v>
      </c>
      <c r="H508" s="361"/>
      <c r="I508" s="186"/>
      <c r="J508" s="361"/>
      <c r="L508" s="361"/>
      <c r="M508" s="361"/>
      <c r="N508" s="361"/>
      <c r="O508" s="361"/>
      <c r="P508" s="361"/>
      <c r="Q508" s="361"/>
      <c r="R508" s="361"/>
      <c r="S508" s="361"/>
      <c r="T508" s="361"/>
      <c r="U508" s="361"/>
      <c r="V508" s="361"/>
      <c r="W508" s="361"/>
      <c r="X508" s="361"/>
      <c r="Y508" s="361"/>
      <c r="Z508" s="361"/>
      <c r="AA508" s="361"/>
      <c r="AB508" s="361"/>
      <c r="AC508" s="361"/>
      <c r="AD508" s="362"/>
    </row>
    <row r="509" spans="1:30" x14ac:dyDescent="0.25">
      <c r="A509" s="360"/>
      <c r="B509" s="186" t="s">
        <v>4762</v>
      </c>
      <c r="C509" s="186"/>
      <c r="D509" s="210" t="s">
        <v>4798</v>
      </c>
      <c r="E509" s="210"/>
      <c r="F509" s="210"/>
      <c r="G509" s="231" t="s">
        <v>22</v>
      </c>
      <c r="H509" s="361"/>
      <c r="I509" s="186"/>
      <c r="J509" s="361"/>
      <c r="L509" s="361"/>
      <c r="M509" s="361"/>
      <c r="N509" s="361"/>
      <c r="O509" s="361"/>
      <c r="P509" s="361"/>
      <c r="Q509" s="361"/>
      <c r="R509" s="361"/>
      <c r="S509" s="361"/>
      <c r="T509" s="361"/>
      <c r="U509" s="361"/>
      <c r="V509" s="361"/>
      <c r="W509" s="361"/>
      <c r="X509" s="361"/>
      <c r="Y509" s="361"/>
      <c r="Z509" s="361"/>
      <c r="AA509" s="361"/>
      <c r="AB509" s="361"/>
      <c r="AC509" s="361"/>
      <c r="AD509" s="362"/>
    </row>
    <row r="510" spans="1:30" x14ac:dyDescent="0.25">
      <c r="A510" s="360"/>
      <c r="B510" s="186" t="s">
        <v>4799</v>
      </c>
      <c r="C510" s="186"/>
      <c r="D510" s="210">
        <v>8104053</v>
      </c>
      <c r="E510" s="210"/>
      <c r="F510" s="210"/>
      <c r="G510" s="231" t="s">
        <v>22</v>
      </c>
      <c r="H510" s="361"/>
      <c r="I510" s="186"/>
      <c r="J510" s="361"/>
      <c r="K510" s="262" t="s">
        <v>4800</v>
      </c>
      <c r="L510" s="361" t="s">
        <v>4801</v>
      </c>
      <c r="M510" s="361" t="s">
        <v>3958</v>
      </c>
      <c r="N510" s="361"/>
      <c r="O510" s="361"/>
      <c r="P510" s="361"/>
      <c r="Q510" s="361"/>
      <c r="R510" s="361"/>
      <c r="S510" s="361"/>
      <c r="T510" s="361"/>
      <c r="U510" s="361"/>
      <c r="V510" s="361"/>
      <c r="W510" s="361"/>
      <c r="X510" s="361"/>
      <c r="Y510" s="361"/>
      <c r="Z510" s="361"/>
      <c r="AA510" s="361"/>
      <c r="AB510" s="361"/>
      <c r="AC510" s="361"/>
      <c r="AD510" s="362"/>
    </row>
    <row r="511" spans="1:30" x14ac:dyDescent="0.25">
      <c r="A511" s="360"/>
      <c r="B511" s="186" t="s">
        <v>4799</v>
      </c>
      <c r="C511" s="186"/>
      <c r="D511" s="210">
        <v>8104054</v>
      </c>
      <c r="E511" s="210"/>
      <c r="F511" s="210"/>
      <c r="G511" s="231" t="s">
        <v>22</v>
      </c>
      <c r="H511" s="361"/>
      <c r="I511" s="186"/>
      <c r="J511" s="361"/>
      <c r="K511" s="262" t="s">
        <v>4800</v>
      </c>
      <c r="L511" s="361" t="s">
        <v>4801</v>
      </c>
      <c r="M511" s="361" t="s">
        <v>3958</v>
      </c>
      <c r="N511" s="361"/>
      <c r="O511" s="361"/>
      <c r="P511" s="361"/>
      <c r="Q511" s="361"/>
      <c r="R511" s="361"/>
      <c r="S511" s="361"/>
      <c r="T511" s="361"/>
      <c r="U511" s="361"/>
      <c r="V511" s="361"/>
      <c r="W511" s="361"/>
      <c r="X511" s="361"/>
      <c r="Y511" s="361"/>
      <c r="Z511" s="361"/>
      <c r="AA511" s="361"/>
      <c r="AB511" s="361"/>
      <c r="AC511" s="361"/>
      <c r="AD511" s="362"/>
    </row>
    <row r="512" spans="1:30" x14ac:dyDescent="0.25">
      <c r="A512" s="360"/>
      <c r="B512" s="186" t="s">
        <v>4802</v>
      </c>
      <c r="C512" s="186"/>
      <c r="D512" s="210" t="s">
        <v>4803</v>
      </c>
      <c r="E512" s="210"/>
      <c r="F512" s="210"/>
      <c r="G512" s="231" t="s">
        <v>22</v>
      </c>
      <c r="H512" s="361"/>
      <c r="I512" s="186"/>
      <c r="J512" s="361"/>
      <c r="L512" s="361"/>
      <c r="M512" s="361"/>
      <c r="N512" s="361"/>
      <c r="O512" s="361"/>
      <c r="P512" s="361"/>
      <c r="Q512" s="361"/>
      <c r="R512" s="361"/>
      <c r="S512" s="361"/>
      <c r="T512" s="361"/>
      <c r="U512" s="361"/>
      <c r="V512" s="361"/>
      <c r="W512" s="361"/>
      <c r="X512" s="361"/>
      <c r="Y512" s="361"/>
      <c r="Z512" s="361"/>
      <c r="AA512" s="361"/>
      <c r="AB512" s="361"/>
      <c r="AC512" s="361"/>
      <c r="AD512" s="362"/>
    </row>
    <row r="513" spans="1:30" x14ac:dyDescent="0.25">
      <c r="A513" s="360"/>
      <c r="B513" s="186" t="s">
        <v>4804</v>
      </c>
      <c r="C513" s="186"/>
      <c r="D513" s="210">
        <v>3100783</v>
      </c>
      <c r="E513" s="210"/>
      <c r="F513" s="210"/>
      <c r="G513" s="231" t="s">
        <v>22</v>
      </c>
      <c r="H513" s="361"/>
      <c r="I513" s="186"/>
      <c r="J513" s="361"/>
      <c r="L513" s="361"/>
      <c r="M513" s="361"/>
      <c r="N513" s="361"/>
      <c r="O513" s="361"/>
      <c r="P513" s="361"/>
      <c r="Q513" s="361"/>
      <c r="R513" s="361"/>
      <c r="S513" s="361"/>
      <c r="T513" s="361"/>
      <c r="U513" s="361"/>
      <c r="V513" s="361"/>
      <c r="W513" s="361"/>
      <c r="X513" s="361"/>
      <c r="Y513" s="361"/>
      <c r="Z513" s="361"/>
      <c r="AA513" s="361"/>
      <c r="AB513" s="361"/>
      <c r="AC513" s="361"/>
      <c r="AD513" s="362"/>
    </row>
    <row r="514" spans="1:30" x14ac:dyDescent="0.25">
      <c r="A514" s="360"/>
      <c r="B514" s="186" t="s">
        <v>4805</v>
      </c>
      <c r="C514" s="186"/>
      <c r="D514" s="210" t="s">
        <v>4806</v>
      </c>
      <c r="E514" s="210"/>
      <c r="F514" s="210"/>
      <c r="G514" s="231" t="s">
        <v>22</v>
      </c>
      <c r="H514" s="361"/>
      <c r="I514" s="186"/>
      <c r="J514" s="361"/>
      <c r="L514" s="361"/>
      <c r="M514" s="361"/>
      <c r="N514" s="361"/>
      <c r="O514" s="361"/>
      <c r="P514" s="361"/>
      <c r="Q514" s="361"/>
      <c r="R514" s="361"/>
      <c r="S514" s="361"/>
      <c r="T514" s="361"/>
      <c r="U514" s="361"/>
      <c r="V514" s="361"/>
      <c r="W514" s="361"/>
      <c r="X514" s="361"/>
      <c r="Y514" s="361"/>
      <c r="Z514" s="361"/>
      <c r="AA514" s="361"/>
      <c r="AB514" s="361"/>
      <c r="AC514" s="361"/>
      <c r="AD514" s="362"/>
    </row>
    <row r="515" spans="1:30" x14ac:dyDescent="0.25">
      <c r="A515" s="360"/>
      <c r="B515" s="186" t="s">
        <v>4807</v>
      </c>
      <c r="C515" s="186"/>
      <c r="D515" s="210" t="s">
        <v>4808</v>
      </c>
      <c r="E515" s="210"/>
      <c r="F515" s="210"/>
      <c r="G515" s="231" t="s">
        <v>22</v>
      </c>
      <c r="H515" s="361"/>
      <c r="I515" s="186"/>
      <c r="J515" s="361"/>
      <c r="L515" s="361"/>
      <c r="M515" s="361"/>
      <c r="N515" s="361"/>
      <c r="O515" s="361"/>
      <c r="P515" s="361"/>
      <c r="Q515" s="361"/>
      <c r="R515" s="361"/>
      <c r="S515" s="361"/>
      <c r="T515" s="361"/>
      <c r="U515" s="361"/>
      <c r="V515" s="361"/>
      <c r="W515" s="361"/>
      <c r="X515" s="361"/>
      <c r="Y515" s="361"/>
      <c r="Z515" s="361"/>
      <c r="AA515" s="361"/>
      <c r="AB515" s="361"/>
      <c r="AC515" s="361"/>
      <c r="AD515" s="362"/>
    </row>
    <row r="516" spans="1:30" x14ac:dyDescent="0.25">
      <c r="A516" s="360"/>
      <c r="B516" s="190" t="s">
        <v>4194</v>
      </c>
      <c r="C516" s="190"/>
      <c r="D516" s="210">
        <v>3100784</v>
      </c>
      <c r="E516" s="210"/>
      <c r="F516" s="210"/>
      <c r="G516" s="231" t="s">
        <v>22</v>
      </c>
      <c r="H516" s="361"/>
      <c r="J516" s="361"/>
      <c r="K516" s="262" t="s">
        <v>4197</v>
      </c>
      <c r="L516" s="263">
        <v>38209</v>
      </c>
      <c r="M516" s="263">
        <v>41861</v>
      </c>
      <c r="N516" s="361"/>
      <c r="O516" s="361"/>
      <c r="P516" s="361"/>
      <c r="Q516" s="361"/>
      <c r="R516" s="361"/>
      <c r="S516" s="361"/>
      <c r="T516" s="361"/>
      <c r="U516" s="361"/>
      <c r="V516" s="361"/>
      <c r="W516" s="361"/>
      <c r="X516" s="361"/>
      <c r="Y516" s="361"/>
      <c r="Z516" s="361"/>
      <c r="AA516" s="361"/>
      <c r="AB516" s="361"/>
      <c r="AC516" s="361"/>
      <c r="AD516" s="362"/>
    </row>
    <row r="517" spans="1:30" x14ac:dyDescent="0.25">
      <c r="A517" s="360"/>
      <c r="B517" s="190" t="s">
        <v>4194</v>
      </c>
      <c r="C517" s="190"/>
      <c r="D517" s="210" t="s">
        <v>4809</v>
      </c>
      <c r="E517" s="210"/>
      <c r="F517" s="210"/>
      <c r="G517" s="231" t="s">
        <v>22</v>
      </c>
      <c r="H517" s="361"/>
      <c r="J517" s="361"/>
      <c r="K517" s="262" t="s">
        <v>4197</v>
      </c>
      <c r="L517" s="263">
        <v>38209</v>
      </c>
      <c r="M517" s="263">
        <v>41861</v>
      </c>
      <c r="N517" s="361"/>
      <c r="O517" s="361"/>
      <c r="P517" s="361"/>
      <c r="Q517" s="361"/>
      <c r="R517" s="361"/>
      <c r="S517" s="361"/>
      <c r="T517" s="361"/>
      <c r="U517" s="361"/>
      <c r="V517" s="361"/>
      <c r="W517" s="361"/>
      <c r="X517" s="361"/>
      <c r="Y517" s="361"/>
      <c r="Z517" s="361"/>
      <c r="AA517" s="361"/>
      <c r="AB517" s="361"/>
      <c r="AC517" s="361"/>
      <c r="AD517" s="362"/>
    </row>
    <row r="518" spans="1:30" x14ac:dyDescent="0.25">
      <c r="A518" s="360"/>
      <c r="B518" s="186" t="s">
        <v>4810</v>
      </c>
      <c r="C518" s="186"/>
      <c r="D518" s="210" t="s">
        <v>4811</v>
      </c>
      <c r="E518" s="210"/>
      <c r="F518" s="210"/>
      <c r="G518" s="231" t="s">
        <v>22</v>
      </c>
      <c r="H518" s="361"/>
      <c r="I518" s="186"/>
      <c r="J518" s="361"/>
      <c r="L518" s="361"/>
      <c r="M518" s="361"/>
      <c r="N518" s="361"/>
      <c r="O518" s="361"/>
      <c r="P518" s="361"/>
      <c r="Q518" s="361"/>
      <c r="R518" s="361"/>
      <c r="S518" s="361"/>
      <c r="T518" s="361"/>
      <c r="U518" s="361"/>
      <c r="V518" s="361"/>
      <c r="W518" s="361"/>
      <c r="X518" s="361"/>
      <c r="Y518" s="361"/>
      <c r="Z518" s="361"/>
      <c r="AA518" s="361"/>
      <c r="AB518" s="361"/>
      <c r="AC518" s="361"/>
      <c r="AD518" s="362"/>
    </row>
    <row r="519" spans="1:30" x14ac:dyDescent="0.25">
      <c r="A519" s="360"/>
      <c r="B519" s="186" t="s">
        <v>4812</v>
      </c>
      <c r="C519" s="186"/>
      <c r="D519" s="210" t="s">
        <v>4813</v>
      </c>
      <c r="E519" s="210"/>
      <c r="F519" s="210"/>
      <c r="G519" s="231" t="s">
        <v>22</v>
      </c>
      <c r="H519" s="361"/>
      <c r="I519" s="186"/>
      <c r="J519" s="361"/>
      <c r="L519" s="361"/>
      <c r="M519" s="361"/>
      <c r="N519" s="361"/>
      <c r="O519" s="361"/>
      <c r="P519" s="361"/>
      <c r="Q519" s="361"/>
      <c r="R519" s="361"/>
      <c r="S519" s="361"/>
      <c r="T519" s="361"/>
      <c r="U519" s="361"/>
      <c r="V519" s="361"/>
      <c r="W519" s="361"/>
      <c r="X519" s="361"/>
      <c r="Y519" s="361"/>
      <c r="Z519" s="361"/>
      <c r="AA519" s="361"/>
      <c r="AB519" s="361"/>
      <c r="AC519" s="361"/>
      <c r="AD519" s="362"/>
    </row>
    <row r="520" spans="1:30" x14ac:dyDescent="0.25">
      <c r="A520" s="190">
        <v>366</v>
      </c>
      <c r="B520" s="190" t="s">
        <v>4173</v>
      </c>
      <c r="C520" s="190">
        <v>1</v>
      </c>
      <c r="D520" s="210" t="s">
        <v>3300</v>
      </c>
      <c r="E520" s="209" t="s">
        <v>3299</v>
      </c>
      <c r="F520" s="209"/>
      <c r="G520" s="231" t="s">
        <v>4814</v>
      </c>
      <c r="H520" s="231" t="s">
        <v>4551</v>
      </c>
      <c r="K520" s="262" t="s">
        <v>4176</v>
      </c>
      <c r="L520" s="310">
        <v>38128</v>
      </c>
      <c r="M520" s="263">
        <v>41780</v>
      </c>
      <c r="N520" s="190">
        <v>2005</v>
      </c>
      <c r="Q520" s="244">
        <v>12</v>
      </c>
      <c r="R520" s="245">
        <v>41556</v>
      </c>
      <c r="S520" s="311" t="s">
        <v>4177</v>
      </c>
      <c r="T520" s="245">
        <v>41921</v>
      </c>
      <c r="U520" s="231" t="s">
        <v>4178</v>
      </c>
      <c r="Z520" s="231">
        <v>1</v>
      </c>
      <c r="AA520" s="231" t="s">
        <v>4179</v>
      </c>
      <c r="AB520" s="231"/>
      <c r="AC520" s="231"/>
      <c r="AD520" s="369"/>
    </row>
    <row r="521" spans="1:30" x14ac:dyDescent="0.25">
      <c r="A521" s="190">
        <v>368</v>
      </c>
      <c r="B521" s="190" t="s">
        <v>4815</v>
      </c>
      <c r="C521" s="190"/>
      <c r="D521" s="209" t="s">
        <v>4816</v>
      </c>
      <c r="E521" s="209" t="s">
        <v>4817</v>
      </c>
      <c r="F521" s="209"/>
      <c r="G521" s="231" t="s">
        <v>4814</v>
      </c>
      <c r="H521" s="231" t="s">
        <v>4818</v>
      </c>
      <c r="K521" s="262" t="s">
        <v>4630</v>
      </c>
      <c r="L521" s="263">
        <v>39623</v>
      </c>
      <c r="M521" s="231" t="s">
        <v>3958</v>
      </c>
      <c r="N521" s="242">
        <v>2007</v>
      </c>
      <c r="Q521" s="244">
        <v>12</v>
      </c>
      <c r="R521" s="245">
        <v>42248</v>
      </c>
      <c r="S521" s="311" t="s">
        <v>4177</v>
      </c>
      <c r="T521" s="245">
        <v>41187</v>
      </c>
      <c r="U521" s="231" t="s">
        <v>4179</v>
      </c>
      <c r="Z521" s="231">
        <v>1</v>
      </c>
      <c r="AA521" s="231" t="s">
        <v>4179</v>
      </c>
      <c r="AB521" s="231"/>
      <c r="AC521" s="231"/>
      <c r="AD521" s="231"/>
    </row>
    <row r="522" spans="1:30" x14ac:dyDescent="0.25">
      <c r="A522" s="190">
        <v>370</v>
      </c>
      <c r="B522" s="190" t="s">
        <v>4181</v>
      </c>
      <c r="C522" s="190"/>
      <c r="E522" s="209" t="s">
        <v>4819</v>
      </c>
      <c r="F522" s="209"/>
      <c r="G522" s="231" t="s">
        <v>4814</v>
      </c>
      <c r="H522" s="231" t="s">
        <v>4183</v>
      </c>
      <c r="L522" s="231"/>
      <c r="M522" s="231"/>
      <c r="N522" s="242"/>
      <c r="Q522" s="244">
        <v>12</v>
      </c>
      <c r="R522" s="245">
        <v>42248</v>
      </c>
      <c r="S522" s="311" t="s">
        <v>4177</v>
      </c>
      <c r="T522" s="245">
        <v>41187</v>
      </c>
      <c r="U522" s="231" t="s">
        <v>4179</v>
      </c>
      <c r="Z522" s="231">
        <v>1</v>
      </c>
      <c r="AA522" s="231" t="s">
        <v>4179</v>
      </c>
      <c r="AB522" s="231"/>
      <c r="AC522" s="231"/>
      <c r="AD522" s="231"/>
    </row>
    <row r="523" spans="1:30" x14ac:dyDescent="0.25">
      <c r="A523" s="190"/>
      <c r="B523" s="190" t="s">
        <v>4184</v>
      </c>
      <c r="C523" s="190"/>
      <c r="E523" s="209"/>
      <c r="F523" s="209"/>
      <c r="G523" s="231" t="s">
        <v>4814</v>
      </c>
      <c r="H523" s="231" t="s">
        <v>4458</v>
      </c>
      <c r="L523" s="231"/>
      <c r="M523" s="231"/>
      <c r="N523" s="242"/>
      <c r="Q523" s="244">
        <v>12</v>
      </c>
      <c r="R523" s="245">
        <v>42248</v>
      </c>
      <c r="T523" s="245"/>
      <c r="AB523" s="231"/>
      <c r="AC523" s="231"/>
      <c r="AD523" s="231"/>
    </row>
    <row r="524" spans="1:30" x14ac:dyDescent="0.25">
      <c r="A524" s="190">
        <v>371</v>
      </c>
      <c r="B524" s="190" t="s">
        <v>4820</v>
      </c>
      <c r="C524" s="190"/>
      <c r="E524" s="209"/>
      <c r="F524" s="209"/>
      <c r="G524" s="231" t="s">
        <v>4814</v>
      </c>
      <c r="H524" s="231"/>
      <c r="L524" s="231"/>
      <c r="M524" s="231"/>
      <c r="N524" s="242"/>
      <c r="Q524" s="244"/>
      <c r="R524" s="245"/>
      <c r="T524" s="245"/>
      <c r="AB524" s="231"/>
      <c r="AC524" s="231"/>
      <c r="AD524" s="231"/>
    </row>
    <row r="525" spans="1:30" x14ac:dyDescent="0.25">
      <c r="A525" s="309">
        <v>372</v>
      </c>
      <c r="B525" s="211" t="s">
        <v>4199</v>
      </c>
      <c r="E525" s="209"/>
      <c r="F525" s="209"/>
      <c r="G525" s="231" t="s">
        <v>4814</v>
      </c>
      <c r="H525" s="231"/>
      <c r="I525" s="211"/>
      <c r="K525" s="262" t="s">
        <v>4201</v>
      </c>
      <c r="L525" s="231" t="s">
        <v>4202</v>
      </c>
      <c r="M525" s="231" t="s">
        <v>3958</v>
      </c>
      <c r="N525" s="242"/>
      <c r="Q525" s="244">
        <v>12</v>
      </c>
      <c r="R525" s="245">
        <v>40701</v>
      </c>
      <c r="S525" s="311" t="s">
        <v>4192</v>
      </c>
      <c r="T525" s="245">
        <v>41067</v>
      </c>
      <c r="U525" s="231" t="s">
        <v>4193</v>
      </c>
      <c r="Z525" s="231">
        <v>1</v>
      </c>
      <c r="AA525" s="231" t="s">
        <v>4179</v>
      </c>
      <c r="AB525" s="231"/>
      <c r="AC525" s="231"/>
      <c r="AD525" s="231"/>
    </row>
    <row r="526" spans="1:30" x14ac:dyDescent="0.25">
      <c r="A526" s="190">
        <v>373</v>
      </c>
      <c r="B526" s="211" t="s">
        <v>4199</v>
      </c>
      <c r="E526" s="209"/>
      <c r="F526" s="209"/>
      <c r="G526" s="231" t="s">
        <v>4814</v>
      </c>
      <c r="H526" s="231"/>
      <c r="I526" s="211"/>
      <c r="K526" s="262" t="s">
        <v>4201</v>
      </c>
      <c r="L526" s="231" t="s">
        <v>4202</v>
      </c>
      <c r="M526" s="231" t="s">
        <v>3958</v>
      </c>
      <c r="N526" s="242"/>
      <c r="Q526" s="244"/>
      <c r="R526" s="245"/>
      <c r="T526" s="245"/>
      <c r="AB526" s="231"/>
      <c r="AC526" s="231"/>
      <c r="AD526" s="231"/>
    </row>
    <row r="527" spans="1:30" x14ac:dyDescent="0.25">
      <c r="A527" s="190">
        <v>374</v>
      </c>
      <c r="B527" s="211" t="s">
        <v>4199</v>
      </c>
      <c r="E527" s="209"/>
      <c r="F527" s="209"/>
      <c r="G527" s="231" t="s">
        <v>4814</v>
      </c>
      <c r="H527" s="231"/>
      <c r="I527" s="211"/>
      <c r="K527" s="262" t="s">
        <v>4201</v>
      </c>
      <c r="L527" s="231" t="s">
        <v>4202</v>
      </c>
      <c r="M527" s="231" t="s">
        <v>3958</v>
      </c>
      <c r="N527" s="242"/>
      <c r="Q527" s="244"/>
      <c r="R527" s="245"/>
      <c r="T527" s="245"/>
      <c r="AB527" s="231"/>
      <c r="AC527" s="231"/>
      <c r="AD527" s="231"/>
    </row>
    <row r="528" spans="1:30" x14ac:dyDescent="0.25">
      <c r="A528" s="190">
        <v>375</v>
      </c>
      <c r="B528" s="211" t="s">
        <v>4199</v>
      </c>
      <c r="E528" s="209"/>
      <c r="F528" s="209"/>
      <c r="G528" s="231" t="s">
        <v>4814</v>
      </c>
      <c r="H528" s="231"/>
      <c r="I528" s="211"/>
      <c r="K528" s="262" t="s">
        <v>4201</v>
      </c>
      <c r="L528" s="231" t="s">
        <v>4202</v>
      </c>
      <c r="M528" s="231" t="s">
        <v>3958</v>
      </c>
      <c r="N528" s="242"/>
      <c r="Q528" s="244"/>
      <c r="R528" s="245"/>
      <c r="T528" s="245"/>
      <c r="AB528" s="231"/>
      <c r="AC528" s="231"/>
      <c r="AD528" s="231"/>
    </row>
    <row r="529" spans="1:30" x14ac:dyDescent="0.25">
      <c r="A529" s="190">
        <v>376</v>
      </c>
      <c r="B529" s="211" t="s">
        <v>4199</v>
      </c>
      <c r="E529" s="209"/>
      <c r="F529" s="209"/>
      <c r="G529" s="231" t="s">
        <v>4814</v>
      </c>
      <c r="H529" s="231"/>
      <c r="I529" s="211"/>
      <c r="K529" s="262" t="s">
        <v>4201</v>
      </c>
      <c r="L529" s="231" t="s">
        <v>4202</v>
      </c>
      <c r="M529" s="231" t="s">
        <v>3958</v>
      </c>
      <c r="N529" s="242"/>
      <c r="Q529" s="244"/>
      <c r="R529" s="245"/>
      <c r="T529" s="245"/>
      <c r="AB529" s="231"/>
      <c r="AC529" s="231"/>
      <c r="AD529" s="231"/>
    </row>
    <row r="530" spans="1:30" x14ac:dyDescent="0.25">
      <c r="A530" s="190">
        <v>377</v>
      </c>
      <c r="B530" s="211" t="s">
        <v>4199</v>
      </c>
      <c r="E530" s="209"/>
      <c r="F530" s="209"/>
      <c r="G530" s="231" t="s">
        <v>4814</v>
      </c>
      <c r="H530" s="231"/>
      <c r="I530" s="211"/>
      <c r="K530" s="262" t="s">
        <v>4201</v>
      </c>
      <c r="L530" s="231" t="s">
        <v>4202</v>
      </c>
      <c r="M530" s="231" t="s">
        <v>3958</v>
      </c>
      <c r="N530" s="242"/>
      <c r="Q530" s="244"/>
      <c r="R530" s="245"/>
      <c r="T530" s="245"/>
      <c r="AB530" s="231"/>
      <c r="AC530" s="231"/>
      <c r="AD530" s="231"/>
    </row>
    <row r="531" spans="1:30" x14ac:dyDescent="0.25">
      <c r="A531" s="190">
        <v>378</v>
      </c>
      <c r="B531" s="211" t="s">
        <v>4199</v>
      </c>
      <c r="E531" s="209"/>
      <c r="F531" s="209"/>
      <c r="G531" s="231" t="s">
        <v>4814</v>
      </c>
      <c r="H531" s="231"/>
      <c r="I531" s="211"/>
      <c r="K531" s="262" t="s">
        <v>4201</v>
      </c>
      <c r="L531" s="231" t="s">
        <v>4202</v>
      </c>
      <c r="M531" s="231" t="s">
        <v>3958</v>
      </c>
      <c r="N531" s="242"/>
      <c r="Q531" s="244"/>
      <c r="R531" s="245"/>
      <c r="T531" s="245"/>
      <c r="AB531" s="231"/>
      <c r="AC531" s="231"/>
      <c r="AD531" s="231"/>
    </row>
    <row r="532" spans="1:30" x14ac:dyDescent="0.25">
      <c r="A532" s="309">
        <v>379</v>
      </c>
      <c r="B532" s="190" t="s">
        <v>4821</v>
      </c>
      <c r="C532" s="190"/>
      <c r="E532" s="209"/>
      <c r="F532" s="209"/>
      <c r="G532" s="231" t="s">
        <v>4814</v>
      </c>
      <c r="H532" s="231"/>
      <c r="L532" s="231"/>
      <c r="M532" s="231"/>
      <c r="N532" s="242"/>
      <c r="Q532" s="244"/>
      <c r="R532" s="245"/>
      <c r="T532" s="245"/>
      <c r="AB532" s="231"/>
      <c r="AC532" s="231"/>
      <c r="AD532" s="231"/>
    </row>
    <row r="533" spans="1:30" x14ac:dyDescent="0.25">
      <c r="A533" s="190">
        <v>380</v>
      </c>
      <c r="B533" s="190" t="s">
        <v>4821</v>
      </c>
      <c r="C533" s="190"/>
      <c r="E533" s="209"/>
      <c r="F533" s="209"/>
      <c r="G533" s="231" t="s">
        <v>4814</v>
      </c>
      <c r="H533" s="231"/>
      <c r="L533" s="231"/>
      <c r="M533" s="231"/>
      <c r="N533" s="242"/>
      <c r="Q533" s="244"/>
      <c r="R533" s="245"/>
      <c r="T533" s="245"/>
      <c r="AB533" s="231"/>
      <c r="AC533" s="231"/>
      <c r="AD533" s="231"/>
    </row>
    <row r="534" spans="1:30" x14ac:dyDescent="0.25">
      <c r="A534" s="190">
        <v>381</v>
      </c>
      <c r="B534" s="190" t="s">
        <v>4821</v>
      </c>
      <c r="C534" s="190"/>
      <c r="E534" s="209"/>
      <c r="F534" s="209"/>
      <c r="G534" s="231" t="s">
        <v>4814</v>
      </c>
      <c r="H534" s="231"/>
      <c r="L534" s="231"/>
      <c r="M534" s="231"/>
      <c r="N534" s="242"/>
      <c r="Q534" s="244"/>
      <c r="R534" s="245"/>
      <c r="T534" s="245"/>
      <c r="AB534" s="231"/>
      <c r="AC534" s="231"/>
      <c r="AD534" s="231"/>
    </row>
    <row r="535" spans="1:30" x14ac:dyDescent="0.25">
      <c r="A535" s="190">
        <v>382</v>
      </c>
      <c r="B535" s="190" t="s">
        <v>4821</v>
      </c>
      <c r="C535" s="190"/>
      <c r="E535" s="209"/>
      <c r="F535" s="209"/>
      <c r="G535" s="231" t="s">
        <v>4814</v>
      </c>
      <c r="H535" s="231"/>
      <c r="L535" s="231"/>
      <c r="M535" s="231"/>
      <c r="N535" s="242"/>
      <c r="Q535" s="244"/>
      <c r="R535" s="245"/>
      <c r="T535" s="245"/>
      <c r="AB535" s="231"/>
      <c r="AC535" s="231"/>
      <c r="AD535" s="231"/>
    </row>
    <row r="536" spans="1:30" x14ac:dyDescent="0.25">
      <c r="A536" s="190">
        <v>383</v>
      </c>
      <c r="B536" s="190" t="s">
        <v>4821</v>
      </c>
      <c r="C536" s="190"/>
      <c r="E536" s="209"/>
      <c r="F536" s="209"/>
      <c r="G536" s="231" t="s">
        <v>4814</v>
      </c>
      <c r="H536" s="231"/>
      <c r="L536" s="231"/>
      <c r="M536" s="231"/>
      <c r="N536" s="242"/>
      <c r="Q536" s="244"/>
      <c r="R536" s="245"/>
      <c r="T536" s="245"/>
      <c r="AB536" s="231"/>
      <c r="AC536" s="231"/>
      <c r="AD536" s="231"/>
    </row>
    <row r="537" spans="1:30" x14ac:dyDescent="0.25">
      <c r="A537" s="190">
        <v>384</v>
      </c>
      <c r="B537" s="190" t="s">
        <v>4821</v>
      </c>
      <c r="C537" s="190"/>
      <c r="E537" s="209"/>
      <c r="F537" s="209"/>
      <c r="G537" s="231" t="s">
        <v>4814</v>
      </c>
      <c r="H537" s="231"/>
      <c r="L537" s="231"/>
      <c r="M537" s="231"/>
      <c r="N537" s="242"/>
      <c r="Q537" s="244"/>
      <c r="R537" s="245"/>
      <c r="T537" s="245"/>
      <c r="AB537" s="231"/>
      <c r="AC537" s="231"/>
      <c r="AD537" s="231"/>
    </row>
    <row r="538" spans="1:30" x14ac:dyDescent="0.25">
      <c r="A538" s="190">
        <v>385</v>
      </c>
      <c r="B538" s="190" t="s">
        <v>4821</v>
      </c>
      <c r="C538" s="190"/>
      <c r="E538" s="209"/>
      <c r="F538" s="209"/>
      <c r="G538" s="231" t="s">
        <v>4814</v>
      </c>
      <c r="H538" s="231"/>
      <c r="L538" s="231"/>
      <c r="M538" s="231"/>
      <c r="N538" s="242"/>
      <c r="Q538" s="244"/>
      <c r="R538" s="245"/>
      <c r="T538" s="245"/>
      <c r="AB538" s="231"/>
      <c r="AC538" s="231"/>
      <c r="AD538" s="231"/>
    </row>
    <row r="539" spans="1:30" x14ac:dyDescent="0.25">
      <c r="A539" s="309">
        <v>386</v>
      </c>
      <c r="B539" s="190" t="s">
        <v>4821</v>
      </c>
      <c r="C539" s="190"/>
      <c r="E539" s="209"/>
      <c r="F539" s="209"/>
      <c r="G539" s="231" t="s">
        <v>4814</v>
      </c>
      <c r="H539" s="231"/>
      <c r="L539" s="231"/>
      <c r="M539" s="231"/>
      <c r="N539" s="242"/>
      <c r="Q539" s="244"/>
      <c r="R539" s="245"/>
      <c r="T539" s="245"/>
      <c r="AB539" s="231"/>
      <c r="AC539" s="231"/>
      <c r="AD539" s="231"/>
    </row>
    <row r="540" spans="1:30" x14ac:dyDescent="0.25">
      <c r="A540" s="190">
        <v>387</v>
      </c>
      <c r="B540" s="190" t="s">
        <v>4821</v>
      </c>
      <c r="C540" s="190"/>
      <c r="E540" s="209"/>
      <c r="F540" s="209"/>
      <c r="G540" s="231" t="s">
        <v>4814</v>
      </c>
      <c r="H540" s="231"/>
      <c r="L540" s="231"/>
      <c r="M540" s="231"/>
      <c r="N540" s="242"/>
      <c r="Q540" s="244"/>
      <c r="R540" s="245"/>
      <c r="T540" s="245"/>
      <c r="AB540" s="231"/>
      <c r="AC540" s="231"/>
      <c r="AD540" s="231"/>
    </row>
    <row r="541" spans="1:30" x14ac:dyDescent="0.25">
      <c r="A541" s="190">
        <v>388</v>
      </c>
      <c r="B541" s="190" t="s">
        <v>4821</v>
      </c>
      <c r="C541" s="190"/>
      <c r="E541" s="209"/>
      <c r="F541" s="209"/>
      <c r="G541" s="231" t="s">
        <v>4814</v>
      </c>
      <c r="H541" s="231"/>
      <c r="L541" s="231"/>
      <c r="M541" s="231"/>
      <c r="N541" s="242"/>
      <c r="Q541" s="244"/>
      <c r="R541" s="245"/>
      <c r="T541" s="245"/>
      <c r="AB541" s="231"/>
      <c r="AC541" s="231"/>
      <c r="AD541" s="231"/>
    </row>
    <row r="542" spans="1:30" x14ac:dyDescent="0.25">
      <c r="A542" s="190">
        <v>389</v>
      </c>
      <c r="B542" s="190" t="s">
        <v>4552</v>
      </c>
      <c r="C542" s="190">
        <v>1</v>
      </c>
      <c r="D542" s="209" t="s">
        <v>3263</v>
      </c>
      <c r="E542" s="209" t="s">
        <v>3261</v>
      </c>
      <c r="F542" s="209"/>
      <c r="G542" s="231" t="s">
        <v>4814</v>
      </c>
      <c r="H542" s="231" t="s">
        <v>4551</v>
      </c>
      <c r="L542" s="231"/>
      <c r="M542" s="231"/>
      <c r="N542" s="242">
        <v>1999</v>
      </c>
      <c r="Q542" s="244">
        <v>12</v>
      </c>
      <c r="R542" s="245">
        <v>40799</v>
      </c>
      <c r="S542" s="311" t="s">
        <v>4189</v>
      </c>
      <c r="T542" s="245">
        <v>41165</v>
      </c>
      <c r="U542" s="231" t="s">
        <v>4178</v>
      </c>
      <c r="Z542" s="231">
        <v>1</v>
      </c>
      <c r="AA542" s="231" t="s">
        <v>4179</v>
      </c>
      <c r="AB542" s="231"/>
      <c r="AC542" s="231"/>
      <c r="AD542" s="231"/>
    </row>
    <row r="543" spans="1:30" x14ac:dyDescent="0.25">
      <c r="A543" s="190">
        <v>390</v>
      </c>
      <c r="B543" s="190" t="s">
        <v>4553</v>
      </c>
      <c r="C543" s="190">
        <v>1</v>
      </c>
      <c r="D543" s="209" t="s">
        <v>4822</v>
      </c>
      <c r="E543" s="209" t="s">
        <v>3266</v>
      </c>
      <c r="F543" s="209"/>
      <c r="G543" s="231" t="s">
        <v>4814</v>
      </c>
      <c r="H543" s="231" t="s">
        <v>4551</v>
      </c>
      <c r="L543" s="231"/>
      <c r="M543" s="231"/>
      <c r="N543" s="242">
        <v>2000</v>
      </c>
      <c r="Q543" s="244">
        <v>12</v>
      </c>
      <c r="R543" s="245">
        <v>40799</v>
      </c>
      <c r="S543" s="311" t="s">
        <v>4189</v>
      </c>
      <c r="T543" s="245">
        <v>41165</v>
      </c>
      <c r="U543" s="231" t="s">
        <v>4178</v>
      </c>
      <c r="Z543" s="231">
        <v>1</v>
      </c>
      <c r="AA543" s="231" t="s">
        <v>4179</v>
      </c>
      <c r="AB543" s="231"/>
      <c r="AC543" s="231"/>
      <c r="AD543" s="231"/>
    </row>
    <row r="544" spans="1:30" x14ac:dyDescent="0.25">
      <c r="A544" s="190">
        <v>391</v>
      </c>
      <c r="B544" s="190" t="s">
        <v>4554</v>
      </c>
      <c r="C544" s="190">
        <v>1</v>
      </c>
      <c r="D544" s="209" t="s">
        <v>4823</v>
      </c>
      <c r="E544" s="209" t="s">
        <v>3269</v>
      </c>
      <c r="F544" s="209"/>
      <c r="G544" s="231" t="s">
        <v>4814</v>
      </c>
      <c r="H544" s="231" t="s">
        <v>4551</v>
      </c>
      <c r="L544" s="231"/>
      <c r="M544" s="231"/>
      <c r="N544" s="242">
        <v>2000</v>
      </c>
      <c r="Q544" s="244">
        <v>12</v>
      </c>
      <c r="R544" s="245">
        <v>40799</v>
      </c>
      <c r="S544" s="311" t="s">
        <v>4189</v>
      </c>
      <c r="T544" s="245">
        <v>41165</v>
      </c>
      <c r="U544" s="231" t="s">
        <v>4178</v>
      </c>
      <c r="Z544" s="231">
        <v>1</v>
      </c>
      <c r="AA544" s="231" t="s">
        <v>4179</v>
      </c>
      <c r="AB544" s="231"/>
      <c r="AC544" s="231"/>
      <c r="AD544" s="231"/>
    </row>
    <row r="545" spans="1:30" x14ac:dyDescent="0.25">
      <c r="A545" s="190">
        <v>392</v>
      </c>
      <c r="B545" s="190" t="s">
        <v>4555</v>
      </c>
      <c r="C545" s="190">
        <v>1</v>
      </c>
      <c r="D545" s="209" t="s">
        <v>3277</v>
      </c>
      <c r="E545" s="209" t="s">
        <v>4824</v>
      </c>
      <c r="F545" s="209"/>
      <c r="G545" s="231" t="s">
        <v>4814</v>
      </c>
      <c r="H545" s="231" t="s">
        <v>4551</v>
      </c>
      <c r="L545" s="231"/>
      <c r="M545" s="231"/>
      <c r="N545" s="242">
        <v>2000</v>
      </c>
      <c r="Q545" s="244">
        <v>12</v>
      </c>
      <c r="R545" s="245">
        <v>40799</v>
      </c>
      <c r="S545" s="311" t="s">
        <v>4189</v>
      </c>
      <c r="T545" s="245">
        <v>41165</v>
      </c>
      <c r="U545" s="231" t="s">
        <v>4178</v>
      </c>
      <c r="Z545" s="231">
        <v>1</v>
      </c>
      <c r="AA545" s="231" t="s">
        <v>4179</v>
      </c>
      <c r="AB545" s="231"/>
      <c r="AC545" s="231"/>
      <c r="AD545" s="231"/>
    </row>
    <row r="546" spans="1:30" x14ac:dyDescent="0.25">
      <c r="A546" s="309">
        <v>393</v>
      </c>
      <c r="B546" s="190" t="s">
        <v>4825</v>
      </c>
      <c r="C546" s="190">
        <v>1</v>
      </c>
      <c r="D546" s="209" t="s">
        <v>4826</v>
      </c>
      <c r="E546" s="209" t="s">
        <v>4827</v>
      </c>
      <c r="F546" s="209"/>
      <c r="G546" s="231" t="s">
        <v>4814</v>
      </c>
      <c r="H546" s="231" t="s">
        <v>4551</v>
      </c>
      <c r="L546" s="231"/>
      <c r="M546" s="231"/>
      <c r="N546" s="242">
        <v>2000</v>
      </c>
      <c r="Q546" s="244">
        <v>12</v>
      </c>
      <c r="R546" s="245">
        <v>40799</v>
      </c>
      <c r="S546" s="311" t="s">
        <v>4189</v>
      </c>
      <c r="T546" s="245">
        <v>41165</v>
      </c>
      <c r="U546" s="231" t="s">
        <v>4178</v>
      </c>
      <c r="Z546" s="231">
        <v>1</v>
      </c>
      <c r="AA546" s="231" t="s">
        <v>4179</v>
      </c>
      <c r="AB546" s="231"/>
      <c r="AC546" s="231"/>
      <c r="AD546" s="231"/>
    </row>
    <row r="547" spans="1:30" x14ac:dyDescent="0.25">
      <c r="A547" s="190">
        <v>394</v>
      </c>
      <c r="B547" s="190" t="s">
        <v>4559</v>
      </c>
      <c r="C547" s="190">
        <v>1</v>
      </c>
      <c r="D547" s="209" t="s">
        <v>4828</v>
      </c>
      <c r="E547" s="209" t="s">
        <v>4829</v>
      </c>
      <c r="F547" s="209"/>
      <c r="G547" s="231" t="s">
        <v>4814</v>
      </c>
      <c r="H547" s="231" t="s">
        <v>4551</v>
      </c>
      <c r="L547" s="231"/>
      <c r="M547" s="231"/>
      <c r="N547" s="242">
        <v>2009</v>
      </c>
      <c r="Q547" s="244">
        <v>12</v>
      </c>
      <c r="R547" s="245">
        <v>40799</v>
      </c>
      <c r="S547" s="311" t="s">
        <v>4560</v>
      </c>
      <c r="T547" s="245">
        <v>41165</v>
      </c>
      <c r="U547" s="231" t="s">
        <v>4178</v>
      </c>
      <c r="Z547" s="231">
        <v>1</v>
      </c>
      <c r="AA547" s="231" t="s">
        <v>4179</v>
      </c>
      <c r="AB547" s="231"/>
      <c r="AC547" s="231"/>
      <c r="AD547" s="231"/>
    </row>
    <row r="548" spans="1:30" x14ac:dyDescent="0.25">
      <c r="A548" s="190">
        <v>395</v>
      </c>
      <c r="B548" s="190" t="s">
        <v>4562</v>
      </c>
      <c r="C548" s="190">
        <v>1</v>
      </c>
      <c r="D548" s="209" t="s">
        <v>4830</v>
      </c>
      <c r="E548" s="209" t="s">
        <v>4831</v>
      </c>
      <c r="F548" s="209"/>
      <c r="G548" s="231" t="s">
        <v>4814</v>
      </c>
      <c r="H548" s="231" t="s">
        <v>4551</v>
      </c>
      <c r="L548" s="231"/>
      <c r="M548" s="231"/>
      <c r="N548" s="242">
        <v>2000</v>
      </c>
      <c r="Q548" s="244">
        <v>12</v>
      </c>
      <c r="R548" s="245">
        <v>40799</v>
      </c>
      <c r="S548" s="311" t="s">
        <v>4189</v>
      </c>
      <c r="T548" s="245">
        <v>41165</v>
      </c>
      <c r="U548" s="231" t="s">
        <v>4178</v>
      </c>
      <c r="Z548" s="231">
        <v>1</v>
      </c>
      <c r="AA548" s="231" t="s">
        <v>4179</v>
      </c>
      <c r="AB548" s="231"/>
      <c r="AC548" s="231"/>
      <c r="AD548" s="231"/>
    </row>
    <row r="549" spans="1:30" x14ac:dyDescent="0.25">
      <c r="A549" s="190">
        <v>396</v>
      </c>
      <c r="B549" s="370" t="s">
        <v>4832</v>
      </c>
      <c r="C549" s="370">
        <v>1</v>
      </c>
      <c r="D549" s="210" t="s">
        <v>4833</v>
      </c>
      <c r="E549" s="209" t="s">
        <v>4834</v>
      </c>
      <c r="F549" s="209"/>
      <c r="G549" s="231" t="s">
        <v>4814</v>
      </c>
      <c r="H549" s="231" t="s">
        <v>4551</v>
      </c>
      <c r="I549" s="370"/>
      <c r="L549" s="231"/>
      <c r="M549" s="231"/>
      <c r="N549" s="242"/>
      <c r="Q549" s="244"/>
      <c r="R549" s="245"/>
      <c r="T549" s="245"/>
      <c r="AB549" s="231"/>
      <c r="AC549" s="231"/>
      <c r="AD549" s="231"/>
    </row>
    <row r="550" spans="1:30" x14ac:dyDescent="0.25">
      <c r="A550" s="190">
        <v>397</v>
      </c>
      <c r="B550" s="186" t="s">
        <v>4835</v>
      </c>
      <c r="C550" s="186">
        <v>1</v>
      </c>
      <c r="D550" s="210" t="s">
        <v>4836</v>
      </c>
      <c r="E550" s="209" t="s">
        <v>4837</v>
      </c>
      <c r="F550" s="209"/>
      <c r="G550" s="231" t="s">
        <v>4814</v>
      </c>
      <c r="H550" s="231" t="s">
        <v>4551</v>
      </c>
      <c r="I550" s="186"/>
      <c r="L550" s="231"/>
      <c r="M550" s="231"/>
      <c r="N550" s="242"/>
      <c r="Q550" s="244"/>
      <c r="R550" s="245"/>
      <c r="T550" s="245"/>
      <c r="AB550" s="231"/>
      <c r="AC550" s="231"/>
      <c r="AD550" s="231"/>
    </row>
    <row r="551" spans="1:30" x14ac:dyDescent="0.25">
      <c r="A551" s="190">
        <v>398</v>
      </c>
      <c r="B551" s="186" t="s">
        <v>4838</v>
      </c>
      <c r="C551" s="186">
        <v>1</v>
      </c>
      <c r="D551" s="210" t="s">
        <v>4839</v>
      </c>
      <c r="E551" s="209" t="s">
        <v>4840</v>
      </c>
      <c r="F551" s="209"/>
      <c r="G551" s="231" t="s">
        <v>4814</v>
      </c>
      <c r="H551" s="231" t="s">
        <v>4818</v>
      </c>
      <c r="I551" s="186"/>
      <c r="K551" s="262" t="s">
        <v>4841</v>
      </c>
      <c r="L551" s="263">
        <v>35920</v>
      </c>
      <c r="M551" s="231" t="s">
        <v>3958</v>
      </c>
      <c r="N551" s="242">
        <v>2006</v>
      </c>
      <c r="Q551" s="244"/>
      <c r="R551" s="245"/>
      <c r="T551" s="245"/>
      <c r="AB551" s="231"/>
      <c r="AC551" s="231" t="s">
        <v>4366</v>
      </c>
      <c r="AD551" s="231"/>
    </row>
    <row r="552" spans="1:30" x14ac:dyDescent="0.25">
      <c r="A552" s="190">
        <v>399</v>
      </c>
      <c r="B552" s="186" t="s">
        <v>4842</v>
      </c>
      <c r="C552" s="186">
        <v>1</v>
      </c>
      <c r="D552" s="210" t="s">
        <v>4843</v>
      </c>
      <c r="E552" s="209" t="s">
        <v>4844</v>
      </c>
      <c r="F552" s="209"/>
      <c r="G552" s="231" t="s">
        <v>4814</v>
      </c>
      <c r="H552" s="231" t="s">
        <v>4551</v>
      </c>
      <c r="I552" s="186"/>
      <c r="K552" s="262" t="s">
        <v>4845</v>
      </c>
      <c r="L552" s="263">
        <v>39736</v>
      </c>
      <c r="M552" s="231" t="s">
        <v>3958</v>
      </c>
      <c r="N552" s="242">
        <v>2011</v>
      </c>
      <c r="Q552" s="244"/>
      <c r="R552" s="245"/>
      <c r="T552" s="245"/>
      <c r="AB552" s="231"/>
      <c r="AC552" s="231"/>
      <c r="AD552" s="231"/>
    </row>
    <row r="553" spans="1:30" x14ac:dyDescent="0.25">
      <c r="A553" s="309">
        <v>400</v>
      </c>
      <c r="B553" s="186" t="s">
        <v>4846</v>
      </c>
      <c r="C553" s="186">
        <v>1</v>
      </c>
      <c r="D553" s="210" t="s">
        <v>3286</v>
      </c>
      <c r="E553" s="209" t="s">
        <v>4847</v>
      </c>
      <c r="F553" s="209"/>
      <c r="G553" s="231" t="s">
        <v>4814</v>
      </c>
      <c r="H553" s="231" t="s">
        <v>4551</v>
      </c>
      <c r="I553" s="186"/>
      <c r="K553" s="262" t="s">
        <v>4845</v>
      </c>
      <c r="L553" s="263">
        <v>39736</v>
      </c>
      <c r="M553" s="231" t="s">
        <v>3958</v>
      </c>
      <c r="N553" s="242">
        <v>2011</v>
      </c>
      <c r="Q553" s="244"/>
      <c r="R553" s="245"/>
      <c r="T553" s="245"/>
      <c r="AB553" s="231"/>
      <c r="AC553" s="231"/>
      <c r="AD553" s="231"/>
    </row>
    <row r="554" spans="1:30" x14ac:dyDescent="0.25">
      <c r="A554" s="190">
        <v>401</v>
      </c>
      <c r="B554" s="186" t="s">
        <v>4846</v>
      </c>
      <c r="C554" s="186">
        <v>1</v>
      </c>
      <c r="D554" s="210" t="s">
        <v>3286</v>
      </c>
      <c r="E554" s="209" t="s">
        <v>4848</v>
      </c>
      <c r="F554" s="209"/>
      <c r="G554" s="231" t="s">
        <v>4814</v>
      </c>
      <c r="H554" s="231" t="s">
        <v>4551</v>
      </c>
      <c r="I554" s="186"/>
      <c r="K554" s="262" t="s">
        <v>4845</v>
      </c>
      <c r="L554" s="263">
        <v>39736</v>
      </c>
      <c r="M554" s="231" t="s">
        <v>3958</v>
      </c>
      <c r="N554" s="242">
        <v>2011</v>
      </c>
      <c r="Q554" s="244"/>
      <c r="R554" s="245"/>
      <c r="T554" s="245"/>
      <c r="AB554" s="231"/>
      <c r="AC554" s="231"/>
      <c r="AD554" s="231"/>
    </row>
    <row r="555" spans="1:30" x14ac:dyDescent="0.25">
      <c r="A555" s="190">
        <v>402</v>
      </c>
      <c r="B555" s="186" t="s">
        <v>4849</v>
      </c>
      <c r="C555" s="186">
        <v>1</v>
      </c>
      <c r="D555" s="210"/>
      <c r="E555" s="209" t="s">
        <v>4850</v>
      </c>
      <c r="F555" s="209"/>
      <c r="G555" s="231" t="s">
        <v>4814</v>
      </c>
      <c r="H555" s="231" t="s">
        <v>4551</v>
      </c>
      <c r="I555" s="186"/>
      <c r="K555" s="262" t="s">
        <v>4851</v>
      </c>
      <c r="L555" s="263">
        <v>39824</v>
      </c>
      <c r="M555" s="231" t="s">
        <v>3958</v>
      </c>
      <c r="N555" s="242">
        <v>2011</v>
      </c>
      <c r="Q555" s="244"/>
      <c r="R555" s="245"/>
      <c r="T555" s="245"/>
      <c r="AB555" s="231"/>
      <c r="AC555" s="231"/>
      <c r="AD555" s="231"/>
    </row>
    <row r="556" spans="1:30" x14ac:dyDescent="0.25">
      <c r="A556" s="190">
        <v>403</v>
      </c>
      <c r="B556" s="186" t="s">
        <v>4849</v>
      </c>
      <c r="C556" s="186">
        <v>1</v>
      </c>
      <c r="D556" s="210"/>
      <c r="E556" s="209" t="s">
        <v>4852</v>
      </c>
      <c r="F556" s="209"/>
      <c r="G556" s="231" t="s">
        <v>4814</v>
      </c>
      <c r="H556" s="231" t="s">
        <v>4551</v>
      </c>
      <c r="I556" s="186"/>
      <c r="K556" s="262" t="s">
        <v>4851</v>
      </c>
      <c r="L556" s="263">
        <v>39824</v>
      </c>
      <c r="M556" s="231" t="s">
        <v>3958</v>
      </c>
      <c r="N556" s="242">
        <v>2011</v>
      </c>
      <c r="Q556" s="244"/>
      <c r="R556" s="245"/>
      <c r="T556" s="245"/>
      <c r="AB556" s="231"/>
      <c r="AC556" s="231"/>
      <c r="AD556" s="231"/>
    </row>
    <row r="557" spans="1:30" x14ac:dyDescent="0.25">
      <c r="A557" s="190">
        <v>404</v>
      </c>
      <c r="B557" s="186" t="s">
        <v>4853</v>
      </c>
      <c r="C557" s="186"/>
      <c r="D557" s="210" t="s">
        <v>4854</v>
      </c>
      <c r="E557" s="209"/>
      <c r="F557" s="209"/>
      <c r="G557" s="231" t="s">
        <v>4814</v>
      </c>
      <c r="H557" s="231" t="s">
        <v>4855</v>
      </c>
      <c r="I557" s="186"/>
      <c r="K557" s="262" t="s">
        <v>4856</v>
      </c>
      <c r="L557" s="231"/>
      <c r="M557" s="231"/>
      <c r="N557" s="242">
        <v>2012</v>
      </c>
      <c r="Q557" s="244"/>
      <c r="R557" s="245"/>
      <c r="T557" s="245"/>
      <c r="AB557" s="231"/>
      <c r="AC557" s="231"/>
      <c r="AD557" s="231"/>
    </row>
    <row r="558" spans="1:30" x14ac:dyDescent="0.25">
      <c r="A558" s="190">
        <v>405</v>
      </c>
      <c r="B558" s="186" t="s">
        <v>4853</v>
      </c>
      <c r="C558" s="186"/>
      <c r="D558" s="210" t="s">
        <v>4857</v>
      </c>
      <c r="E558" s="209"/>
      <c r="F558" s="209"/>
      <c r="G558" s="231" t="s">
        <v>4814</v>
      </c>
      <c r="H558" s="231" t="s">
        <v>4200</v>
      </c>
      <c r="I558" s="186"/>
      <c r="L558" s="231"/>
      <c r="M558" s="231"/>
      <c r="N558" s="242">
        <v>2012</v>
      </c>
      <c r="Q558" s="244"/>
      <c r="R558" s="245"/>
      <c r="T558" s="245"/>
      <c r="AB558" s="231"/>
      <c r="AC558" s="231"/>
      <c r="AD558" s="231"/>
    </row>
    <row r="559" spans="1:30" x14ac:dyDescent="0.25">
      <c r="A559" s="190">
        <v>406</v>
      </c>
      <c r="B559" s="314" t="s">
        <v>4286</v>
      </c>
      <c r="C559" s="314"/>
      <c r="D559" s="210" t="s">
        <v>4858</v>
      </c>
      <c r="E559" s="209" t="s">
        <v>4859</v>
      </c>
      <c r="F559" s="209"/>
      <c r="G559" s="231" t="s">
        <v>4814</v>
      </c>
      <c r="H559" s="231" t="s">
        <v>4265</v>
      </c>
      <c r="I559" s="314"/>
      <c r="K559" s="262" t="s">
        <v>3996</v>
      </c>
      <c r="L559" s="263">
        <v>40319</v>
      </c>
      <c r="M559" s="263" t="s">
        <v>3958</v>
      </c>
      <c r="N559" s="242">
        <v>2009</v>
      </c>
      <c r="Q559" s="244"/>
      <c r="R559" s="245"/>
      <c r="T559" s="245"/>
      <c r="AB559" s="231"/>
      <c r="AC559" s="231"/>
      <c r="AD559" s="231"/>
    </row>
    <row r="560" spans="1:30" x14ac:dyDescent="0.25">
      <c r="A560" s="309">
        <v>407</v>
      </c>
      <c r="B560" s="186" t="s">
        <v>4203</v>
      </c>
      <c r="C560" s="186"/>
      <c r="D560" s="210" t="s">
        <v>4860</v>
      </c>
      <c r="E560" s="209" t="s">
        <v>4861</v>
      </c>
      <c r="F560" s="209"/>
      <c r="G560" s="231" t="s">
        <v>4814</v>
      </c>
      <c r="H560" s="231" t="s">
        <v>4270</v>
      </c>
      <c r="I560" s="186"/>
      <c r="K560" s="262" t="s">
        <v>4047</v>
      </c>
      <c r="L560" s="263">
        <v>41272</v>
      </c>
      <c r="M560" s="263" t="s">
        <v>3958</v>
      </c>
      <c r="N560" s="242"/>
      <c r="Q560" s="244"/>
      <c r="R560" s="245"/>
      <c r="T560" s="245"/>
      <c r="AB560" s="231"/>
      <c r="AC560" s="231"/>
      <c r="AD560" s="231"/>
    </row>
    <row r="561" spans="1:30" x14ac:dyDescent="0.25">
      <c r="A561" s="190">
        <v>408</v>
      </c>
      <c r="B561" s="186" t="s">
        <v>4203</v>
      </c>
      <c r="C561" s="186"/>
      <c r="D561" s="210" t="s">
        <v>4862</v>
      </c>
      <c r="E561" s="209" t="s">
        <v>4863</v>
      </c>
      <c r="F561" s="209"/>
      <c r="G561" s="231" t="s">
        <v>4814</v>
      </c>
      <c r="H561" s="231" t="s">
        <v>4183</v>
      </c>
      <c r="I561" s="186"/>
      <c r="K561" s="262" t="s">
        <v>4047</v>
      </c>
      <c r="L561" s="263">
        <v>41272</v>
      </c>
      <c r="M561" s="263" t="s">
        <v>3958</v>
      </c>
      <c r="N561" s="242"/>
      <c r="Q561" s="244"/>
      <c r="R561" s="245"/>
      <c r="T561" s="245"/>
      <c r="AB561" s="231"/>
      <c r="AC561" s="231"/>
      <c r="AD561" s="231"/>
    </row>
    <row r="562" spans="1:30" x14ac:dyDescent="0.25">
      <c r="A562" s="190">
        <v>409</v>
      </c>
      <c r="B562" s="186" t="s">
        <v>4203</v>
      </c>
      <c r="C562" s="186"/>
      <c r="D562" s="210" t="s">
        <v>4864</v>
      </c>
      <c r="E562" s="209" t="s">
        <v>4865</v>
      </c>
      <c r="F562" s="209"/>
      <c r="G562" s="231" t="s">
        <v>4814</v>
      </c>
      <c r="H562" s="231" t="s">
        <v>4183</v>
      </c>
      <c r="I562" s="186"/>
      <c r="K562" s="262" t="s">
        <v>4047</v>
      </c>
      <c r="L562" s="263">
        <v>41272</v>
      </c>
      <c r="M562" s="263" t="s">
        <v>3958</v>
      </c>
      <c r="N562" s="242"/>
      <c r="Q562" s="244"/>
      <c r="R562" s="245"/>
      <c r="T562" s="245"/>
      <c r="AB562" s="231"/>
      <c r="AC562" s="231"/>
      <c r="AD562" s="231"/>
    </row>
    <row r="563" spans="1:30" x14ac:dyDescent="0.25">
      <c r="A563" s="190">
        <v>410</v>
      </c>
      <c r="B563" s="186" t="s">
        <v>4203</v>
      </c>
      <c r="C563" s="186"/>
      <c r="D563" s="210" t="s">
        <v>4866</v>
      </c>
      <c r="E563" s="209" t="s">
        <v>3239</v>
      </c>
      <c r="F563" s="209"/>
      <c r="G563" s="231" t="s">
        <v>4814</v>
      </c>
      <c r="H563" s="231" t="s">
        <v>4551</v>
      </c>
      <c r="I563" s="186"/>
      <c r="K563" s="262" t="s">
        <v>4047</v>
      </c>
      <c r="L563" s="263">
        <v>41272</v>
      </c>
      <c r="M563" s="263" t="s">
        <v>3958</v>
      </c>
      <c r="N563" s="242"/>
      <c r="Q563" s="244"/>
      <c r="R563" s="245"/>
      <c r="T563" s="245"/>
      <c r="AB563" s="231"/>
      <c r="AC563" s="231"/>
      <c r="AD563" s="231"/>
    </row>
    <row r="564" spans="1:30" x14ac:dyDescent="0.25">
      <c r="A564" s="190">
        <v>411</v>
      </c>
      <c r="B564" s="186" t="s">
        <v>4203</v>
      </c>
      <c r="C564" s="186"/>
      <c r="D564" s="210" t="s">
        <v>4867</v>
      </c>
      <c r="E564" s="209" t="s">
        <v>4868</v>
      </c>
      <c r="F564" s="209"/>
      <c r="G564" s="231" t="s">
        <v>4814</v>
      </c>
      <c r="H564" s="231" t="s">
        <v>4551</v>
      </c>
      <c r="I564" s="186"/>
      <c r="K564" s="262" t="s">
        <v>4047</v>
      </c>
      <c r="L564" s="263">
        <v>41272</v>
      </c>
      <c r="M564" s="263" t="s">
        <v>3958</v>
      </c>
      <c r="N564" s="242"/>
      <c r="Q564" s="244"/>
      <c r="R564" s="245"/>
      <c r="T564" s="245"/>
      <c r="AB564" s="231"/>
      <c r="AC564" s="231"/>
      <c r="AD564" s="231"/>
    </row>
    <row r="565" spans="1:30" x14ac:dyDescent="0.25">
      <c r="A565" s="190">
        <v>412</v>
      </c>
      <c r="B565" s="186" t="s">
        <v>4203</v>
      </c>
      <c r="C565" s="186"/>
      <c r="D565" s="210" t="s">
        <v>3258</v>
      </c>
      <c r="E565" s="209" t="s">
        <v>3257</v>
      </c>
      <c r="F565" s="209"/>
      <c r="G565" s="231" t="s">
        <v>4814</v>
      </c>
      <c r="H565" s="231" t="s">
        <v>4869</v>
      </c>
      <c r="I565" s="186"/>
      <c r="K565" s="262" t="s">
        <v>4047</v>
      </c>
      <c r="L565" s="263">
        <v>41272</v>
      </c>
      <c r="M565" s="263" t="s">
        <v>3958</v>
      </c>
      <c r="N565" s="242"/>
      <c r="Q565" s="244"/>
      <c r="R565" s="245"/>
      <c r="T565" s="245"/>
      <c r="AB565" s="231"/>
      <c r="AC565" s="231"/>
      <c r="AD565" s="231"/>
    </row>
    <row r="566" spans="1:30" x14ac:dyDescent="0.25">
      <c r="A566" s="190">
        <v>413</v>
      </c>
      <c r="B566" s="186" t="s">
        <v>4203</v>
      </c>
      <c r="C566" s="186"/>
      <c r="D566" s="210" t="s">
        <v>3210</v>
      </c>
      <c r="E566" s="209" t="s">
        <v>3209</v>
      </c>
      <c r="F566" s="209"/>
      <c r="G566" s="231" t="s">
        <v>4814</v>
      </c>
      <c r="H566" s="231" t="s">
        <v>4200</v>
      </c>
      <c r="I566" s="186"/>
      <c r="K566" s="262" t="s">
        <v>4047</v>
      </c>
      <c r="L566" s="263">
        <v>41272</v>
      </c>
      <c r="M566" s="263" t="s">
        <v>3958</v>
      </c>
      <c r="N566" s="242"/>
      <c r="Q566" s="244"/>
      <c r="R566" s="245"/>
      <c r="T566" s="245"/>
      <c r="AB566" s="231"/>
      <c r="AC566" s="231"/>
      <c r="AD566" s="231"/>
    </row>
    <row r="567" spans="1:30" x14ac:dyDescent="0.25">
      <c r="A567" s="309">
        <v>414</v>
      </c>
      <c r="B567" s="186" t="s">
        <v>4203</v>
      </c>
      <c r="C567" s="186"/>
      <c r="D567" s="210" t="s">
        <v>3213</v>
      </c>
      <c r="E567" s="209" t="s">
        <v>3212</v>
      </c>
      <c r="F567" s="209"/>
      <c r="G567" s="231" t="s">
        <v>4814</v>
      </c>
      <c r="H567" s="231" t="s">
        <v>4200</v>
      </c>
      <c r="I567" s="186"/>
      <c r="K567" s="262" t="s">
        <v>4047</v>
      </c>
      <c r="L567" s="263">
        <v>41272</v>
      </c>
      <c r="M567" s="263" t="s">
        <v>3958</v>
      </c>
      <c r="N567" s="242"/>
      <c r="Q567" s="244"/>
      <c r="R567" s="245"/>
      <c r="T567" s="245"/>
      <c r="AB567" s="231"/>
      <c r="AC567" s="231"/>
      <c r="AD567" s="231"/>
    </row>
    <row r="568" spans="1:30" x14ac:dyDescent="0.25">
      <c r="A568" s="190">
        <v>415</v>
      </c>
      <c r="B568" s="186" t="s">
        <v>4203</v>
      </c>
      <c r="C568" s="186"/>
      <c r="D568" s="210" t="s">
        <v>3208</v>
      </c>
      <c r="E568" s="209" t="s">
        <v>3204</v>
      </c>
      <c r="F568" s="209"/>
      <c r="G568" s="231" t="s">
        <v>4814</v>
      </c>
      <c r="H568" s="231" t="s">
        <v>4215</v>
      </c>
      <c r="I568" s="186"/>
      <c r="K568" s="262" t="s">
        <v>4047</v>
      </c>
      <c r="L568" s="263">
        <v>41272</v>
      </c>
      <c r="M568" s="263" t="s">
        <v>3958</v>
      </c>
      <c r="N568" s="242"/>
      <c r="Q568" s="244"/>
      <c r="R568" s="245"/>
      <c r="T568" s="245"/>
      <c r="AB568" s="231"/>
      <c r="AC568" s="231"/>
      <c r="AD568" s="231"/>
    </row>
    <row r="569" spans="1:30" x14ac:dyDescent="0.25">
      <c r="A569" s="190">
        <v>416</v>
      </c>
      <c r="B569" s="186" t="s">
        <v>4203</v>
      </c>
      <c r="C569" s="186"/>
      <c r="D569" s="210" t="s">
        <v>3205</v>
      </c>
      <c r="E569" s="209" t="s">
        <v>3207</v>
      </c>
      <c r="F569" s="209"/>
      <c r="G569" s="231" t="s">
        <v>4814</v>
      </c>
      <c r="H569" s="231" t="s">
        <v>4215</v>
      </c>
      <c r="I569" s="186"/>
      <c r="K569" s="262" t="s">
        <v>4047</v>
      </c>
      <c r="L569" s="263">
        <v>41272</v>
      </c>
      <c r="M569" s="263" t="s">
        <v>3958</v>
      </c>
      <c r="N569" s="242"/>
      <c r="Q569" s="244"/>
      <c r="R569" s="245"/>
      <c r="T569" s="245"/>
      <c r="AB569" s="231"/>
      <c r="AC569" s="231"/>
      <c r="AD569" s="231"/>
    </row>
    <row r="570" spans="1:30" x14ac:dyDescent="0.25">
      <c r="A570" s="190">
        <v>417</v>
      </c>
      <c r="B570" s="186" t="s">
        <v>4203</v>
      </c>
      <c r="C570" s="186"/>
      <c r="D570" s="210" t="s">
        <v>4870</v>
      </c>
      <c r="E570" s="209"/>
      <c r="F570" s="209"/>
      <c r="G570" s="231" t="s">
        <v>4814</v>
      </c>
      <c r="H570" s="231" t="s">
        <v>4206</v>
      </c>
      <c r="I570" s="186"/>
      <c r="K570" s="262" t="s">
        <v>4047</v>
      </c>
      <c r="L570" s="263">
        <v>41272</v>
      </c>
      <c r="M570" s="263" t="s">
        <v>3958</v>
      </c>
      <c r="N570" s="242"/>
      <c r="Q570" s="244"/>
      <c r="R570" s="245"/>
      <c r="T570" s="245"/>
      <c r="AB570" s="231"/>
      <c r="AC570" s="231"/>
      <c r="AD570" s="231"/>
    </row>
    <row r="571" spans="1:30" x14ac:dyDescent="0.25">
      <c r="A571" s="190">
        <v>418</v>
      </c>
      <c r="B571" s="186" t="s">
        <v>4203</v>
      </c>
      <c r="C571" s="186"/>
      <c r="D571" s="210" t="s">
        <v>4871</v>
      </c>
      <c r="E571" s="209"/>
      <c r="F571" s="209"/>
      <c r="G571" s="231" t="s">
        <v>4814</v>
      </c>
      <c r="H571" s="231" t="s">
        <v>4206</v>
      </c>
      <c r="I571" s="186"/>
      <c r="K571" s="262" t="s">
        <v>4047</v>
      </c>
      <c r="L571" s="263">
        <v>41272</v>
      </c>
      <c r="M571" s="263" t="s">
        <v>3958</v>
      </c>
      <c r="N571" s="242"/>
      <c r="Q571" s="244"/>
      <c r="R571" s="245"/>
      <c r="T571" s="245"/>
      <c r="AB571" s="231"/>
      <c r="AC571" s="231"/>
      <c r="AD571" s="231"/>
    </row>
    <row r="572" spans="1:30" x14ac:dyDescent="0.25">
      <c r="A572" s="190">
        <v>419</v>
      </c>
      <c r="B572" s="186" t="s">
        <v>4203</v>
      </c>
      <c r="C572" s="186"/>
      <c r="D572" s="210" t="s">
        <v>4872</v>
      </c>
      <c r="E572" s="209" t="s">
        <v>4873</v>
      </c>
      <c r="F572" s="209"/>
      <c r="G572" s="231" t="s">
        <v>4814</v>
      </c>
      <c r="H572" s="231" t="s">
        <v>4818</v>
      </c>
      <c r="I572" s="186"/>
      <c r="K572" s="262" t="s">
        <v>4047</v>
      </c>
      <c r="L572" s="263">
        <v>41272</v>
      </c>
      <c r="M572" s="263" t="s">
        <v>3958</v>
      </c>
      <c r="N572" s="242"/>
      <c r="Q572" s="244"/>
      <c r="R572" s="245"/>
      <c r="T572" s="245"/>
      <c r="AB572" s="231"/>
      <c r="AC572" s="231"/>
      <c r="AD572" s="231"/>
    </row>
    <row r="573" spans="1:30" x14ac:dyDescent="0.25">
      <c r="A573" s="190">
        <v>420</v>
      </c>
      <c r="B573" s="186" t="s">
        <v>4203</v>
      </c>
      <c r="C573" s="186"/>
      <c r="D573" s="210" t="s">
        <v>4874</v>
      </c>
      <c r="E573" s="209" t="s">
        <v>4875</v>
      </c>
      <c r="F573" s="209"/>
      <c r="G573" s="231" t="s">
        <v>4814</v>
      </c>
      <c r="H573" s="231" t="s">
        <v>4818</v>
      </c>
      <c r="I573" s="186"/>
      <c r="K573" s="262" t="s">
        <v>4047</v>
      </c>
      <c r="L573" s="263">
        <v>41272</v>
      </c>
      <c r="M573" s="263" t="s">
        <v>3958</v>
      </c>
      <c r="N573" s="242"/>
      <c r="Q573" s="244"/>
      <c r="R573" s="245"/>
      <c r="T573" s="245"/>
      <c r="AB573" s="231"/>
      <c r="AC573" s="231"/>
      <c r="AD573" s="231"/>
    </row>
    <row r="574" spans="1:30" x14ac:dyDescent="0.25">
      <c r="A574" s="309">
        <v>421</v>
      </c>
      <c r="B574" s="186" t="s">
        <v>4203</v>
      </c>
      <c r="C574" s="186"/>
      <c r="D574" s="210" t="s">
        <v>4876</v>
      </c>
      <c r="E574" s="209" t="s">
        <v>4877</v>
      </c>
      <c r="F574" s="209"/>
      <c r="G574" s="231" t="s">
        <v>4814</v>
      </c>
      <c r="H574" s="231" t="s">
        <v>4458</v>
      </c>
      <c r="I574" s="186"/>
      <c r="K574" s="262" t="s">
        <v>4047</v>
      </c>
      <c r="L574" s="263">
        <v>41272</v>
      </c>
      <c r="M574" s="263" t="s">
        <v>3958</v>
      </c>
      <c r="N574" s="242"/>
      <c r="Q574" s="244"/>
      <c r="R574" s="245"/>
      <c r="T574" s="245"/>
      <c r="AB574" s="231"/>
      <c r="AC574" s="231"/>
      <c r="AD574" s="231"/>
    </row>
    <row r="575" spans="1:30" x14ac:dyDescent="0.25">
      <c r="A575" s="190">
        <v>422</v>
      </c>
      <c r="B575" s="186" t="s">
        <v>4203</v>
      </c>
      <c r="C575" s="186"/>
      <c r="D575" s="210" t="s">
        <v>3238</v>
      </c>
      <c r="E575" s="209" t="s">
        <v>3237</v>
      </c>
      <c r="F575" s="209"/>
      <c r="G575" s="231" t="s">
        <v>4814</v>
      </c>
      <c r="H575" s="231" t="s">
        <v>4458</v>
      </c>
      <c r="I575" s="186"/>
      <c r="K575" s="262" t="s">
        <v>4047</v>
      </c>
      <c r="L575" s="263">
        <v>41272</v>
      </c>
      <c r="M575" s="263" t="s">
        <v>3958</v>
      </c>
      <c r="N575" s="242"/>
      <c r="Q575" s="244"/>
      <c r="R575" s="245"/>
      <c r="T575" s="245"/>
      <c r="AB575" s="231"/>
      <c r="AC575" s="231"/>
      <c r="AD575" s="231"/>
    </row>
    <row r="576" spans="1:30" x14ac:dyDescent="0.25">
      <c r="A576" s="190">
        <v>423</v>
      </c>
      <c r="B576" s="186" t="s">
        <v>4203</v>
      </c>
      <c r="C576" s="186"/>
      <c r="D576" s="210" t="s">
        <v>4878</v>
      </c>
      <c r="E576" s="209" t="s">
        <v>4879</v>
      </c>
      <c r="F576" s="209"/>
      <c r="G576" s="231" t="s">
        <v>4814</v>
      </c>
      <c r="H576" s="231" t="s">
        <v>4265</v>
      </c>
      <c r="I576" s="186"/>
      <c r="K576" s="262" t="s">
        <v>4047</v>
      </c>
      <c r="L576" s="263">
        <v>41272</v>
      </c>
      <c r="M576" s="263" t="s">
        <v>3958</v>
      </c>
      <c r="N576" s="242"/>
      <c r="Q576" s="244"/>
      <c r="R576" s="245"/>
      <c r="T576" s="245"/>
      <c r="AB576" s="231"/>
      <c r="AC576" s="231"/>
      <c r="AD576" s="231"/>
    </row>
    <row r="577" spans="1:30" x14ac:dyDescent="0.25">
      <c r="A577" s="190">
        <v>424</v>
      </c>
      <c r="B577" s="186" t="s">
        <v>4203</v>
      </c>
      <c r="C577" s="186"/>
      <c r="D577" s="210" t="s">
        <v>4880</v>
      </c>
      <c r="E577" s="209" t="s">
        <v>3255</v>
      </c>
      <c r="F577" s="209"/>
      <c r="G577" s="231" t="s">
        <v>4814</v>
      </c>
      <c r="H577" s="231" t="s">
        <v>4265</v>
      </c>
      <c r="I577" s="186"/>
      <c r="K577" s="262" t="s">
        <v>4047</v>
      </c>
      <c r="L577" s="263">
        <v>41272</v>
      </c>
      <c r="M577" s="263" t="s">
        <v>3958</v>
      </c>
      <c r="N577" s="242"/>
      <c r="Q577" s="244"/>
      <c r="R577" s="245"/>
      <c r="T577" s="245"/>
      <c r="AB577" s="231"/>
      <c r="AC577" s="231"/>
      <c r="AD577" s="231"/>
    </row>
    <row r="578" spans="1:30" x14ac:dyDescent="0.25">
      <c r="A578" s="190">
        <v>425</v>
      </c>
      <c r="B578" s="186" t="s">
        <v>4794</v>
      </c>
      <c r="C578" s="186"/>
      <c r="D578" s="210" t="s">
        <v>3306</v>
      </c>
      <c r="E578" s="209" t="s">
        <v>2886</v>
      </c>
      <c r="F578" s="209"/>
      <c r="G578" s="231" t="s">
        <v>4814</v>
      </c>
      <c r="H578" s="231" t="s">
        <v>3949</v>
      </c>
      <c r="I578" s="186"/>
      <c r="K578" s="262" t="s">
        <v>4047</v>
      </c>
      <c r="L578" s="263">
        <v>41272</v>
      </c>
      <c r="M578" s="263" t="s">
        <v>3958</v>
      </c>
      <c r="N578" s="242"/>
      <c r="Q578" s="244"/>
      <c r="R578" s="245"/>
      <c r="T578" s="245"/>
      <c r="AB578" s="231"/>
      <c r="AC578" s="231"/>
      <c r="AD578" s="231"/>
    </row>
    <row r="579" spans="1:30" x14ac:dyDescent="0.25">
      <c r="A579" s="190">
        <v>426</v>
      </c>
      <c r="B579" s="186" t="s">
        <v>4881</v>
      </c>
      <c r="C579" s="186"/>
      <c r="D579" s="210" t="s">
        <v>4882</v>
      </c>
      <c r="E579" s="209" t="s">
        <v>4883</v>
      </c>
      <c r="F579" s="209"/>
      <c r="G579" s="231" t="s">
        <v>4814</v>
      </c>
      <c r="H579" s="231" t="s">
        <v>4551</v>
      </c>
      <c r="I579" s="186"/>
      <c r="L579" s="231"/>
      <c r="M579" s="231"/>
      <c r="N579" s="242"/>
      <c r="Q579" s="244"/>
      <c r="R579" s="245"/>
      <c r="T579" s="245"/>
      <c r="AB579" s="231"/>
      <c r="AC579" s="231"/>
      <c r="AD579" s="231"/>
    </row>
    <row r="580" spans="1:30" x14ac:dyDescent="0.25">
      <c r="A580" s="190">
        <v>427</v>
      </c>
      <c r="B580" s="186" t="s">
        <v>4207</v>
      </c>
      <c r="C580" s="186"/>
      <c r="D580" s="210" t="s">
        <v>4884</v>
      </c>
      <c r="E580" s="209" t="s">
        <v>4885</v>
      </c>
      <c r="F580" s="209"/>
      <c r="G580" s="231" t="s">
        <v>4814</v>
      </c>
      <c r="H580" s="231" t="s">
        <v>4886</v>
      </c>
      <c r="I580" s="186"/>
      <c r="K580" s="262" t="s">
        <v>4049</v>
      </c>
      <c r="L580" s="263">
        <v>38944</v>
      </c>
      <c r="M580" s="263">
        <v>40770</v>
      </c>
      <c r="N580" s="242"/>
      <c r="Q580" s="244"/>
      <c r="R580" s="245"/>
      <c r="T580" s="245"/>
      <c r="AB580" s="231"/>
      <c r="AC580" s="231"/>
      <c r="AD580" s="231"/>
    </row>
    <row r="581" spans="1:30" x14ac:dyDescent="0.25">
      <c r="A581" s="309">
        <v>428</v>
      </c>
      <c r="B581" s="186" t="s">
        <v>4887</v>
      </c>
      <c r="C581" s="186"/>
      <c r="D581" s="210" t="s">
        <v>4888</v>
      </c>
      <c r="E581" s="209" t="s">
        <v>4889</v>
      </c>
      <c r="F581" s="209"/>
      <c r="G581" s="231" t="s">
        <v>4814</v>
      </c>
      <c r="H581" s="231" t="s">
        <v>4551</v>
      </c>
      <c r="I581" s="186"/>
      <c r="L581" s="231"/>
      <c r="M581" s="231"/>
      <c r="N581" s="242"/>
      <c r="Q581" s="244"/>
      <c r="R581" s="245"/>
      <c r="T581" s="245"/>
      <c r="AB581" s="231"/>
      <c r="AC581" s="231"/>
      <c r="AD581" s="231"/>
    </row>
    <row r="582" spans="1:30" x14ac:dyDescent="0.25">
      <c r="A582" s="190">
        <v>429</v>
      </c>
      <c r="B582" s="186" t="s">
        <v>4890</v>
      </c>
      <c r="C582" s="186"/>
      <c r="D582" s="210" t="s">
        <v>4891</v>
      </c>
      <c r="E582" s="209" t="s">
        <v>4892</v>
      </c>
      <c r="F582" s="209"/>
      <c r="G582" s="231" t="s">
        <v>4814</v>
      </c>
      <c r="H582" s="231" t="s">
        <v>4265</v>
      </c>
      <c r="I582" s="186"/>
      <c r="K582" s="262" t="s">
        <v>4285</v>
      </c>
      <c r="L582" s="310">
        <v>40414</v>
      </c>
      <c r="M582" s="231" t="s">
        <v>3958</v>
      </c>
      <c r="N582" s="242">
        <v>2008</v>
      </c>
      <c r="Q582" s="244"/>
      <c r="R582" s="245"/>
      <c r="T582" s="245"/>
      <c r="AB582" s="231"/>
      <c r="AC582" s="231" t="s">
        <v>4893</v>
      </c>
      <c r="AD582" s="231"/>
    </row>
    <row r="583" spans="1:30" x14ac:dyDescent="0.25">
      <c r="A583" s="190">
        <v>430</v>
      </c>
      <c r="B583" s="186" t="s">
        <v>4894</v>
      </c>
      <c r="C583" s="186"/>
      <c r="D583" s="210" t="s">
        <v>4895</v>
      </c>
      <c r="E583" s="209" t="s">
        <v>4896</v>
      </c>
      <c r="F583" s="209"/>
      <c r="G583" s="231" t="s">
        <v>4814</v>
      </c>
      <c r="H583" s="231" t="s">
        <v>4458</v>
      </c>
      <c r="I583" s="186"/>
      <c r="L583" s="231"/>
      <c r="M583" s="231"/>
      <c r="N583" s="242">
        <v>2005</v>
      </c>
      <c r="Q583" s="244"/>
      <c r="R583" s="245"/>
      <c r="T583" s="245"/>
      <c r="AB583" s="231"/>
      <c r="AC583" s="231"/>
      <c r="AD583" s="231"/>
    </row>
    <row r="584" spans="1:30" x14ac:dyDescent="0.25">
      <c r="A584" s="190">
        <v>431</v>
      </c>
      <c r="B584" s="186" t="s">
        <v>4897</v>
      </c>
      <c r="C584" s="186"/>
      <c r="D584" s="210" t="s">
        <v>4898</v>
      </c>
      <c r="E584" s="209"/>
      <c r="F584" s="209"/>
      <c r="G584" s="231" t="s">
        <v>4814</v>
      </c>
      <c r="H584" s="231" t="s">
        <v>4818</v>
      </c>
      <c r="I584" s="186"/>
      <c r="L584" s="231"/>
      <c r="M584" s="231"/>
      <c r="N584" s="242"/>
      <c r="Q584" s="244"/>
      <c r="R584" s="245"/>
      <c r="T584" s="245"/>
      <c r="AB584" s="231"/>
      <c r="AC584" s="231"/>
      <c r="AD584" s="231"/>
    </row>
    <row r="585" spans="1:30" x14ac:dyDescent="0.25">
      <c r="A585" s="211">
        <v>1</v>
      </c>
      <c r="B585" s="211" t="s">
        <v>4173</v>
      </c>
      <c r="C585" s="211">
        <v>1</v>
      </c>
      <c r="D585" s="293" t="s">
        <v>3198</v>
      </c>
      <c r="E585" s="292" t="s">
        <v>1094</v>
      </c>
      <c r="F585" s="345"/>
      <c r="G585" s="229" t="s">
        <v>3633</v>
      </c>
      <c r="H585" s="229" t="s">
        <v>1076</v>
      </c>
      <c r="I585" s="371"/>
      <c r="J585" s="369"/>
      <c r="K585" s="262" t="s">
        <v>4176</v>
      </c>
      <c r="L585" s="310">
        <v>38128</v>
      </c>
      <c r="M585" s="263">
        <v>41780</v>
      </c>
      <c r="N585" s="211">
        <v>2007</v>
      </c>
      <c r="O585" s="372"/>
      <c r="P585" s="372"/>
      <c r="Q585" s="253">
        <v>12</v>
      </c>
      <c r="R585" s="254">
        <v>41556</v>
      </c>
      <c r="S585" s="311" t="s">
        <v>4177</v>
      </c>
      <c r="T585" s="245">
        <v>41921</v>
      </c>
      <c r="U585" s="231" t="s">
        <v>4178</v>
      </c>
      <c r="Z585" s="231">
        <v>1</v>
      </c>
      <c r="AA585" s="231" t="s">
        <v>4179</v>
      </c>
    </row>
    <row r="586" spans="1:30" x14ac:dyDescent="0.25">
      <c r="A586" s="211">
        <v>2</v>
      </c>
      <c r="B586" s="211" t="s">
        <v>4899</v>
      </c>
      <c r="C586" s="211">
        <v>1</v>
      </c>
      <c r="D586" s="293" t="s">
        <v>3200</v>
      </c>
      <c r="E586" s="292" t="s">
        <v>3199</v>
      </c>
      <c r="F586" s="345"/>
      <c r="G586" s="229" t="s">
        <v>3633</v>
      </c>
      <c r="H586" s="229" t="s">
        <v>4551</v>
      </c>
      <c r="I586" s="371"/>
      <c r="J586" s="369"/>
      <c r="K586" s="262" t="s">
        <v>4083</v>
      </c>
      <c r="L586" s="263">
        <v>38853</v>
      </c>
      <c r="M586" s="263">
        <v>42506</v>
      </c>
      <c r="N586" s="211">
        <v>2003</v>
      </c>
      <c r="O586" s="372"/>
      <c r="P586" s="372"/>
      <c r="Q586" s="253">
        <v>12</v>
      </c>
      <c r="R586" s="254">
        <v>41556</v>
      </c>
      <c r="S586" s="311" t="s">
        <v>4177</v>
      </c>
      <c r="T586" s="245">
        <v>41921</v>
      </c>
      <c r="U586" s="231" t="s">
        <v>4178</v>
      </c>
      <c r="Z586" s="231">
        <v>1</v>
      </c>
      <c r="AA586" s="231" t="s">
        <v>4179</v>
      </c>
    </row>
    <row r="587" spans="1:30" x14ac:dyDescent="0.25">
      <c r="A587" s="190">
        <v>3</v>
      </c>
      <c r="B587" s="373" t="s">
        <v>4900</v>
      </c>
      <c r="C587" s="373"/>
      <c r="E587" s="344"/>
      <c r="F587" s="209"/>
      <c r="G587" s="340" t="s">
        <v>3633</v>
      </c>
      <c r="H587" s="340"/>
      <c r="J587" s="369"/>
      <c r="L587" s="231"/>
      <c r="M587" s="231"/>
      <c r="N587" s="307"/>
      <c r="P587" s="372"/>
      <c r="Q587" s="374">
        <v>12</v>
      </c>
      <c r="R587" s="245">
        <v>40704</v>
      </c>
      <c r="S587" s="311" t="s">
        <v>4192</v>
      </c>
      <c r="T587" s="245">
        <v>41070</v>
      </c>
      <c r="U587" s="231" t="s">
        <v>4193</v>
      </c>
      <c r="Z587" s="231">
        <v>1</v>
      </c>
      <c r="AA587" s="231" t="s">
        <v>4179</v>
      </c>
      <c r="AB587" s="231"/>
      <c r="AC587" s="231"/>
      <c r="AD587" s="231"/>
    </row>
    <row r="588" spans="1:30" x14ac:dyDescent="0.25">
      <c r="A588" s="190">
        <v>4</v>
      </c>
      <c r="B588" s="329" t="s">
        <v>4901</v>
      </c>
      <c r="C588" s="329"/>
      <c r="E588" s="330" t="s">
        <v>4902</v>
      </c>
      <c r="F588" s="209"/>
      <c r="G588" s="342" t="s">
        <v>3633</v>
      </c>
      <c r="H588" s="342"/>
      <c r="J588" s="369"/>
      <c r="L588" s="231"/>
      <c r="M588" s="231"/>
      <c r="N588" s="333"/>
      <c r="P588" s="372"/>
      <c r="Q588" s="374">
        <v>12</v>
      </c>
      <c r="R588" s="245">
        <v>40704</v>
      </c>
      <c r="S588" s="311" t="s">
        <v>4192</v>
      </c>
      <c r="T588" s="245">
        <v>41426</v>
      </c>
      <c r="U588" s="231" t="s">
        <v>4193</v>
      </c>
      <c r="Z588" s="231">
        <v>1</v>
      </c>
      <c r="AA588" s="231" t="s">
        <v>4179</v>
      </c>
      <c r="AB588" s="231"/>
      <c r="AC588" s="231"/>
      <c r="AD588" s="231"/>
    </row>
    <row r="589" spans="1:30" x14ac:dyDescent="0.25">
      <c r="A589" s="211">
        <v>5</v>
      </c>
      <c r="B589" s="211" t="s">
        <v>3840</v>
      </c>
      <c r="C589" s="211">
        <v>1</v>
      </c>
      <c r="D589" s="345"/>
      <c r="E589" s="292" t="s">
        <v>3180</v>
      </c>
      <c r="F589" s="345"/>
      <c r="G589" s="229" t="s">
        <v>3633</v>
      </c>
      <c r="H589" s="229" t="s">
        <v>4903</v>
      </c>
      <c r="I589" s="371"/>
      <c r="J589" s="369"/>
      <c r="K589" s="262" t="s">
        <v>3740</v>
      </c>
      <c r="L589" s="263">
        <v>40204</v>
      </c>
      <c r="M589" s="263" t="s">
        <v>3958</v>
      </c>
      <c r="N589" s="255">
        <v>2007</v>
      </c>
      <c r="O589" s="372"/>
      <c r="P589" s="372"/>
      <c r="Q589" s="375">
        <v>12</v>
      </c>
      <c r="R589" s="254">
        <v>40820</v>
      </c>
      <c r="S589" s="311" t="s">
        <v>4192</v>
      </c>
      <c r="T589" s="245">
        <v>41186</v>
      </c>
      <c r="U589" s="231" t="s">
        <v>4178</v>
      </c>
      <c r="Z589" s="231">
        <v>1</v>
      </c>
      <c r="AA589" s="231" t="s">
        <v>4179</v>
      </c>
    </row>
    <row r="590" spans="1:30" x14ac:dyDescent="0.25">
      <c r="A590" s="190">
        <v>6</v>
      </c>
      <c r="B590" s="373" t="s">
        <v>3840</v>
      </c>
      <c r="C590" s="373"/>
      <c r="D590" s="210" t="s">
        <v>3183</v>
      </c>
      <c r="E590" s="337"/>
      <c r="F590" s="210"/>
      <c r="G590" s="340" t="s">
        <v>3633</v>
      </c>
      <c r="H590" s="376"/>
      <c r="J590" s="362"/>
      <c r="K590" s="262" t="s">
        <v>3740</v>
      </c>
      <c r="L590" s="263">
        <v>40204</v>
      </c>
      <c r="M590" s="263" t="s">
        <v>3958</v>
      </c>
      <c r="N590" s="377"/>
      <c r="O590" s="351"/>
      <c r="P590" s="176"/>
      <c r="Q590" s="362"/>
      <c r="R590" s="362"/>
      <c r="S590" s="362"/>
      <c r="T590" s="362"/>
      <c r="U590" s="362"/>
      <c r="V590" s="362"/>
      <c r="W590" s="362"/>
      <c r="X590" s="362"/>
      <c r="Y590" s="362"/>
      <c r="Z590" s="362"/>
      <c r="AA590" s="362"/>
      <c r="AB590" s="362"/>
      <c r="AC590" s="362"/>
      <c r="AD590" s="362"/>
    </row>
    <row r="591" spans="1:30" x14ac:dyDescent="0.25">
      <c r="A591" s="190">
        <v>7</v>
      </c>
      <c r="B591" s="190" t="s">
        <v>3840</v>
      </c>
      <c r="C591" s="190"/>
      <c r="D591" s="210">
        <v>4700271</v>
      </c>
      <c r="E591" s="210"/>
      <c r="F591" s="210"/>
      <c r="G591" s="231" t="s">
        <v>3633</v>
      </c>
      <c r="H591" s="361"/>
      <c r="J591" s="362"/>
      <c r="K591" s="262" t="s">
        <v>3740</v>
      </c>
      <c r="L591" s="263">
        <v>40204</v>
      </c>
      <c r="M591" s="263" t="s">
        <v>3958</v>
      </c>
      <c r="N591" s="351"/>
      <c r="O591" s="351"/>
      <c r="P591" s="176"/>
      <c r="Q591" s="362"/>
      <c r="R591" s="362"/>
      <c r="S591" s="362"/>
      <c r="T591" s="362"/>
      <c r="U591" s="362"/>
      <c r="V591" s="362"/>
      <c r="W591" s="362"/>
      <c r="X591" s="362"/>
      <c r="Y591" s="362"/>
      <c r="Z591" s="362"/>
      <c r="AA591" s="362"/>
      <c r="AB591" s="362"/>
      <c r="AC591" s="362"/>
      <c r="AD591" s="362"/>
    </row>
    <row r="592" spans="1:30" x14ac:dyDescent="0.25">
      <c r="A592" s="190">
        <v>8</v>
      </c>
      <c r="B592" s="190" t="s">
        <v>4904</v>
      </c>
      <c r="C592" s="190"/>
      <c r="E592" s="209"/>
      <c r="F592" s="209"/>
      <c r="G592" s="231" t="s">
        <v>3633</v>
      </c>
      <c r="H592" s="231"/>
      <c r="J592" s="369"/>
      <c r="L592" s="231"/>
      <c r="M592" s="231"/>
      <c r="N592" s="242"/>
      <c r="P592" s="372"/>
      <c r="Q592" s="374">
        <v>12</v>
      </c>
      <c r="R592" s="245">
        <v>40681</v>
      </c>
      <c r="S592" s="311" t="s">
        <v>4192</v>
      </c>
      <c r="T592" s="245">
        <v>41047</v>
      </c>
      <c r="U592" s="231" t="s">
        <v>4454</v>
      </c>
      <c r="Z592" s="231">
        <v>1</v>
      </c>
      <c r="AA592" s="231" t="s">
        <v>4179</v>
      </c>
      <c r="AB592" s="231"/>
      <c r="AC592" s="231"/>
      <c r="AD592" s="231"/>
    </row>
    <row r="593" spans="1:30" x14ac:dyDescent="0.25">
      <c r="A593" s="190">
        <v>59</v>
      </c>
      <c r="B593" s="186" t="s">
        <v>4905</v>
      </c>
      <c r="C593" s="186"/>
      <c r="D593" s="210">
        <v>8103475</v>
      </c>
      <c r="E593" s="210" t="s">
        <v>4906</v>
      </c>
      <c r="F593" s="294"/>
      <c r="G593" s="231" t="s">
        <v>3633</v>
      </c>
      <c r="H593" s="361"/>
      <c r="I593" s="186"/>
      <c r="J593" s="362"/>
      <c r="K593" s="295" t="s">
        <v>4907</v>
      </c>
      <c r="L593" s="310">
        <v>40736</v>
      </c>
      <c r="M593" s="172" t="s">
        <v>3958</v>
      </c>
      <c r="N593" s="351"/>
      <c r="O593" s="351"/>
      <c r="P593" s="176"/>
      <c r="Q593" s="362"/>
      <c r="R593" s="362"/>
      <c r="S593" s="362"/>
      <c r="T593" s="362"/>
      <c r="U593" s="362"/>
      <c r="V593" s="362"/>
      <c r="W593" s="362"/>
      <c r="X593" s="362"/>
      <c r="Y593" s="362"/>
      <c r="Z593" s="362"/>
      <c r="AA593" s="362"/>
      <c r="AB593" s="362"/>
      <c r="AC593" s="362"/>
      <c r="AD593" s="362"/>
    </row>
    <row r="594" spans="1:30" x14ac:dyDescent="0.25">
      <c r="A594" s="190">
        <v>9</v>
      </c>
      <c r="B594" s="190" t="s">
        <v>4908</v>
      </c>
      <c r="C594" s="190"/>
      <c r="D594" s="210">
        <v>1370266</v>
      </c>
      <c r="E594" s="209" t="s">
        <v>4909</v>
      </c>
      <c r="F594" s="209"/>
      <c r="G594" s="231" t="s">
        <v>3633</v>
      </c>
      <c r="H594" s="231"/>
      <c r="J594" s="369"/>
      <c r="K594" s="262" t="s">
        <v>4910</v>
      </c>
      <c r="L594" s="263">
        <v>37729</v>
      </c>
      <c r="M594" s="263">
        <v>41382</v>
      </c>
      <c r="N594" s="242">
        <v>2000</v>
      </c>
      <c r="P594" s="372"/>
      <c r="Q594" s="374">
        <v>12</v>
      </c>
      <c r="R594" s="245">
        <v>41313</v>
      </c>
      <c r="S594" s="311" t="s">
        <v>4192</v>
      </c>
      <c r="T594" s="245">
        <v>41678</v>
      </c>
      <c r="U594" s="231" t="s">
        <v>4454</v>
      </c>
      <c r="Z594" s="231">
        <v>1</v>
      </c>
      <c r="AA594" s="231" t="s">
        <v>4179</v>
      </c>
      <c r="AB594" s="231"/>
      <c r="AC594" s="231"/>
      <c r="AD594" s="231"/>
    </row>
    <row r="595" spans="1:30" x14ac:dyDescent="0.25">
      <c r="A595" s="190">
        <v>10</v>
      </c>
      <c r="B595" s="190" t="s">
        <v>4911</v>
      </c>
      <c r="C595" s="329"/>
      <c r="D595" s="341" t="s">
        <v>4912</v>
      </c>
      <c r="E595" s="330" t="s">
        <v>3054</v>
      </c>
      <c r="F595" s="330"/>
      <c r="G595" s="231" t="s">
        <v>3633</v>
      </c>
      <c r="H595" s="231" t="s">
        <v>4913</v>
      </c>
      <c r="J595" s="369"/>
      <c r="K595" s="331" t="s">
        <v>4914</v>
      </c>
      <c r="L595" s="332">
        <v>40043</v>
      </c>
      <c r="M595" s="342" t="s">
        <v>3958</v>
      </c>
      <c r="N595" s="333">
        <v>2011</v>
      </c>
      <c r="P595" s="372"/>
      <c r="Q595" s="374"/>
      <c r="R595" s="245">
        <v>41313</v>
      </c>
      <c r="T595" s="245">
        <v>41678</v>
      </c>
      <c r="AB595" s="231"/>
      <c r="AC595" s="231"/>
      <c r="AD595" s="231"/>
    </row>
    <row r="596" spans="1:30" x14ac:dyDescent="0.25">
      <c r="A596" s="211">
        <v>11</v>
      </c>
      <c r="B596" s="194" t="s">
        <v>4915</v>
      </c>
      <c r="C596" s="194">
        <v>3</v>
      </c>
      <c r="D596" s="210" t="s">
        <v>3081</v>
      </c>
      <c r="E596" s="378" t="s">
        <v>3087</v>
      </c>
      <c r="F596" s="210"/>
      <c r="G596" s="229" t="s">
        <v>3633</v>
      </c>
      <c r="H596" s="379" t="s">
        <v>4913</v>
      </c>
      <c r="I596" s="186"/>
      <c r="J596" s="362"/>
      <c r="K596" s="360" t="s">
        <v>4916</v>
      </c>
      <c r="L596" s="368">
        <v>38324</v>
      </c>
      <c r="M596" s="368">
        <v>41976</v>
      </c>
      <c r="N596" s="380">
        <v>2012</v>
      </c>
      <c r="O596" s="351"/>
      <c r="P596" s="176"/>
      <c r="Q596" s="381"/>
      <c r="R596" s="381"/>
      <c r="S596" s="362"/>
      <c r="T596" s="362"/>
      <c r="U596" s="362"/>
      <c r="V596" s="362"/>
      <c r="W596" s="362"/>
      <c r="X596" s="362"/>
      <c r="Y596" s="362"/>
      <c r="Z596" s="362"/>
      <c r="AA596" s="362"/>
      <c r="AB596" s="381"/>
      <c r="AC596" s="381"/>
      <c r="AD596" s="381"/>
    </row>
    <row r="597" spans="1:30" x14ac:dyDescent="0.25">
      <c r="A597" s="190">
        <v>12</v>
      </c>
      <c r="B597" s="186" t="s">
        <v>4917</v>
      </c>
      <c r="C597" s="306"/>
      <c r="D597" s="337" t="s">
        <v>3081</v>
      </c>
      <c r="E597" s="337" t="s">
        <v>4918</v>
      </c>
      <c r="F597" s="337"/>
      <c r="G597" s="231" t="s">
        <v>3633</v>
      </c>
      <c r="H597" s="361"/>
      <c r="I597" s="186"/>
      <c r="J597" s="362"/>
      <c r="K597" s="382" t="s">
        <v>4916</v>
      </c>
      <c r="L597" s="383">
        <v>38324</v>
      </c>
      <c r="M597" s="383">
        <v>41976</v>
      </c>
      <c r="N597" s="377">
        <v>2012</v>
      </c>
      <c r="O597" s="351"/>
      <c r="P597" s="176"/>
      <c r="Q597" s="362"/>
      <c r="R597" s="362"/>
      <c r="S597" s="362"/>
      <c r="T597" s="362"/>
      <c r="U597" s="362"/>
      <c r="V597" s="362"/>
      <c r="W597" s="362"/>
      <c r="X597" s="362"/>
      <c r="Y597" s="362"/>
      <c r="Z597" s="362"/>
      <c r="AA597" s="362"/>
      <c r="AB597" s="362"/>
      <c r="AC597" s="362"/>
      <c r="AD597" s="362"/>
    </row>
    <row r="598" spans="1:30" x14ac:dyDescent="0.25">
      <c r="A598" s="190">
        <v>13</v>
      </c>
      <c r="B598" s="186" t="s">
        <v>4919</v>
      </c>
      <c r="C598" s="186"/>
      <c r="D598" s="210" t="s">
        <v>3081</v>
      </c>
      <c r="E598" s="210" t="s">
        <v>4920</v>
      </c>
      <c r="F598" s="210"/>
      <c r="G598" s="231" t="s">
        <v>3633</v>
      </c>
      <c r="H598" s="361"/>
      <c r="I598" s="186"/>
      <c r="J598" s="362"/>
      <c r="K598" s="360" t="s">
        <v>4916</v>
      </c>
      <c r="L598" s="368">
        <v>38324</v>
      </c>
      <c r="M598" s="368">
        <v>41976</v>
      </c>
      <c r="N598" s="351">
        <v>2012</v>
      </c>
      <c r="O598" s="351"/>
      <c r="P598" s="176"/>
      <c r="Q598" s="362"/>
      <c r="R598" s="362"/>
      <c r="S598" s="362"/>
      <c r="T598" s="362"/>
      <c r="U598" s="362"/>
      <c r="V598" s="362"/>
      <c r="W598" s="362"/>
      <c r="X598" s="362"/>
      <c r="Y598" s="362"/>
      <c r="Z598" s="362"/>
      <c r="AA598" s="362"/>
      <c r="AB598" s="362"/>
      <c r="AC598" s="362"/>
      <c r="AD598" s="362"/>
    </row>
    <row r="599" spans="1:30" x14ac:dyDescent="0.25">
      <c r="A599" s="190">
        <v>14</v>
      </c>
      <c r="B599" s="186" t="s">
        <v>4921</v>
      </c>
      <c r="C599" s="220"/>
      <c r="D599" s="341" t="s">
        <v>3081</v>
      </c>
      <c r="E599" s="341" t="s">
        <v>4922</v>
      </c>
      <c r="F599" s="341"/>
      <c r="G599" s="231" t="s">
        <v>3633</v>
      </c>
      <c r="H599" s="361"/>
      <c r="I599" s="186"/>
      <c r="J599" s="362"/>
      <c r="K599" s="384" t="s">
        <v>4916</v>
      </c>
      <c r="L599" s="385">
        <v>38324</v>
      </c>
      <c r="M599" s="385">
        <v>41976</v>
      </c>
      <c r="N599" s="386">
        <v>2012</v>
      </c>
      <c r="O599" s="351"/>
      <c r="P599" s="176"/>
      <c r="Q599" s="362"/>
      <c r="R599" s="362"/>
      <c r="S599" s="362"/>
      <c r="T599" s="362"/>
      <c r="U599" s="362"/>
      <c r="V599" s="362"/>
      <c r="W599" s="362"/>
      <c r="X599" s="362"/>
      <c r="Y599" s="362"/>
      <c r="Z599" s="362"/>
      <c r="AA599" s="362"/>
      <c r="AB599" s="362"/>
      <c r="AC599" s="362"/>
      <c r="AD599" s="362"/>
    </row>
    <row r="600" spans="1:30" x14ac:dyDescent="0.25">
      <c r="A600" s="211">
        <v>15</v>
      </c>
      <c r="B600" s="194" t="s">
        <v>4923</v>
      </c>
      <c r="C600" s="194">
        <v>3</v>
      </c>
      <c r="D600" s="210" t="s">
        <v>3015</v>
      </c>
      <c r="E600" s="378" t="s">
        <v>3014</v>
      </c>
      <c r="F600" s="210"/>
      <c r="G600" s="229" t="s">
        <v>3633</v>
      </c>
      <c r="H600" s="379" t="s">
        <v>248</v>
      </c>
      <c r="I600" s="186"/>
      <c r="J600" s="362"/>
      <c r="K600" s="360" t="s">
        <v>4924</v>
      </c>
      <c r="L600" s="368">
        <v>39541</v>
      </c>
      <c r="M600" s="360" t="s">
        <v>3958</v>
      </c>
      <c r="N600" s="380">
        <v>2012</v>
      </c>
      <c r="O600" s="351"/>
      <c r="P600" s="176"/>
      <c r="Q600" s="381"/>
      <c r="R600" s="381"/>
      <c r="S600" s="362"/>
      <c r="T600" s="362"/>
      <c r="U600" s="362"/>
      <c r="V600" s="362"/>
      <c r="W600" s="362"/>
      <c r="X600" s="362"/>
      <c r="Y600" s="362"/>
      <c r="Z600" s="362"/>
      <c r="AA600" s="362"/>
      <c r="AB600" s="381"/>
      <c r="AC600" s="381"/>
      <c r="AD600" s="381"/>
    </row>
    <row r="601" spans="1:30" x14ac:dyDescent="0.25">
      <c r="A601" s="190">
        <v>16</v>
      </c>
      <c r="B601" s="186" t="s">
        <v>4925</v>
      </c>
      <c r="C601" s="306"/>
      <c r="D601" s="337" t="s">
        <v>3015</v>
      </c>
      <c r="E601" s="337" t="s">
        <v>4926</v>
      </c>
      <c r="F601" s="337"/>
      <c r="G601" s="231" t="s">
        <v>3633</v>
      </c>
      <c r="H601" s="361" t="s">
        <v>248</v>
      </c>
      <c r="I601" s="186"/>
      <c r="J601" s="362"/>
      <c r="K601" s="382" t="s">
        <v>4924</v>
      </c>
      <c r="L601" s="383">
        <v>39541</v>
      </c>
      <c r="M601" s="382" t="s">
        <v>3958</v>
      </c>
      <c r="N601" s="377">
        <v>2012</v>
      </c>
      <c r="O601" s="351"/>
      <c r="P601" s="176"/>
      <c r="Q601" s="362"/>
      <c r="R601" s="362"/>
      <c r="S601" s="362"/>
      <c r="T601" s="362"/>
      <c r="U601" s="362"/>
      <c r="V601" s="362"/>
      <c r="W601" s="362"/>
      <c r="X601" s="362"/>
      <c r="Y601" s="362"/>
      <c r="Z601" s="362"/>
      <c r="AA601" s="362"/>
      <c r="AB601" s="362"/>
      <c r="AC601" s="362"/>
      <c r="AD601" s="362"/>
    </row>
    <row r="602" spans="1:30" x14ac:dyDescent="0.25">
      <c r="A602" s="190">
        <v>17</v>
      </c>
      <c r="B602" s="186" t="s">
        <v>4927</v>
      </c>
      <c r="C602" s="220"/>
      <c r="D602" s="341" t="s">
        <v>3015</v>
      </c>
      <c r="E602" s="341" t="s">
        <v>4928</v>
      </c>
      <c r="F602" s="341"/>
      <c r="G602" s="231" t="s">
        <v>3633</v>
      </c>
      <c r="H602" s="361" t="s">
        <v>248</v>
      </c>
      <c r="I602" s="186"/>
      <c r="J602" s="362"/>
      <c r="K602" s="384" t="s">
        <v>4924</v>
      </c>
      <c r="L602" s="385">
        <v>39541</v>
      </c>
      <c r="M602" s="384" t="s">
        <v>3958</v>
      </c>
      <c r="N602" s="386">
        <v>2012</v>
      </c>
      <c r="O602" s="351"/>
      <c r="P602" s="176"/>
      <c r="Q602" s="362"/>
      <c r="R602" s="362"/>
      <c r="S602" s="362"/>
      <c r="T602" s="362"/>
      <c r="U602" s="362"/>
      <c r="V602" s="362"/>
      <c r="W602" s="362"/>
      <c r="X602" s="362"/>
      <c r="Y602" s="362"/>
      <c r="Z602" s="362"/>
      <c r="AA602" s="362"/>
      <c r="AB602" s="362"/>
      <c r="AC602" s="362"/>
      <c r="AD602" s="362"/>
    </row>
    <row r="603" spans="1:30" x14ac:dyDescent="0.25">
      <c r="A603" s="211">
        <v>18</v>
      </c>
      <c r="B603" s="194" t="s">
        <v>4929</v>
      </c>
      <c r="C603" s="194">
        <v>3</v>
      </c>
      <c r="D603" s="210" t="s">
        <v>3190</v>
      </c>
      <c r="E603" s="378" t="s">
        <v>3189</v>
      </c>
      <c r="F603" s="210"/>
      <c r="G603" s="229" t="s">
        <v>3633</v>
      </c>
      <c r="H603" s="379"/>
      <c r="I603" s="186"/>
      <c r="J603" s="362"/>
      <c r="K603" s="360" t="s">
        <v>4930</v>
      </c>
      <c r="L603" s="368">
        <v>39545</v>
      </c>
      <c r="M603" s="360" t="s">
        <v>3958</v>
      </c>
      <c r="N603" s="380">
        <v>2009</v>
      </c>
      <c r="O603" s="351"/>
      <c r="P603" s="176"/>
      <c r="Q603" s="381"/>
      <c r="R603" s="381"/>
      <c r="S603" s="362"/>
      <c r="T603" s="362"/>
      <c r="U603" s="362"/>
      <c r="V603" s="362"/>
      <c r="W603" s="362"/>
      <c r="X603" s="362"/>
      <c r="Y603" s="362"/>
      <c r="Z603" s="362"/>
      <c r="AA603" s="362"/>
      <c r="AB603" s="381"/>
      <c r="AC603" s="381"/>
      <c r="AD603" s="381"/>
    </row>
    <row r="604" spans="1:30" x14ac:dyDescent="0.25">
      <c r="B604" s="194" t="s">
        <v>4931</v>
      </c>
      <c r="C604" s="194">
        <v>3</v>
      </c>
      <c r="D604" s="210"/>
      <c r="E604" s="378" t="s">
        <v>3196</v>
      </c>
      <c r="F604" s="210"/>
      <c r="G604" s="229" t="s">
        <v>3633</v>
      </c>
      <c r="H604" s="379"/>
      <c r="I604" s="186"/>
      <c r="J604" s="362"/>
      <c r="K604" s="360" t="s">
        <v>4932</v>
      </c>
      <c r="L604" s="368">
        <v>39805</v>
      </c>
      <c r="M604" s="360" t="s">
        <v>3958</v>
      </c>
      <c r="N604" s="380">
        <v>2013</v>
      </c>
      <c r="O604" s="351"/>
      <c r="P604" s="176"/>
      <c r="Q604" s="381"/>
      <c r="R604" s="381"/>
      <c r="S604" s="362"/>
      <c r="T604" s="362"/>
      <c r="U604" s="362"/>
      <c r="V604" s="362"/>
      <c r="W604" s="362"/>
      <c r="X604" s="362"/>
      <c r="Y604" s="362"/>
      <c r="Z604" s="362"/>
      <c r="AA604" s="362"/>
      <c r="AB604" s="381"/>
      <c r="AC604" s="381"/>
      <c r="AD604" s="381"/>
    </row>
    <row r="605" spans="1:30" x14ac:dyDescent="0.25">
      <c r="A605" s="190">
        <v>137</v>
      </c>
      <c r="B605" s="186" t="s">
        <v>4933</v>
      </c>
      <c r="C605" s="306"/>
      <c r="D605" s="337" t="s">
        <v>3069</v>
      </c>
      <c r="E605" s="337"/>
      <c r="F605" s="294"/>
      <c r="G605" s="231" t="s">
        <v>3633</v>
      </c>
      <c r="H605" s="361"/>
      <c r="I605" s="186"/>
      <c r="J605" s="362"/>
      <c r="K605" s="295" t="s">
        <v>4934</v>
      </c>
      <c r="L605" s="310">
        <v>39572</v>
      </c>
      <c r="M605" s="387" t="s">
        <v>3958</v>
      </c>
      <c r="N605" s="377"/>
      <c r="O605" s="351"/>
      <c r="P605" s="176"/>
      <c r="Q605" s="362"/>
      <c r="R605" s="362"/>
      <c r="S605" s="362"/>
      <c r="T605" s="362"/>
      <c r="U605" s="362"/>
      <c r="V605" s="362"/>
      <c r="W605" s="362"/>
      <c r="X605" s="362"/>
      <c r="Y605" s="362"/>
      <c r="Z605" s="362"/>
      <c r="AA605" s="362"/>
      <c r="AB605" s="362"/>
      <c r="AC605" s="362"/>
      <c r="AD605" s="362"/>
    </row>
    <row r="606" spans="1:30" x14ac:dyDescent="0.25">
      <c r="A606" s="190">
        <v>138</v>
      </c>
      <c r="B606" s="186" t="s">
        <v>4935</v>
      </c>
      <c r="C606" s="186"/>
      <c r="D606" s="210" t="s">
        <v>4936</v>
      </c>
      <c r="E606" s="210"/>
      <c r="F606" s="210"/>
      <c r="G606" s="231" t="s">
        <v>3633</v>
      </c>
      <c r="H606" s="361"/>
      <c r="I606" s="186"/>
      <c r="J606" s="362"/>
      <c r="K606" s="360" t="s">
        <v>4937</v>
      </c>
      <c r="L606" s="368">
        <v>38936</v>
      </c>
      <c r="M606" s="368">
        <v>42589</v>
      </c>
      <c r="N606" s="351"/>
      <c r="O606" s="351"/>
      <c r="P606" s="176"/>
      <c r="Q606" s="362"/>
      <c r="R606" s="362"/>
      <c r="S606" s="362"/>
      <c r="T606" s="362"/>
      <c r="U606" s="362"/>
      <c r="V606" s="362"/>
      <c r="W606" s="362"/>
      <c r="X606" s="362"/>
      <c r="Y606" s="362"/>
      <c r="Z606" s="362"/>
      <c r="AA606" s="362"/>
      <c r="AB606" s="362"/>
      <c r="AC606" s="362"/>
      <c r="AD606" s="362"/>
    </row>
    <row r="607" spans="1:30" x14ac:dyDescent="0.25">
      <c r="A607" s="190">
        <v>20</v>
      </c>
      <c r="B607" s="329" t="s">
        <v>4938</v>
      </c>
      <c r="C607" s="329"/>
      <c r="E607" s="330"/>
      <c r="F607" s="209"/>
      <c r="G607" s="342" t="s">
        <v>3633</v>
      </c>
      <c r="H607" s="342"/>
      <c r="J607" s="369"/>
      <c r="L607" s="231"/>
      <c r="M607" s="231"/>
      <c r="N607" s="333"/>
      <c r="P607" s="372"/>
      <c r="Q607" s="374">
        <v>12</v>
      </c>
      <c r="R607" s="245" t="s">
        <v>3990</v>
      </c>
      <c r="S607" s="311" t="s">
        <v>4192</v>
      </c>
      <c r="T607" s="245">
        <v>41034</v>
      </c>
      <c r="U607" s="231" t="s">
        <v>4193</v>
      </c>
      <c r="Z607" s="231">
        <v>1</v>
      </c>
      <c r="AA607" s="231" t="s">
        <v>4179</v>
      </c>
      <c r="AB607" s="231"/>
      <c r="AC607" s="231"/>
      <c r="AD607" s="231"/>
    </row>
    <row r="608" spans="1:30" x14ac:dyDescent="0.25">
      <c r="A608" s="211">
        <v>22</v>
      </c>
      <c r="B608" s="211" t="s">
        <v>4939</v>
      </c>
      <c r="C608" s="211">
        <v>1</v>
      </c>
      <c r="D608" s="345" t="s">
        <v>4940</v>
      </c>
      <c r="E608" s="292" t="s">
        <v>4941</v>
      </c>
      <c r="F608" s="345"/>
      <c r="G608" s="229" t="s">
        <v>3633</v>
      </c>
      <c r="H608" s="229" t="s">
        <v>4903</v>
      </c>
      <c r="I608" s="371"/>
      <c r="J608" s="369"/>
      <c r="K608" s="262" t="s">
        <v>3980</v>
      </c>
      <c r="L608" s="263">
        <v>38051</v>
      </c>
      <c r="M608" s="263">
        <v>41703</v>
      </c>
      <c r="N608" s="255">
        <v>2009</v>
      </c>
      <c r="O608" s="372"/>
      <c r="P608" s="372"/>
      <c r="Q608" s="375">
        <v>12</v>
      </c>
      <c r="R608" s="254">
        <v>40820</v>
      </c>
      <c r="S608" s="311" t="s">
        <v>4192</v>
      </c>
      <c r="T608" s="245">
        <v>41186</v>
      </c>
      <c r="U608" s="231" t="s">
        <v>4178</v>
      </c>
      <c r="Z608" s="231">
        <v>1</v>
      </c>
      <c r="AA608" s="231" t="s">
        <v>4179</v>
      </c>
    </row>
    <row r="609" spans="1:30" x14ac:dyDescent="0.25">
      <c r="B609" s="194" t="s">
        <v>3786</v>
      </c>
      <c r="C609" s="194" t="s">
        <v>3778</v>
      </c>
      <c r="D609" s="345" t="s">
        <v>4942</v>
      </c>
      <c r="E609" s="292" t="s">
        <v>4942</v>
      </c>
      <c r="F609" s="345"/>
      <c r="G609" s="229" t="s">
        <v>3633</v>
      </c>
      <c r="H609" s="229" t="s">
        <v>4903</v>
      </c>
      <c r="I609" s="371"/>
      <c r="J609" s="369"/>
      <c r="L609" s="263"/>
      <c r="M609" s="263"/>
      <c r="N609" s="255"/>
      <c r="O609" s="372"/>
      <c r="P609" s="372"/>
      <c r="Q609" s="375"/>
      <c r="T609" s="245"/>
    </row>
    <row r="610" spans="1:30" x14ac:dyDescent="0.25">
      <c r="A610" s="211">
        <v>23</v>
      </c>
      <c r="B610" s="388" t="s">
        <v>4943</v>
      </c>
      <c r="C610" s="388">
        <v>3</v>
      </c>
      <c r="D610" s="209" t="s">
        <v>3194</v>
      </c>
      <c r="E610" s="389" t="s">
        <v>3193</v>
      </c>
      <c r="F610" s="209"/>
      <c r="G610" s="390" t="s">
        <v>3633</v>
      </c>
      <c r="H610" s="390" t="s">
        <v>248</v>
      </c>
      <c r="J610" s="369"/>
      <c r="K610" s="262" t="s">
        <v>4944</v>
      </c>
      <c r="L610" s="263">
        <v>40149</v>
      </c>
      <c r="M610" s="231" t="s">
        <v>3958</v>
      </c>
      <c r="N610" s="391">
        <v>2009</v>
      </c>
      <c r="P610" s="372"/>
      <c r="Q610" s="375">
        <v>12</v>
      </c>
      <c r="R610" s="254" t="s">
        <v>3990</v>
      </c>
      <c r="S610" s="311" t="s">
        <v>4192</v>
      </c>
      <c r="T610" s="245">
        <v>41165</v>
      </c>
      <c r="U610" s="231" t="s">
        <v>4178</v>
      </c>
      <c r="Z610" s="231">
        <v>1</v>
      </c>
      <c r="AA610" s="231" t="s">
        <v>4179</v>
      </c>
    </row>
    <row r="611" spans="1:30" x14ac:dyDescent="0.25">
      <c r="A611" s="211">
        <v>25</v>
      </c>
      <c r="B611" s="211" t="s">
        <v>4945</v>
      </c>
      <c r="C611" s="211">
        <v>1</v>
      </c>
      <c r="D611" s="293" t="s">
        <v>4946</v>
      </c>
      <c r="E611" s="378" t="s">
        <v>4947</v>
      </c>
      <c r="F611" s="293"/>
      <c r="G611" s="229" t="s">
        <v>3633</v>
      </c>
      <c r="H611" s="229" t="s">
        <v>4903</v>
      </c>
      <c r="I611" s="371"/>
      <c r="J611" s="369"/>
      <c r="K611" s="262" t="s">
        <v>4335</v>
      </c>
      <c r="L611" s="364">
        <v>41254</v>
      </c>
      <c r="M611" s="360" t="s">
        <v>3958</v>
      </c>
      <c r="N611" s="380">
        <v>2005</v>
      </c>
      <c r="O611" s="392"/>
      <c r="P611" s="392"/>
      <c r="Q611" s="375">
        <v>12</v>
      </c>
      <c r="R611" s="254" t="s">
        <v>3990</v>
      </c>
      <c r="S611" s="311" t="s">
        <v>4192</v>
      </c>
      <c r="T611" s="245">
        <v>40940</v>
      </c>
      <c r="U611" s="231" t="s">
        <v>4178</v>
      </c>
      <c r="Z611" s="231">
        <v>1</v>
      </c>
      <c r="AA611" s="231" t="s">
        <v>4179</v>
      </c>
    </row>
    <row r="612" spans="1:30" x14ac:dyDescent="0.25">
      <c r="A612" s="211">
        <v>26</v>
      </c>
      <c r="B612" s="393" t="s">
        <v>3905</v>
      </c>
      <c r="C612" s="393">
        <v>3</v>
      </c>
      <c r="E612" s="394" t="s">
        <v>2023</v>
      </c>
      <c r="F612" s="209"/>
      <c r="G612" s="395" t="s">
        <v>3633</v>
      </c>
      <c r="H612" s="395" t="s">
        <v>4903</v>
      </c>
      <c r="J612" s="369"/>
      <c r="K612" s="262" t="s">
        <v>4948</v>
      </c>
      <c r="L612" s="263">
        <v>40273</v>
      </c>
      <c r="M612" s="231" t="s">
        <v>3958</v>
      </c>
      <c r="N612" s="396"/>
      <c r="P612" s="372"/>
      <c r="Q612" s="375">
        <v>36</v>
      </c>
      <c r="R612" s="254">
        <v>40830</v>
      </c>
      <c r="S612" s="311" t="s">
        <v>4177</v>
      </c>
      <c r="T612" s="245">
        <v>41926</v>
      </c>
      <c r="U612" s="231" t="s">
        <v>4193</v>
      </c>
      <c r="Z612" s="231">
        <v>1</v>
      </c>
      <c r="AA612" s="231" t="s">
        <v>4179</v>
      </c>
    </row>
    <row r="613" spans="1:30" x14ac:dyDescent="0.25">
      <c r="A613" s="190">
        <v>27</v>
      </c>
      <c r="B613" s="190" t="s">
        <v>4949</v>
      </c>
      <c r="C613" s="190"/>
      <c r="D613" s="209" t="s">
        <v>4950</v>
      </c>
      <c r="E613" s="209" t="s">
        <v>4951</v>
      </c>
      <c r="F613" s="209"/>
      <c r="G613" s="231" t="s">
        <v>3633</v>
      </c>
      <c r="H613" s="231" t="s">
        <v>4903</v>
      </c>
      <c r="J613" s="369"/>
      <c r="K613" s="262" t="s">
        <v>4952</v>
      </c>
      <c r="L613" s="231" t="s">
        <v>4953</v>
      </c>
      <c r="M613" s="231" t="s">
        <v>4954</v>
      </c>
      <c r="N613" s="242">
        <v>2010</v>
      </c>
      <c r="P613" s="372"/>
      <c r="Q613" s="374">
        <v>36</v>
      </c>
      <c r="R613" s="245">
        <v>40830</v>
      </c>
      <c r="S613" s="311" t="s">
        <v>4177</v>
      </c>
      <c r="T613" s="245">
        <v>41926</v>
      </c>
      <c r="U613" s="231" t="s">
        <v>4193</v>
      </c>
      <c r="Z613" s="231">
        <v>1</v>
      </c>
      <c r="AA613" s="231" t="s">
        <v>4179</v>
      </c>
      <c r="AB613" s="231"/>
      <c r="AC613" s="231"/>
      <c r="AD613" s="231"/>
    </row>
    <row r="614" spans="1:30" x14ac:dyDescent="0.25">
      <c r="A614" s="211">
        <v>28</v>
      </c>
      <c r="B614" s="194" t="s">
        <v>4955</v>
      </c>
      <c r="C614" s="194">
        <v>3</v>
      </c>
      <c r="D614" s="210" t="s">
        <v>4956</v>
      </c>
      <c r="E614" s="378"/>
      <c r="F614" s="210"/>
      <c r="G614" s="229" t="s">
        <v>3633</v>
      </c>
      <c r="H614" s="379" t="s">
        <v>4903</v>
      </c>
      <c r="I614" s="186"/>
      <c r="J614" s="362"/>
      <c r="K614" s="360"/>
      <c r="L614" s="360"/>
      <c r="M614" s="360"/>
      <c r="N614" s="380"/>
      <c r="O614" s="351"/>
      <c r="P614" s="176"/>
      <c r="Q614" s="381"/>
      <c r="R614" s="381"/>
      <c r="S614" s="362"/>
      <c r="T614" s="362"/>
      <c r="U614" s="362"/>
      <c r="V614" s="362"/>
      <c r="W614" s="362"/>
      <c r="X614" s="362"/>
      <c r="Y614" s="362"/>
      <c r="Z614" s="362"/>
      <c r="AA614" s="362"/>
      <c r="AB614" s="381"/>
      <c r="AC614" s="381"/>
      <c r="AD614" s="381"/>
    </row>
    <row r="615" spans="1:30" x14ac:dyDescent="0.25">
      <c r="A615" s="211">
        <v>29</v>
      </c>
      <c r="B615" s="194" t="s">
        <v>4957</v>
      </c>
      <c r="C615" s="194">
        <v>3</v>
      </c>
      <c r="D615" s="210" t="s">
        <v>4958</v>
      </c>
      <c r="F615" s="209"/>
      <c r="G615" s="229" t="s">
        <v>3633</v>
      </c>
      <c r="H615" s="229" t="s">
        <v>248</v>
      </c>
      <c r="I615" s="186"/>
      <c r="J615" s="369"/>
      <c r="K615" s="262" t="s">
        <v>4959</v>
      </c>
      <c r="L615" s="231"/>
      <c r="M615" s="231"/>
      <c r="N615" s="255"/>
      <c r="P615" s="372"/>
      <c r="Q615" s="375">
        <v>24</v>
      </c>
      <c r="R615" s="254" t="s">
        <v>3990</v>
      </c>
      <c r="T615" s="245"/>
      <c r="Z615" s="231">
        <v>0</v>
      </c>
      <c r="AA615" s="231" t="s">
        <v>4179</v>
      </c>
    </row>
    <row r="616" spans="1:30" x14ac:dyDescent="0.25">
      <c r="A616" s="211">
        <v>30</v>
      </c>
      <c r="B616" s="194" t="s">
        <v>4960</v>
      </c>
      <c r="C616" s="194">
        <v>3</v>
      </c>
      <c r="D616" s="210" t="s">
        <v>3164</v>
      </c>
      <c r="F616" s="209"/>
      <c r="G616" s="229" t="s">
        <v>3633</v>
      </c>
      <c r="H616" s="229" t="s">
        <v>248</v>
      </c>
      <c r="I616" s="186"/>
      <c r="J616" s="369"/>
      <c r="L616" s="231"/>
      <c r="M616" s="231"/>
      <c r="N616" s="255"/>
      <c r="P616" s="372"/>
      <c r="Q616" s="375">
        <v>12</v>
      </c>
      <c r="R616" s="254" t="s">
        <v>3990</v>
      </c>
      <c r="T616" s="245"/>
      <c r="Z616" s="231">
        <v>0</v>
      </c>
      <c r="AA616" s="231" t="s">
        <v>4179</v>
      </c>
    </row>
    <row r="617" spans="1:30" x14ac:dyDescent="0.25">
      <c r="A617" s="211">
        <v>63</v>
      </c>
      <c r="B617" s="194" t="s">
        <v>4961</v>
      </c>
      <c r="C617" s="194">
        <v>3</v>
      </c>
      <c r="D617" s="210" t="s">
        <v>4962</v>
      </c>
      <c r="E617" s="378"/>
      <c r="F617" s="210"/>
      <c r="G617" s="229" t="s">
        <v>3633</v>
      </c>
      <c r="H617" s="379" t="s">
        <v>248</v>
      </c>
      <c r="I617" s="186"/>
      <c r="J617" s="362"/>
      <c r="K617" s="360"/>
      <c r="L617" s="360"/>
      <c r="M617" s="360"/>
      <c r="N617" s="380"/>
      <c r="O617" s="351"/>
      <c r="P617" s="176"/>
      <c r="Q617" s="381"/>
      <c r="R617" s="381"/>
      <c r="S617" s="362"/>
      <c r="T617" s="362"/>
      <c r="U617" s="362"/>
      <c r="V617" s="362"/>
      <c r="W617" s="362"/>
      <c r="X617" s="362"/>
      <c r="Y617" s="362"/>
      <c r="Z617" s="362"/>
      <c r="AA617" s="362"/>
      <c r="AB617" s="381"/>
      <c r="AC617" s="381"/>
      <c r="AD617" s="381"/>
    </row>
    <row r="618" spans="1:30" x14ac:dyDescent="0.25">
      <c r="A618" s="190">
        <v>31</v>
      </c>
      <c r="B618" s="190" t="s">
        <v>4181</v>
      </c>
      <c r="C618" s="190"/>
      <c r="E618" s="209" t="s">
        <v>2150</v>
      </c>
      <c r="F618" s="209"/>
      <c r="G618" s="231" t="s">
        <v>3633</v>
      </c>
      <c r="H618" s="231" t="s">
        <v>4963</v>
      </c>
      <c r="J618" s="369"/>
      <c r="L618" s="231"/>
      <c r="M618" s="231"/>
      <c r="N618" s="242"/>
      <c r="Q618" s="244">
        <v>12</v>
      </c>
      <c r="R618" s="245">
        <v>42248</v>
      </c>
      <c r="S618" s="311" t="s">
        <v>4177</v>
      </c>
      <c r="T618" s="245">
        <v>41197</v>
      </c>
      <c r="U618" s="231" t="s">
        <v>4179</v>
      </c>
      <c r="Z618" s="231">
        <v>1</v>
      </c>
      <c r="AA618" s="231" t="s">
        <v>4179</v>
      </c>
      <c r="AB618" s="231"/>
      <c r="AC618" s="231"/>
      <c r="AD618" s="231"/>
    </row>
    <row r="619" spans="1:30" x14ac:dyDescent="0.25">
      <c r="A619" s="190"/>
      <c r="B619" s="190" t="s">
        <v>4184</v>
      </c>
      <c r="C619" s="190"/>
      <c r="E619" s="209" t="s">
        <v>3115</v>
      </c>
      <c r="F619" s="209"/>
      <c r="G619" s="231" t="s">
        <v>3633</v>
      </c>
      <c r="H619" s="231" t="s">
        <v>4458</v>
      </c>
      <c r="J619" s="369"/>
      <c r="L619" s="231"/>
      <c r="M619" s="231"/>
      <c r="N619" s="242"/>
      <c r="Q619" s="244">
        <v>12</v>
      </c>
      <c r="R619" s="245">
        <v>42248</v>
      </c>
      <c r="T619" s="245"/>
      <c r="AB619" s="231"/>
      <c r="AC619" s="231"/>
      <c r="AD619" s="231"/>
    </row>
    <row r="620" spans="1:30" x14ac:dyDescent="0.25">
      <c r="A620" s="190">
        <v>32</v>
      </c>
      <c r="B620" s="186" t="s">
        <v>3904</v>
      </c>
      <c r="C620" s="186"/>
      <c r="E620" s="209"/>
      <c r="F620" s="209"/>
      <c r="G620" s="231" t="s">
        <v>3633</v>
      </c>
      <c r="H620" s="231"/>
      <c r="I620" s="186"/>
      <c r="J620" s="369"/>
      <c r="K620" s="262" t="s">
        <v>4058</v>
      </c>
      <c r="L620" s="263">
        <v>39885</v>
      </c>
      <c r="M620" s="231" t="s">
        <v>3958</v>
      </c>
      <c r="N620" s="242">
        <v>2010</v>
      </c>
      <c r="P620" s="372"/>
      <c r="Q620" s="374">
        <v>12</v>
      </c>
      <c r="R620" s="245">
        <v>40299</v>
      </c>
      <c r="S620" s="311" t="s">
        <v>4192</v>
      </c>
      <c r="T620" s="245">
        <v>41030</v>
      </c>
      <c r="U620" s="231" t="s">
        <v>4178</v>
      </c>
      <c r="Z620" s="231">
        <v>1</v>
      </c>
      <c r="AA620" s="231" t="s">
        <v>4179</v>
      </c>
      <c r="AB620" s="231"/>
      <c r="AC620" s="231"/>
      <c r="AD620" s="231"/>
    </row>
    <row r="621" spans="1:30" x14ac:dyDescent="0.25">
      <c r="A621" s="190">
        <v>33</v>
      </c>
      <c r="B621" s="190" t="s">
        <v>3771</v>
      </c>
      <c r="C621" s="190"/>
      <c r="E621" s="209"/>
      <c r="F621" s="209"/>
      <c r="G621" s="231" t="s">
        <v>3633</v>
      </c>
      <c r="H621" s="231"/>
      <c r="J621" s="369"/>
      <c r="L621" s="231"/>
      <c r="M621" s="231"/>
      <c r="N621" s="242">
        <v>2010</v>
      </c>
      <c r="P621" s="372"/>
      <c r="Q621" s="374">
        <v>12</v>
      </c>
      <c r="R621" s="245">
        <v>40303</v>
      </c>
      <c r="S621" s="311" t="s">
        <v>4192</v>
      </c>
      <c r="T621" s="245">
        <v>41034</v>
      </c>
      <c r="U621" s="231" t="s">
        <v>4454</v>
      </c>
      <c r="Z621" s="231">
        <v>0</v>
      </c>
      <c r="AA621" s="231" t="s">
        <v>4179</v>
      </c>
      <c r="AB621" s="231"/>
      <c r="AC621" s="231"/>
      <c r="AD621" s="231"/>
    </row>
    <row r="622" spans="1:30" x14ac:dyDescent="0.25">
      <c r="A622" s="190">
        <v>34</v>
      </c>
      <c r="B622" s="190" t="s">
        <v>4964</v>
      </c>
      <c r="C622" s="190"/>
      <c r="E622" s="209"/>
      <c r="F622" s="209"/>
      <c r="G622" s="231" t="s">
        <v>3633</v>
      </c>
      <c r="H622" s="231"/>
      <c r="J622" s="369"/>
      <c r="L622" s="231"/>
      <c r="M622" s="231"/>
      <c r="N622" s="242"/>
      <c r="P622" s="372"/>
      <c r="Q622" s="374">
        <v>12</v>
      </c>
      <c r="R622" s="245">
        <v>40014</v>
      </c>
      <c r="S622" s="311" t="s">
        <v>4192</v>
      </c>
      <c r="T622" s="245">
        <v>41110</v>
      </c>
      <c r="U622" s="231" t="s">
        <v>4454</v>
      </c>
      <c r="Z622" s="231">
        <v>1</v>
      </c>
      <c r="AA622" s="231" t="s">
        <v>4179</v>
      </c>
      <c r="AB622" s="231"/>
      <c r="AC622" s="231"/>
      <c r="AD622" s="231"/>
    </row>
    <row r="623" spans="1:30" x14ac:dyDescent="0.25">
      <c r="A623" s="190">
        <v>35</v>
      </c>
      <c r="B623" s="190" t="s">
        <v>4965</v>
      </c>
      <c r="C623" s="190"/>
      <c r="E623" s="209"/>
      <c r="F623" s="209"/>
      <c r="G623" s="231" t="s">
        <v>3633</v>
      </c>
      <c r="H623" s="231"/>
      <c r="J623" s="369"/>
      <c r="L623" s="231"/>
      <c r="M623" s="231"/>
      <c r="N623" s="242"/>
      <c r="P623" s="372"/>
      <c r="Q623" s="374">
        <v>12</v>
      </c>
      <c r="R623" s="245"/>
      <c r="S623" s="311" t="s">
        <v>4192</v>
      </c>
      <c r="T623" s="245"/>
      <c r="U623" s="231" t="s">
        <v>4179</v>
      </c>
      <c r="Z623" s="231">
        <v>2</v>
      </c>
      <c r="AA623" s="231" t="s">
        <v>4179</v>
      </c>
      <c r="AB623" s="231"/>
      <c r="AC623" s="231"/>
      <c r="AD623" s="231"/>
    </row>
    <row r="624" spans="1:30" x14ac:dyDescent="0.25">
      <c r="A624" s="190">
        <v>36</v>
      </c>
      <c r="B624" s="190" t="s">
        <v>4966</v>
      </c>
      <c r="C624" s="190"/>
      <c r="E624" s="209"/>
      <c r="F624" s="209"/>
      <c r="G624" s="231" t="s">
        <v>3633</v>
      </c>
      <c r="H624" s="231"/>
      <c r="J624" s="369"/>
      <c r="L624" s="231"/>
      <c r="M624" s="231"/>
      <c r="N624" s="242"/>
      <c r="P624" s="372"/>
      <c r="Q624" s="374">
        <v>12</v>
      </c>
      <c r="R624" s="245"/>
      <c r="S624" s="311" t="s">
        <v>4192</v>
      </c>
      <c r="T624" s="245"/>
      <c r="U624" s="231" t="s">
        <v>4193</v>
      </c>
      <c r="Z624" s="231">
        <v>1</v>
      </c>
      <c r="AA624" s="231" t="s">
        <v>4179</v>
      </c>
      <c r="AB624" s="231"/>
      <c r="AC624" s="231"/>
      <c r="AD624" s="231"/>
    </row>
    <row r="625" spans="1:30" x14ac:dyDescent="0.25">
      <c r="A625" s="190">
        <v>37</v>
      </c>
      <c r="B625" s="190" t="s">
        <v>4191</v>
      </c>
      <c r="C625" s="190"/>
      <c r="E625" s="209"/>
      <c r="F625" s="209"/>
      <c r="G625" s="231" t="s">
        <v>3633</v>
      </c>
      <c r="H625" s="231"/>
      <c r="J625" s="369"/>
      <c r="L625" s="231"/>
      <c r="M625" s="231"/>
      <c r="N625" s="242"/>
      <c r="P625" s="372"/>
      <c r="Q625" s="374"/>
      <c r="R625" s="245"/>
      <c r="T625" s="245"/>
      <c r="Z625" s="231">
        <v>0</v>
      </c>
      <c r="AA625" s="231" t="s">
        <v>4179</v>
      </c>
      <c r="AB625" s="231"/>
      <c r="AC625" s="231"/>
      <c r="AD625" s="231"/>
    </row>
    <row r="626" spans="1:30" x14ac:dyDescent="0.25">
      <c r="A626" s="211">
        <v>38</v>
      </c>
      <c r="B626" s="211" t="s">
        <v>4967</v>
      </c>
      <c r="C626" s="211">
        <v>3</v>
      </c>
      <c r="F626" s="209"/>
      <c r="G626" s="229" t="s">
        <v>3633</v>
      </c>
      <c r="H626" s="229" t="s">
        <v>4551</v>
      </c>
      <c r="J626" s="369"/>
      <c r="L626" s="231"/>
      <c r="M626" s="231"/>
      <c r="N626" s="255"/>
      <c r="P626" s="372"/>
      <c r="Q626" s="375">
        <v>12</v>
      </c>
      <c r="R626" s="254">
        <v>40837</v>
      </c>
      <c r="S626" s="311" t="s">
        <v>4177</v>
      </c>
      <c r="T626" s="245">
        <v>41203</v>
      </c>
      <c r="U626" s="231" t="s">
        <v>4178</v>
      </c>
      <c r="Z626" s="231">
        <v>1</v>
      </c>
      <c r="AA626" s="231" t="s">
        <v>4179</v>
      </c>
    </row>
    <row r="627" spans="1:30" x14ac:dyDescent="0.25">
      <c r="A627" s="211">
        <v>39</v>
      </c>
      <c r="B627" s="211" t="s">
        <v>4555</v>
      </c>
      <c r="C627" s="211">
        <v>3</v>
      </c>
      <c r="F627" s="209"/>
      <c r="G627" s="229" t="s">
        <v>3633</v>
      </c>
      <c r="H627" s="229" t="s">
        <v>4551</v>
      </c>
      <c r="J627" s="369"/>
      <c r="L627" s="231"/>
      <c r="M627" s="231"/>
      <c r="N627" s="255"/>
      <c r="P627" s="372"/>
      <c r="Q627" s="375">
        <v>12</v>
      </c>
      <c r="R627" s="254">
        <v>40837</v>
      </c>
      <c r="S627" s="311" t="s">
        <v>4189</v>
      </c>
      <c r="T627" s="245">
        <v>41203</v>
      </c>
      <c r="U627" s="231" t="s">
        <v>4178</v>
      </c>
      <c r="Z627" s="231">
        <v>1</v>
      </c>
      <c r="AA627" s="231" t="s">
        <v>4179</v>
      </c>
    </row>
    <row r="628" spans="1:30" x14ac:dyDescent="0.25">
      <c r="A628" s="211">
        <v>40</v>
      </c>
      <c r="B628" s="211" t="s">
        <v>4968</v>
      </c>
      <c r="C628" s="211">
        <v>3</v>
      </c>
      <c r="F628" s="209"/>
      <c r="G628" s="229" t="s">
        <v>3633</v>
      </c>
      <c r="H628" s="229" t="s">
        <v>4551</v>
      </c>
      <c r="J628" s="369"/>
      <c r="L628" s="231"/>
      <c r="M628" s="231"/>
      <c r="N628" s="255"/>
      <c r="P628" s="372"/>
      <c r="Q628" s="375">
        <v>12</v>
      </c>
      <c r="R628" s="254">
        <v>40159</v>
      </c>
      <c r="S628" s="311" t="s">
        <v>4189</v>
      </c>
      <c r="T628" s="245">
        <v>41255</v>
      </c>
      <c r="U628" s="231" t="s">
        <v>4178</v>
      </c>
      <c r="Z628" s="231">
        <v>1</v>
      </c>
      <c r="AA628" s="231" t="s">
        <v>4179</v>
      </c>
    </row>
    <row r="629" spans="1:30" x14ac:dyDescent="0.25">
      <c r="A629" s="211">
        <v>41</v>
      </c>
      <c r="B629" s="211" t="s">
        <v>4969</v>
      </c>
      <c r="C629" s="211">
        <v>3</v>
      </c>
      <c r="F629" s="209"/>
      <c r="G629" s="229" t="s">
        <v>3633</v>
      </c>
      <c r="H629" s="229" t="s">
        <v>4551</v>
      </c>
      <c r="J629" s="369"/>
      <c r="L629" s="231"/>
      <c r="M629" s="231"/>
      <c r="N629" s="255"/>
      <c r="P629" s="372"/>
      <c r="Q629" s="375">
        <v>12</v>
      </c>
      <c r="R629" s="254">
        <v>40107</v>
      </c>
      <c r="S629" s="311" t="s">
        <v>4192</v>
      </c>
      <c r="T629" s="245">
        <v>41203</v>
      </c>
      <c r="U629" s="231" t="s">
        <v>4178</v>
      </c>
      <c r="Z629" s="231">
        <v>1</v>
      </c>
      <c r="AA629" s="231" t="s">
        <v>4179</v>
      </c>
    </row>
    <row r="630" spans="1:30" x14ac:dyDescent="0.25">
      <c r="A630" s="211">
        <v>42</v>
      </c>
      <c r="B630" s="211" t="s">
        <v>4553</v>
      </c>
      <c r="C630" s="211">
        <v>3</v>
      </c>
      <c r="F630" s="209"/>
      <c r="G630" s="229" t="s">
        <v>3633</v>
      </c>
      <c r="H630" s="229" t="s">
        <v>4551</v>
      </c>
      <c r="J630" s="369"/>
      <c r="L630" s="231"/>
      <c r="M630" s="231"/>
      <c r="N630" s="255"/>
      <c r="P630" s="372"/>
      <c r="Q630" s="375">
        <v>12</v>
      </c>
      <c r="R630" s="254">
        <v>40107</v>
      </c>
      <c r="S630" s="311" t="s">
        <v>4192</v>
      </c>
      <c r="T630" s="245">
        <v>41203</v>
      </c>
      <c r="U630" s="231" t="s">
        <v>4178</v>
      </c>
      <c r="Z630" s="231">
        <v>1</v>
      </c>
      <c r="AA630" s="231" t="s">
        <v>4179</v>
      </c>
    </row>
    <row r="631" spans="1:30" x14ac:dyDescent="0.25">
      <c r="A631" s="211">
        <v>43</v>
      </c>
      <c r="B631" s="211" t="s">
        <v>4970</v>
      </c>
      <c r="C631" s="211">
        <v>3</v>
      </c>
      <c r="F631" s="209"/>
      <c r="G631" s="229" t="s">
        <v>3633</v>
      </c>
      <c r="H631" s="229" t="s">
        <v>4551</v>
      </c>
      <c r="J631" s="369"/>
      <c r="L631" s="231"/>
      <c r="M631" s="231"/>
      <c r="N631" s="255"/>
      <c r="P631" s="372"/>
      <c r="Q631" s="375">
        <v>12</v>
      </c>
      <c r="R631" s="254">
        <v>40107</v>
      </c>
      <c r="S631" s="311" t="s">
        <v>4192</v>
      </c>
      <c r="T631" s="245">
        <v>41203</v>
      </c>
      <c r="U631" s="231" t="s">
        <v>4178</v>
      </c>
      <c r="Z631" s="231">
        <v>1</v>
      </c>
      <c r="AA631" s="231" t="s">
        <v>4179</v>
      </c>
    </row>
    <row r="632" spans="1:30" x14ac:dyDescent="0.25">
      <c r="A632" s="211">
        <v>44</v>
      </c>
      <c r="B632" s="211" t="s">
        <v>4971</v>
      </c>
      <c r="C632" s="211">
        <v>3</v>
      </c>
      <c r="F632" s="209"/>
      <c r="G632" s="229" t="s">
        <v>3633</v>
      </c>
      <c r="H632" s="229" t="s">
        <v>4551</v>
      </c>
      <c r="J632" s="369"/>
      <c r="L632" s="231"/>
      <c r="M632" s="231"/>
      <c r="N632" s="255"/>
      <c r="P632" s="372"/>
      <c r="Q632" s="375">
        <v>12</v>
      </c>
      <c r="R632" s="254" t="s">
        <v>4972</v>
      </c>
      <c r="S632" s="311" t="s">
        <v>4192</v>
      </c>
      <c r="T632" s="245">
        <v>41110</v>
      </c>
      <c r="U632" s="231" t="s">
        <v>4178</v>
      </c>
      <c r="Z632" s="231">
        <v>1</v>
      </c>
      <c r="AA632" s="231" t="s">
        <v>4179</v>
      </c>
    </row>
    <row r="633" spans="1:30" x14ac:dyDescent="0.25">
      <c r="A633" s="190">
        <v>45</v>
      </c>
      <c r="B633" s="186" t="s">
        <v>4973</v>
      </c>
      <c r="C633" s="186"/>
      <c r="D633" s="210" t="s">
        <v>3187</v>
      </c>
      <c r="E633" s="210" t="s">
        <v>1400</v>
      </c>
      <c r="F633" s="210"/>
      <c r="G633" s="231" t="s">
        <v>3633</v>
      </c>
      <c r="H633" s="361" t="s">
        <v>4551</v>
      </c>
      <c r="I633" s="186"/>
      <c r="J633" s="362"/>
      <c r="K633" s="360" t="s">
        <v>4974</v>
      </c>
      <c r="L633" s="360"/>
      <c r="M633" s="360"/>
      <c r="N633" s="351">
        <v>2008</v>
      </c>
      <c r="O633" s="351"/>
      <c r="P633" s="176"/>
      <c r="Q633" s="362"/>
      <c r="R633" s="362"/>
      <c r="S633" s="362"/>
      <c r="T633" s="362"/>
      <c r="U633" s="362"/>
      <c r="V633" s="362"/>
      <c r="W633" s="362"/>
      <c r="X633" s="362"/>
      <c r="Y633" s="362"/>
      <c r="Z633" s="362"/>
      <c r="AA633" s="362"/>
      <c r="AB633" s="362"/>
      <c r="AC633" s="362"/>
      <c r="AD633" s="362"/>
    </row>
    <row r="634" spans="1:30" x14ac:dyDescent="0.25">
      <c r="A634" s="190">
        <v>46</v>
      </c>
      <c r="B634" s="186" t="s">
        <v>4975</v>
      </c>
      <c r="C634" s="186"/>
      <c r="D634" s="210">
        <v>1370255</v>
      </c>
      <c r="E634" s="210"/>
      <c r="F634" s="210"/>
      <c r="G634" s="231" t="s">
        <v>3633</v>
      </c>
      <c r="H634" s="361"/>
      <c r="I634" s="186"/>
      <c r="J634" s="362"/>
      <c r="K634" s="360"/>
      <c r="L634" s="360"/>
      <c r="M634" s="360"/>
      <c r="N634" s="351"/>
      <c r="O634" s="351"/>
      <c r="P634" s="176"/>
      <c r="Q634" s="362"/>
      <c r="R634" s="362"/>
      <c r="S634" s="362"/>
      <c r="T634" s="362"/>
      <c r="U634" s="362"/>
      <c r="V634" s="362"/>
      <c r="W634" s="362"/>
      <c r="X634" s="362"/>
      <c r="Y634" s="362"/>
      <c r="Z634" s="362"/>
      <c r="AA634" s="362"/>
      <c r="AB634" s="362"/>
      <c r="AC634" s="362"/>
      <c r="AD634" s="362"/>
    </row>
    <row r="635" spans="1:30" x14ac:dyDescent="0.25">
      <c r="A635" s="190">
        <v>47</v>
      </c>
      <c r="B635" s="186" t="s">
        <v>4976</v>
      </c>
      <c r="C635" s="186"/>
      <c r="D635" s="210" t="s">
        <v>4977</v>
      </c>
      <c r="E635" s="210"/>
      <c r="F635" s="210"/>
      <c r="G635" s="231" t="s">
        <v>3633</v>
      </c>
      <c r="H635" s="361"/>
      <c r="I635" s="186"/>
      <c r="J635" s="362"/>
      <c r="K635" s="360"/>
      <c r="L635" s="360"/>
      <c r="M635" s="360"/>
      <c r="N635" s="351"/>
      <c r="O635" s="351"/>
      <c r="P635" s="176"/>
      <c r="Q635" s="362"/>
      <c r="R635" s="362"/>
      <c r="S635" s="362"/>
      <c r="T635" s="362"/>
      <c r="U635" s="362"/>
      <c r="V635" s="362"/>
      <c r="W635" s="362"/>
      <c r="X635" s="362"/>
      <c r="Y635" s="362"/>
      <c r="Z635" s="362"/>
      <c r="AA635" s="362"/>
      <c r="AB635" s="362"/>
      <c r="AC635" s="362"/>
      <c r="AD635" s="362"/>
    </row>
    <row r="636" spans="1:30" x14ac:dyDescent="0.25">
      <c r="A636" s="190">
        <v>48</v>
      </c>
      <c r="B636" s="186" t="s">
        <v>4978</v>
      </c>
      <c r="C636" s="186"/>
      <c r="D636" s="210">
        <v>1370268</v>
      </c>
      <c r="E636" s="210"/>
      <c r="F636" s="210"/>
      <c r="G636" s="231" t="s">
        <v>3633</v>
      </c>
      <c r="H636" s="361"/>
      <c r="I636" s="186"/>
      <c r="J636" s="362"/>
      <c r="K636" s="360"/>
      <c r="L636" s="360"/>
      <c r="M636" s="360"/>
      <c r="N636" s="351"/>
      <c r="O636" s="351"/>
      <c r="P636" s="176"/>
      <c r="Q636" s="362"/>
      <c r="R636" s="362"/>
      <c r="S636" s="362"/>
      <c r="T636" s="362"/>
      <c r="U636" s="362"/>
      <c r="V636" s="362"/>
      <c r="W636" s="362"/>
      <c r="X636" s="362"/>
      <c r="Y636" s="362"/>
      <c r="Z636" s="362"/>
      <c r="AA636" s="362"/>
      <c r="AB636" s="362"/>
      <c r="AC636" s="362"/>
      <c r="AD636" s="362"/>
    </row>
    <row r="637" spans="1:30" x14ac:dyDescent="0.25">
      <c r="A637" s="190">
        <v>49</v>
      </c>
      <c r="B637" s="186" t="s">
        <v>4979</v>
      </c>
      <c r="C637" s="186"/>
      <c r="D637" s="210">
        <v>8104250</v>
      </c>
      <c r="E637" s="210" t="s">
        <v>1307</v>
      </c>
      <c r="F637" s="210"/>
      <c r="G637" s="231" t="s">
        <v>3633</v>
      </c>
      <c r="H637" s="361"/>
      <c r="I637" s="186"/>
      <c r="J637" s="362"/>
      <c r="K637" s="360"/>
      <c r="L637" s="360"/>
      <c r="M637" s="360"/>
      <c r="N637" s="351">
        <v>2012</v>
      </c>
      <c r="O637" s="351"/>
      <c r="P637" s="176"/>
      <c r="Q637" s="362"/>
      <c r="R637" s="362"/>
      <c r="S637" s="362"/>
      <c r="T637" s="362"/>
      <c r="U637" s="362"/>
      <c r="V637" s="362"/>
      <c r="W637" s="362"/>
      <c r="X637" s="362"/>
      <c r="Y637" s="362"/>
      <c r="Z637" s="362"/>
      <c r="AA637" s="362"/>
      <c r="AB637" s="362"/>
      <c r="AC637" s="362"/>
      <c r="AD637" s="362"/>
    </row>
    <row r="638" spans="1:30" x14ac:dyDescent="0.25">
      <c r="A638" s="190">
        <v>50</v>
      </c>
      <c r="B638" s="186" t="s">
        <v>4980</v>
      </c>
      <c r="C638" s="186"/>
      <c r="D638" s="210">
        <v>8104183</v>
      </c>
      <c r="E638" s="210" t="s">
        <v>3165</v>
      </c>
      <c r="F638" s="210"/>
      <c r="G638" s="231" t="s">
        <v>3633</v>
      </c>
      <c r="H638" s="361"/>
      <c r="I638" s="186"/>
      <c r="J638" s="362"/>
      <c r="K638" s="360"/>
      <c r="L638" s="360"/>
      <c r="M638" s="360"/>
      <c r="N638" s="351">
        <v>2012</v>
      </c>
      <c r="O638" s="351"/>
      <c r="P638" s="176"/>
      <c r="Q638" s="362"/>
      <c r="R638" s="362"/>
      <c r="S638" s="362"/>
      <c r="T638" s="362"/>
      <c r="U638" s="362"/>
      <c r="V638" s="362"/>
      <c r="W638" s="362"/>
      <c r="X638" s="362"/>
      <c r="Y638" s="362"/>
      <c r="Z638" s="362"/>
      <c r="AA638" s="362"/>
      <c r="AB638" s="362"/>
      <c r="AC638" s="362"/>
      <c r="AD638" s="362"/>
    </row>
    <row r="639" spans="1:30" x14ac:dyDescent="0.25">
      <c r="A639" s="190">
        <v>51</v>
      </c>
      <c r="B639" s="186" t="s">
        <v>4981</v>
      </c>
      <c r="C639" s="186"/>
      <c r="D639" s="210">
        <v>1370253</v>
      </c>
      <c r="E639" s="210"/>
      <c r="F639" s="210"/>
      <c r="G639" s="231" t="s">
        <v>3633</v>
      </c>
      <c r="H639" s="361"/>
      <c r="I639" s="186"/>
      <c r="J639" s="362"/>
      <c r="K639" s="360"/>
      <c r="L639" s="360"/>
      <c r="M639" s="360"/>
      <c r="N639" s="351"/>
      <c r="O639" s="351"/>
      <c r="P639" s="176"/>
      <c r="Q639" s="362"/>
      <c r="R639" s="362"/>
      <c r="S639" s="362"/>
      <c r="T639" s="362"/>
      <c r="U639" s="362"/>
      <c r="V639" s="362"/>
      <c r="W639" s="362"/>
      <c r="X639" s="362"/>
      <c r="Y639" s="362"/>
      <c r="Z639" s="362"/>
      <c r="AA639" s="362"/>
      <c r="AB639" s="362"/>
      <c r="AC639" s="362"/>
      <c r="AD639" s="362"/>
    </row>
    <row r="640" spans="1:30" x14ac:dyDescent="0.25">
      <c r="A640" s="190">
        <v>52</v>
      </c>
      <c r="B640" s="186" t="s">
        <v>4612</v>
      </c>
      <c r="C640" s="186"/>
      <c r="D640" s="210">
        <v>8104188</v>
      </c>
      <c r="E640" s="210" t="s">
        <v>3170</v>
      </c>
      <c r="F640" s="210"/>
      <c r="G640" s="231" t="s">
        <v>3633</v>
      </c>
      <c r="H640" s="361" t="s">
        <v>4903</v>
      </c>
      <c r="I640" s="186"/>
      <c r="J640" s="362"/>
      <c r="K640" s="360" t="s">
        <v>4982</v>
      </c>
      <c r="L640" s="368">
        <v>39675</v>
      </c>
      <c r="M640" s="360" t="s">
        <v>3958</v>
      </c>
      <c r="N640" s="351">
        <v>2012</v>
      </c>
      <c r="O640" s="351"/>
      <c r="P640" s="176"/>
      <c r="Q640" s="362"/>
      <c r="R640" s="362"/>
      <c r="S640" s="362"/>
      <c r="T640" s="362"/>
      <c r="U640" s="362"/>
      <c r="V640" s="362"/>
      <c r="W640" s="362"/>
      <c r="X640" s="362"/>
      <c r="Y640" s="362"/>
      <c r="Z640" s="362"/>
      <c r="AA640" s="362"/>
      <c r="AB640" s="362"/>
      <c r="AC640" s="362"/>
      <c r="AD640" s="362"/>
    </row>
    <row r="641" spans="1:30" x14ac:dyDescent="0.25">
      <c r="A641" s="190">
        <v>53</v>
      </c>
      <c r="B641" s="186" t="s">
        <v>4983</v>
      </c>
      <c r="C641" s="186"/>
      <c r="D641" s="210" t="s">
        <v>4984</v>
      </c>
      <c r="E641" s="210" t="s">
        <v>4985</v>
      </c>
      <c r="F641" s="210"/>
      <c r="G641" s="231" t="s">
        <v>3633</v>
      </c>
      <c r="H641" s="361"/>
      <c r="I641" s="186"/>
      <c r="J641" s="362"/>
      <c r="K641" s="360"/>
      <c r="L641" s="360"/>
      <c r="M641" s="360"/>
      <c r="N641" s="351"/>
      <c r="O641" s="351"/>
      <c r="P641" s="176"/>
      <c r="Q641" s="362"/>
      <c r="R641" s="362"/>
      <c r="S641" s="362"/>
      <c r="T641" s="362"/>
      <c r="U641" s="362"/>
      <c r="V641" s="362"/>
      <c r="W641" s="362"/>
      <c r="X641" s="362"/>
      <c r="Y641" s="362"/>
      <c r="Z641" s="362"/>
      <c r="AA641" s="362"/>
      <c r="AB641" s="362"/>
      <c r="AC641" s="362"/>
      <c r="AD641" s="362"/>
    </row>
    <row r="642" spans="1:30" x14ac:dyDescent="0.25">
      <c r="A642" s="190">
        <v>54</v>
      </c>
      <c r="B642" s="186" t="s">
        <v>4986</v>
      </c>
      <c r="C642" s="186"/>
      <c r="D642" s="210">
        <v>8104198</v>
      </c>
      <c r="E642" s="210" t="s">
        <v>1313</v>
      </c>
      <c r="F642" s="210"/>
      <c r="G642" s="231" t="s">
        <v>3633</v>
      </c>
      <c r="H642" s="361"/>
      <c r="I642" s="186"/>
      <c r="J642" s="362"/>
      <c r="K642" s="360" t="s">
        <v>4987</v>
      </c>
      <c r="L642" s="368">
        <v>40366</v>
      </c>
      <c r="M642" s="360" t="s">
        <v>3958</v>
      </c>
      <c r="N642" s="351">
        <v>2012</v>
      </c>
      <c r="O642" s="351"/>
      <c r="P642" s="176"/>
      <c r="Q642" s="362"/>
      <c r="R642" s="362"/>
      <c r="S642" s="362"/>
      <c r="T642" s="362"/>
      <c r="U642" s="362"/>
      <c r="V642" s="362"/>
      <c r="W642" s="362"/>
      <c r="X642" s="362"/>
      <c r="Y642" s="362"/>
      <c r="Z642" s="362"/>
      <c r="AA642" s="362"/>
      <c r="AB642" s="362"/>
      <c r="AC642" s="362"/>
      <c r="AD642" s="362"/>
    </row>
    <row r="643" spans="1:30" x14ac:dyDescent="0.25">
      <c r="A643" s="190">
        <v>55</v>
      </c>
      <c r="B643" s="186" t="s">
        <v>4988</v>
      </c>
      <c r="C643" s="186"/>
      <c r="D643" s="210" t="s">
        <v>4989</v>
      </c>
      <c r="E643" s="210"/>
      <c r="F643" s="210"/>
      <c r="G643" s="231" t="s">
        <v>3633</v>
      </c>
      <c r="H643" s="361"/>
      <c r="I643" s="186"/>
      <c r="J643" s="362"/>
      <c r="K643" s="360"/>
      <c r="L643" s="360"/>
      <c r="M643" s="360"/>
      <c r="N643" s="351"/>
      <c r="O643" s="351"/>
      <c r="P643" s="176"/>
      <c r="Q643" s="362"/>
      <c r="R643" s="362"/>
      <c r="S643" s="362"/>
      <c r="T643" s="362"/>
      <c r="U643" s="362"/>
      <c r="V643" s="362"/>
      <c r="W643" s="362"/>
      <c r="X643" s="362"/>
      <c r="Y643" s="362"/>
      <c r="Z643" s="362"/>
      <c r="AA643" s="362"/>
      <c r="AB643" s="362"/>
      <c r="AC643" s="362"/>
      <c r="AD643" s="362"/>
    </row>
    <row r="644" spans="1:30" x14ac:dyDescent="0.25">
      <c r="A644" s="190">
        <v>56</v>
      </c>
      <c r="B644" s="186" t="s">
        <v>4990</v>
      </c>
      <c r="C644" s="186"/>
      <c r="D644" s="210" t="s">
        <v>4991</v>
      </c>
      <c r="E644" s="210"/>
      <c r="F644" s="210"/>
      <c r="G644" s="231" t="s">
        <v>3633</v>
      </c>
      <c r="H644" s="361"/>
      <c r="I644" s="186"/>
      <c r="J644" s="362"/>
      <c r="K644" s="360"/>
      <c r="L644" s="360"/>
      <c r="M644" s="360"/>
      <c r="N644" s="351"/>
      <c r="O644" s="351"/>
      <c r="P644" s="176"/>
      <c r="Q644" s="362"/>
      <c r="R644" s="362"/>
      <c r="S644" s="362"/>
      <c r="T644" s="362"/>
      <c r="U644" s="362"/>
      <c r="V644" s="362"/>
      <c r="W644" s="362"/>
      <c r="X644" s="362"/>
      <c r="Y644" s="362"/>
      <c r="Z644" s="362"/>
      <c r="AA644" s="362"/>
      <c r="AB644" s="362"/>
      <c r="AC644" s="362"/>
      <c r="AD644" s="362"/>
    </row>
    <row r="645" spans="1:30" x14ac:dyDescent="0.25">
      <c r="A645" s="190">
        <v>57</v>
      </c>
      <c r="B645" s="186" t="s">
        <v>4992</v>
      </c>
      <c r="C645" s="186"/>
      <c r="D645" s="210" t="s">
        <v>4993</v>
      </c>
      <c r="E645" s="210"/>
      <c r="F645" s="210"/>
      <c r="G645" s="231" t="s">
        <v>3633</v>
      </c>
      <c r="H645" s="361"/>
      <c r="I645" s="186"/>
      <c r="J645" s="362"/>
      <c r="K645" s="360"/>
      <c r="L645" s="360"/>
      <c r="M645" s="360"/>
      <c r="N645" s="351"/>
      <c r="O645" s="351"/>
      <c r="P645" s="176"/>
      <c r="Q645" s="362"/>
      <c r="R645" s="362"/>
      <c r="S645" s="362"/>
      <c r="T645" s="362"/>
      <c r="U645" s="362"/>
      <c r="V645" s="362"/>
      <c r="W645" s="362"/>
      <c r="X645" s="362"/>
      <c r="Y645" s="362"/>
      <c r="Z645" s="362"/>
      <c r="AA645" s="362"/>
      <c r="AB645" s="362"/>
      <c r="AC645" s="362"/>
      <c r="AD645" s="362"/>
    </row>
    <row r="646" spans="1:30" x14ac:dyDescent="0.25">
      <c r="A646" s="190">
        <v>58</v>
      </c>
      <c r="B646" s="186" t="s">
        <v>4994</v>
      </c>
      <c r="C646" s="186"/>
      <c r="D646" s="210">
        <v>1370901</v>
      </c>
      <c r="E646" s="210"/>
      <c r="F646" s="210"/>
      <c r="G646" s="231" t="s">
        <v>3633</v>
      </c>
      <c r="H646" s="361"/>
      <c r="I646" s="186"/>
      <c r="J646" s="362"/>
      <c r="K646" s="360"/>
      <c r="L646" s="360"/>
      <c r="M646" s="360"/>
      <c r="N646" s="351"/>
      <c r="O646" s="351"/>
      <c r="P646" s="176"/>
      <c r="Q646" s="362"/>
      <c r="R646" s="362"/>
      <c r="S646" s="362"/>
      <c r="T646" s="362"/>
      <c r="U646" s="362"/>
      <c r="V646" s="362"/>
      <c r="W646" s="362"/>
      <c r="X646" s="362"/>
      <c r="Y646" s="362"/>
      <c r="Z646" s="362"/>
      <c r="AA646" s="362"/>
      <c r="AB646" s="362"/>
      <c r="AC646" s="362"/>
      <c r="AD646" s="362"/>
    </row>
    <row r="647" spans="1:30" x14ac:dyDescent="0.25">
      <c r="A647" s="190">
        <v>60</v>
      </c>
      <c r="B647" s="186" t="s">
        <v>4995</v>
      </c>
      <c r="C647" s="186"/>
      <c r="D647" s="210" t="s">
        <v>3009</v>
      </c>
      <c r="E647" s="210"/>
      <c r="F647" s="210"/>
      <c r="G647" s="231" t="s">
        <v>3633</v>
      </c>
      <c r="H647" s="361"/>
      <c r="I647" s="186"/>
      <c r="J647" s="362"/>
      <c r="K647" s="360"/>
      <c r="L647" s="360"/>
      <c r="M647" s="360"/>
      <c r="N647" s="351"/>
      <c r="O647" s="351"/>
      <c r="P647" s="176"/>
      <c r="Q647" s="362"/>
      <c r="R647" s="362"/>
      <c r="S647" s="362"/>
      <c r="T647" s="362"/>
      <c r="U647" s="362"/>
      <c r="V647" s="362"/>
      <c r="W647" s="362"/>
      <c r="X647" s="362"/>
      <c r="Y647" s="362"/>
      <c r="Z647" s="362"/>
      <c r="AA647" s="362"/>
      <c r="AB647" s="362"/>
      <c r="AC647" s="362"/>
      <c r="AD647" s="362"/>
    </row>
    <row r="648" spans="1:30" x14ac:dyDescent="0.25">
      <c r="A648" s="190">
        <v>61</v>
      </c>
      <c r="B648" s="186" t="s">
        <v>4996</v>
      </c>
      <c r="C648" s="186"/>
      <c r="D648" s="210" t="s">
        <v>4997</v>
      </c>
      <c r="E648" s="210"/>
      <c r="F648" s="210"/>
      <c r="G648" s="231" t="s">
        <v>3633</v>
      </c>
      <c r="H648" s="361"/>
      <c r="I648" s="186"/>
      <c r="J648" s="362"/>
      <c r="K648" s="360"/>
      <c r="L648" s="360"/>
      <c r="M648" s="360"/>
      <c r="N648" s="351"/>
      <c r="O648" s="351"/>
      <c r="P648" s="176"/>
      <c r="Q648" s="362"/>
      <c r="R648" s="362"/>
      <c r="S648" s="362"/>
      <c r="T648" s="362"/>
      <c r="U648" s="362"/>
      <c r="V648" s="362"/>
      <c r="W648" s="362"/>
      <c r="X648" s="362"/>
      <c r="Y648" s="362"/>
      <c r="Z648" s="362"/>
      <c r="AA648" s="362"/>
      <c r="AB648" s="362"/>
      <c r="AC648" s="362"/>
      <c r="AD648" s="362"/>
    </row>
    <row r="649" spans="1:30" x14ac:dyDescent="0.25">
      <c r="A649" s="190">
        <v>62</v>
      </c>
      <c r="B649" s="186" t="s">
        <v>4998</v>
      </c>
      <c r="C649" s="186"/>
      <c r="D649" s="210">
        <v>8103976</v>
      </c>
      <c r="E649" s="210"/>
      <c r="F649" s="210"/>
      <c r="G649" s="231" t="s">
        <v>3633</v>
      </c>
      <c r="H649" s="361"/>
      <c r="I649" s="186"/>
      <c r="J649" s="362"/>
      <c r="K649" s="360"/>
      <c r="L649" s="360"/>
      <c r="M649" s="360"/>
      <c r="N649" s="351"/>
      <c r="O649" s="351"/>
      <c r="P649" s="176"/>
      <c r="Q649" s="362"/>
      <c r="R649" s="362"/>
      <c r="S649" s="362"/>
      <c r="T649" s="362"/>
      <c r="U649" s="362"/>
      <c r="V649" s="362"/>
      <c r="W649" s="362"/>
      <c r="X649" s="362"/>
      <c r="Y649" s="362"/>
      <c r="Z649" s="362"/>
      <c r="AA649" s="362"/>
      <c r="AB649" s="362"/>
      <c r="AC649" s="362"/>
      <c r="AD649" s="362"/>
    </row>
    <row r="650" spans="1:30" x14ac:dyDescent="0.25">
      <c r="A650" s="190">
        <v>64</v>
      </c>
      <c r="B650" s="186" t="s">
        <v>4999</v>
      </c>
      <c r="C650" s="186"/>
      <c r="D650" s="210">
        <v>4700059</v>
      </c>
      <c r="E650" s="210" t="s">
        <v>3173</v>
      </c>
      <c r="F650" s="210"/>
      <c r="G650" s="231" t="s">
        <v>3633</v>
      </c>
      <c r="H650" s="361"/>
      <c r="I650" s="186"/>
      <c r="J650" s="362"/>
      <c r="K650" s="360" t="s">
        <v>4690</v>
      </c>
      <c r="L650" s="368">
        <v>37866</v>
      </c>
      <c r="M650" s="368">
        <v>41001</v>
      </c>
      <c r="N650" s="351"/>
      <c r="O650" s="351"/>
      <c r="P650" s="176"/>
      <c r="Q650" s="362"/>
      <c r="R650" s="362"/>
      <c r="S650" s="362"/>
      <c r="T650" s="362"/>
      <c r="U650" s="362"/>
      <c r="V650" s="362"/>
      <c r="W650" s="362"/>
      <c r="X650" s="362"/>
      <c r="Y650" s="362"/>
      <c r="Z650" s="362"/>
      <c r="AA650" s="362"/>
      <c r="AB650" s="362"/>
      <c r="AC650" s="362"/>
      <c r="AD650" s="362"/>
    </row>
    <row r="651" spans="1:30" x14ac:dyDescent="0.25">
      <c r="A651" s="190">
        <v>65</v>
      </c>
      <c r="B651" s="186" t="s">
        <v>5000</v>
      </c>
      <c r="C651" s="186"/>
      <c r="D651" s="210" t="s">
        <v>3177</v>
      </c>
      <c r="E651" s="210" t="s">
        <v>3176</v>
      </c>
      <c r="F651" s="210"/>
      <c r="G651" s="231" t="s">
        <v>3633</v>
      </c>
      <c r="H651" s="361" t="s">
        <v>4265</v>
      </c>
      <c r="I651" s="186"/>
      <c r="J651" s="362"/>
      <c r="K651" s="360" t="s">
        <v>4690</v>
      </c>
      <c r="L651" s="368">
        <v>37866</v>
      </c>
      <c r="M651" s="368">
        <v>41001</v>
      </c>
      <c r="N651" s="351"/>
      <c r="O651" s="351"/>
      <c r="P651" s="176"/>
      <c r="Q651" s="362"/>
      <c r="R651" s="362"/>
      <c r="S651" s="362"/>
      <c r="T651" s="362"/>
      <c r="U651" s="362"/>
      <c r="V651" s="362"/>
      <c r="W651" s="362"/>
      <c r="X651" s="362"/>
      <c r="Y651" s="362"/>
      <c r="Z651" s="362"/>
      <c r="AA651" s="362"/>
      <c r="AB651" s="362"/>
      <c r="AC651" s="362"/>
      <c r="AD651" s="362"/>
    </row>
    <row r="652" spans="1:30" x14ac:dyDescent="0.25">
      <c r="A652" s="190">
        <v>136</v>
      </c>
      <c r="B652" s="186" t="s">
        <v>4370</v>
      </c>
      <c r="C652" s="186"/>
      <c r="D652" s="210" t="s">
        <v>5001</v>
      </c>
      <c r="E652" s="210"/>
      <c r="F652" s="210"/>
      <c r="G652" s="231" t="s">
        <v>3633</v>
      </c>
      <c r="H652" s="361"/>
      <c r="I652" s="186"/>
      <c r="J652" s="362"/>
      <c r="K652" s="360"/>
      <c r="L652" s="360"/>
      <c r="M652" s="360"/>
      <c r="N652" s="351"/>
      <c r="O652" s="351"/>
      <c r="P652" s="176"/>
      <c r="Q652" s="362"/>
      <c r="R652" s="362"/>
      <c r="S652" s="362"/>
      <c r="T652" s="362"/>
      <c r="U652" s="362"/>
      <c r="V652" s="362"/>
      <c r="W652" s="362"/>
      <c r="X652" s="362"/>
      <c r="Y652" s="362"/>
      <c r="Z652" s="362"/>
      <c r="AA652" s="362"/>
      <c r="AB652" s="362"/>
      <c r="AC652" s="362"/>
      <c r="AD652" s="362"/>
    </row>
    <row r="653" spans="1:30" x14ac:dyDescent="0.25">
      <c r="A653" s="190">
        <v>67</v>
      </c>
      <c r="B653" s="186" t="s">
        <v>5002</v>
      </c>
      <c r="C653" s="186"/>
      <c r="D653" s="210" t="s">
        <v>5003</v>
      </c>
      <c r="E653" s="210"/>
      <c r="F653" s="210"/>
      <c r="G653" s="231" t="s">
        <v>3633</v>
      </c>
      <c r="H653" s="361"/>
      <c r="I653" s="186"/>
      <c r="J653" s="362"/>
      <c r="K653" s="360"/>
      <c r="L653" s="360"/>
      <c r="M653" s="360"/>
      <c r="N653" s="351"/>
      <c r="O653" s="351"/>
      <c r="P653" s="176"/>
      <c r="Q653" s="362"/>
      <c r="R653" s="362"/>
      <c r="S653" s="362"/>
      <c r="T653" s="362"/>
      <c r="U653" s="362"/>
      <c r="V653" s="362"/>
      <c r="W653" s="362"/>
      <c r="X653" s="362"/>
      <c r="Y653" s="362"/>
      <c r="Z653" s="362"/>
      <c r="AA653" s="362"/>
      <c r="AB653" s="362"/>
      <c r="AC653" s="362"/>
      <c r="AD653" s="362"/>
    </row>
    <row r="654" spans="1:30" x14ac:dyDescent="0.25">
      <c r="A654" s="190">
        <v>68</v>
      </c>
      <c r="B654" s="186" t="s">
        <v>5004</v>
      </c>
      <c r="C654" s="186"/>
      <c r="D654" s="210" t="s">
        <v>5005</v>
      </c>
      <c r="E654" s="210"/>
      <c r="F654" s="210"/>
      <c r="G654" s="231" t="s">
        <v>3633</v>
      </c>
      <c r="H654" s="361"/>
      <c r="I654" s="186"/>
      <c r="J654" s="362"/>
      <c r="K654" s="360" t="s">
        <v>5006</v>
      </c>
      <c r="L654" s="368">
        <v>38498</v>
      </c>
      <c r="M654" s="368">
        <v>42150</v>
      </c>
      <c r="N654" s="351"/>
      <c r="O654" s="351"/>
      <c r="P654" s="176"/>
      <c r="Q654" s="362"/>
      <c r="R654" s="362"/>
      <c r="S654" s="362"/>
      <c r="T654" s="362"/>
      <c r="U654" s="362"/>
      <c r="V654" s="362"/>
      <c r="W654" s="362"/>
      <c r="X654" s="362"/>
      <c r="Y654" s="362"/>
      <c r="Z654" s="362"/>
      <c r="AA654" s="362"/>
      <c r="AB654" s="362"/>
      <c r="AC654" s="362"/>
      <c r="AD654" s="362"/>
    </row>
    <row r="655" spans="1:30" x14ac:dyDescent="0.25">
      <c r="A655" s="190">
        <v>69</v>
      </c>
      <c r="B655" s="186" t="s">
        <v>5004</v>
      </c>
      <c r="C655" s="186"/>
      <c r="D655" s="210" t="s">
        <v>5007</v>
      </c>
      <c r="E655" s="210"/>
      <c r="F655" s="210"/>
      <c r="G655" s="231" t="s">
        <v>3633</v>
      </c>
      <c r="H655" s="361"/>
      <c r="I655" s="186"/>
      <c r="J655" s="362"/>
      <c r="K655" s="360" t="s">
        <v>5006</v>
      </c>
      <c r="L655" s="368">
        <v>38498</v>
      </c>
      <c r="M655" s="368">
        <v>42150</v>
      </c>
      <c r="N655" s="351"/>
      <c r="O655" s="351"/>
      <c r="P655" s="176"/>
      <c r="Q655" s="362"/>
      <c r="R655" s="362"/>
      <c r="S655" s="362"/>
      <c r="T655" s="362"/>
      <c r="U655" s="362"/>
      <c r="V655" s="362"/>
      <c r="W655" s="362"/>
      <c r="X655" s="362"/>
      <c r="Y655" s="362"/>
      <c r="Z655" s="362"/>
      <c r="AA655" s="362"/>
      <c r="AB655" s="362"/>
      <c r="AC655" s="362"/>
      <c r="AD655" s="362"/>
    </row>
    <row r="656" spans="1:30" x14ac:dyDescent="0.25">
      <c r="A656" s="190">
        <v>70</v>
      </c>
      <c r="B656" s="186" t="s">
        <v>5004</v>
      </c>
      <c r="C656" s="186"/>
      <c r="D656" s="210" t="s">
        <v>5008</v>
      </c>
      <c r="E656" s="210" t="s">
        <v>1244</v>
      </c>
      <c r="F656" s="210"/>
      <c r="G656" s="231" t="s">
        <v>3633</v>
      </c>
      <c r="H656" s="361"/>
      <c r="I656" s="186"/>
      <c r="J656" s="362"/>
      <c r="K656" s="360" t="s">
        <v>5006</v>
      </c>
      <c r="L656" s="368">
        <v>38498</v>
      </c>
      <c r="M656" s="368">
        <v>42150</v>
      </c>
      <c r="N656" s="351">
        <v>2009</v>
      </c>
      <c r="O656" s="351"/>
      <c r="P656" s="176"/>
      <c r="Q656" s="362"/>
      <c r="R656" s="362"/>
      <c r="S656" s="362"/>
      <c r="T656" s="362"/>
      <c r="U656" s="362"/>
      <c r="V656" s="362"/>
      <c r="W656" s="362"/>
      <c r="X656" s="362"/>
      <c r="Y656" s="362"/>
      <c r="Z656" s="362"/>
      <c r="AA656" s="362"/>
      <c r="AB656" s="362"/>
      <c r="AC656" s="362"/>
      <c r="AD656" s="362"/>
    </row>
    <row r="657" spans="1:30" x14ac:dyDescent="0.25">
      <c r="A657" s="190">
        <v>71</v>
      </c>
      <c r="B657" s="186" t="s">
        <v>5009</v>
      </c>
      <c r="C657" s="186"/>
      <c r="D657" s="210" t="s">
        <v>1245</v>
      </c>
      <c r="E657" s="210" t="s">
        <v>3048</v>
      </c>
      <c r="F657" s="210"/>
      <c r="G657" s="231" t="s">
        <v>3633</v>
      </c>
      <c r="H657" s="361"/>
      <c r="I657" s="186"/>
      <c r="J657" s="362"/>
      <c r="K657" s="360" t="s">
        <v>5006</v>
      </c>
      <c r="L657" s="368">
        <v>38498</v>
      </c>
      <c r="M657" s="368">
        <v>42150</v>
      </c>
      <c r="N657" s="351"/>
      <c r="O657" s="351"/>
      <c r="P657" s="176"/>
      <c r="Q657" s="362"/>
      <c r="R657" s="362"/>
      <c r="S657" s="362"/>
      <c r="T657" s="362"/>
      <c r="U657" s="362"/>
      <c r="V657" s="362"/>
      <c r="W657" s="362"/>
      <c r="X657" s="362"/>
      <c r="Y657" s="362"/>
      <c r="Z657" s="362"/>
      <c r="AA657" s="362"/>
      <c r="AB657" s="362"/>
      <c r="AC657" s="362"/>
      <c r="AD657" s="362"/>
    </row>
    <row r="658" spans="1:30" x14ac:dyDescent="0.25">
      <c r="A658" s="190">
        <v>72</v>
      </c>
      <c r="B658" s="186" t="s">
        <v>5010</v>
      </c>
      <c r="C658" s="186"/>
      <c r="D658" s="210" t="s">
        <v>3179</v>
      </c>
      <c r="E658" s="210" t="s">
        <v>3178</v>
      </c>
      <c r="F658" s="210"/>
      <c r="G658" s="231" t="s">
        <v>3633</v>
      </c>
      <c r="H658" s="361"/>
      <c r="I658" s="186"/>
      <c r="J658" s="362"/>
      <c r="K658" s="360" t="s">
        <v>5006</v>
      </c>
      <c r="L658" s="368">
        <v>38498</v>
      </c>
      <c r="M658" s="368">
        <v>42150</v>
      </c>
      <c r="N658" s="351"/>
      <c r="O658" s="351"/>
      <c r="P658" s="176"/>
      <c r="Q658" s="362"/>
      <c r="R658" s="362"/>
      <c r="S658" s="362"/>
      <c r="T658" s="362"/>
      <c r="U658" s="362"/>
      <c r="V658" s="362"/>
      <c r="W658" s="362"/>
      <c r="X658" s="362"/>
      <c r="Y658" s="362"/>
      <c r="Z658" s="362"/>
      <c r="AA658" s="362"/>
      <c r="AB658" s="362"/>
      <c r="AC658" s="362"/>
      <c r="AD658" s="362"/>
    </row>
    <row r="659" spans="1:30" x14ac:dyDescent="0.25">
      <c r="A659" s="190">
        <v>73</v>
      </c>
      <c r="B659" s="186" t="s">
        <v>5011</v>
      </c>
      <c r="C659" s="186"/>
      <c r="D659" s="210" t="s">
        <v>5012</v>
      </c>
      <c r="E659" s="210"/>
      <c r="F659" s="210"/>
      <c r="G659" s="231" t="s">
        <v>3633</v>
      </c>
      <c r="H659" s="361"/>
      <c r="I659" s="186"/>
      <c r="J659" s="362"/>
      <c r="K659" s="360"/>
      <c r="L659" s="360"/>
      <c r="M659" s="360"/>
      <c r="N659" s="351"/>
      <c r="O659" s="351"/>
      <c r="P659" s="176"/>
      <c r="Q659" s="362"/>
      <c r="R659" s="362"/>
      <c r="S659" s="362"/>
      <c r="T659" s="362"/>
      <c r="U659" s="362"/>
      <c r="V659" s="362"/>
      <c r="W659" s="362"/>
      <c r="X659" s="362"/>
      <c r="Y659" s="362"/>
      <c r="Z659" s="362"/>
      <c r="AA659" s="362"/>
      <c r="AB659" s="362"/>
      <c r="AC659" s="362"/>
      <c r="AD659" s="362"/>
    </row>
    <row r="660" spans="1:30" x14ac:dyDescent="0.25">
      <c r="A660" s="190">
        <v>74</v>
      </c>
      <c r="B660" s="186" t="s">
        <v>5013</v>
      </c>
      <c r="C660" s="186"/>
      <c r="D660" s="210" t="s">
        <v>5014</v>
      </c>
      <c r="E660" s="210" t="s">
        <v>5015</v>
      </c>
      <c r="F660" s="210"/>
      <c r="G660" s="231" t="s">
        <v>3633</v>
      </c>
      <c r="H660" s="361"/>
      <c r="I660" s="186"/>
      <c r="J660" s="362"/>
      <c r="K660" s="360"/>
      <c r="L660" s="360"/>
      <c r="M660" s="360"/>
      <c r="N660" s="351"/>
      <c r="O660" s="351"/>
      <c r="P660" s="176"/>
      <c r="Q660" s="362"/>
      <c r="R660" s="362"/>
      <c r="S660" s="362"/>
      <c r="T660" s="362"/>
      <c r="U660" s="362"/>
      <c r="V660" s="362"/>
      <c r="W660" s="362"/>
      <c r="X660" s="362"/>
      <c r="Y660" s="362"/>
      <c r="Z660" s="362"/>
      <c r="AA660" s="362"/>
      <c r="AB660" s="362"/>
      <c r="AC660" s="362"/>
      <c r="AD660" s="362"/>
    </row>
    <row r="661" spans="1:30" x14ac:dyDescent="0.25">
      <c r="A661" s="190">
        <v>66</v>
      </c>
      <c r="B661" s="186" t="s">
        <v>5016</v>
      </c>
      <c r="C661" s="186"/>
      <c r="D661" s="210" t="s">
        <v>5017</v>
      </c>
      <c r="E661" s="210"/>
      <c r="F661" s="210"/>
      <c r="G661" s="231" t="s">
        <v>3633</v>
      </c>
      <c r="H661" s="361"/>
      <c r="I661" s="186"/>
      <c r="J661" s="362"/>
      <c r="K661" s="360"/>
      <c r="L661" s="360"/>
      <c r="M661" s="360"/>
      <c r="N661" s="351"/>
      <c r="O661" s="351"/>
      <c r="P661" s="176"/>
      <c r="Q661" s="362"/>
      <c r="R661" s="362"/>
      <c r="S661" s="362"/>
      <c r="T661" s="362"/>
      <c r="U661" s="362"/>
      <c r="V661" s="362"/>
      <c r="W661" s="362"/>
      <c r="X661" s="362"/>
      <c r="Y661" s="362"/>
      <c r="Z661" s="362"/>
      <c r="AA661" s="362"/>
      <c r="AB661" s="362"/>
      <c r="AC661" s="362"/>
      <c r="AD661" s="362"/>
    </row>
    <row r="662" spans="1:30" x14ac:dyDescent="0.25">
      <c r="A662" s="190">
        <v>100</v>
      </c>
      <c r="B662" s="186" t="s">
        <v>5018</v>
      </c>
      <c r="C662" s="186"/>
      <c r="D662" s="210" t="s">
        <v>5019</v>
      </c>
      <c r="E662" s="210"/>
      <c r="F662" s="210"/>
      <c r="G662" s="231" t="s">
        <v>3633</v>
      </c>
      <c r="H662" s="361"/>
      <c r="I662" s="186"/>
      <c r="J662" s="362"/>
      <c r="K662" s="360"/>
      <c r="L662" s="360"/>
      <c r="M662" s="360"/>
      <c r="N662" s="351"/>
      <c r="O662" s="351"/>
      <c r="P662" s="176"/>
      <c r="Q662" s="362"/>
      <c r="R662" s="362"/>
      <c r="S662" s="362"/>
      <c r="T662" s="362"/>
      <c r="U662" s="362"/>
      <c r="V662" s="362"/>
      <c r="W662" s="362"/>
      <c r="X662" s="362"/>
      <c r="Y662" s="362"/>
      <c r="Z662" s="362"/>
      <c r="AA662" s="362"/>
      <c r="AB662" s="362"/>
      <c r="AC662" s="362"/>
      <c r="AD662" s="362"/>
    </row>
    <row r="663" spans="1:30" x14ac:dyDescent="0.25">
      <c r="A663" s="190">
        <v>101</v>
      </c>
      <c r="B663" s="186" t="s">
        <v>5020</v>
      </c>
      <c r="C663" s="186"/>
      <c r="D663" s="210" t="s">
        <v>5021</v>
      </c>
      <c r="E663" s="210" t="s">
        <v>5022</v>
      </c>
      <c r="F663" s="210"/>
      <c r="G663" s="231" t="s">
        <v>3633</v>
      </c>
      <c r="H663" s="361"/>
      <c r="I663" s="186"/>
      <c r="J663" s="362"/>
      <c r="K663" s="360"/>
      <c r="L663" s="360"/>
      <c r="M663" s="360"/>
      <c r="N663" s="351"/>
      <c r="O663" s="351"/>
      <c r="P663" s="176"/>
      <c r="Q663" s="362"/>
      <c r="R663" s="362"/>
      <c r="S663" s="362"/>
      <c r="T663" s="362"/>
      <c r="U663" s="362"/>
      <c r="V663" s="362"/>
      <c r="W663" s="362"/>
      <c r="X663" s="362"/>
      <c r="Y663" s="362"/>
      <c r="Z663" s="362"/>
      <c r="AA663" s="362"/>
      <c r="AB663" s="362"/>
      <c r="AC663" s="362"/>
      <c r="AD663" s="362"/>
    </row>
    <row r="664" spans="1:30" x14ac:dyDescent="0.25">
      <c r="A664" s="190">
        <v>102</v>
      </c>
      <c r="B664" s="186" t="s">
        <v>5020</v>
      </c>
      <c r="C664" s="186"/>
      <c r="D664" s="210" t="s">
        <v>5023</v>
      </c>
      <c r="E664" s="210" t="s">
        <v>5024</v>
      </c>
      <c r="F664" s="210"/>
      <c r="G664" s="231" t="s">
        <v>3633</v>
      </c>
      <c r="H664" s="361"/>
      <c r="I664" s="186"/>
      <c r="J664" s="362"/>
      <c r="K664" s="360"/>
      <c r="L664" s="360"/>
      <c r="M664" s="360"/>
      <c r="N664" s="351"/>
      <c r="O664" s="351"/>
      <c r="P664" s="176"/>
      <c r="Q664" s="362"/>
      <c r="R664" s="362"/>
      <c r="S664" s="362"/>
      <c r="T664" s="362"/>
      <c r="U664" s="362"/>
      <c r="V664" s="362"/>
      <c r="W664" s="362"/>
      <c r="X664" s="362"/>
      <c r="Y664" s="362"/>
      <c r="Z664" s="362"/>
      <c r="AA664" s="362"/>
      <c r="AB664" s="362"/>
      <c r="AC664" s="362"/>
      <c r="AD664" s="362"/>
    </row>
    <row r="665" spans="1:30" x14ac:dyDescent="0.25">
      <c r="A665" s="190">
        <v>103</v>
      </c>
      <c r="B665" s="186" t="s">
        <v>5020</v>
      </c>
      <c r="C665" s="186"/>
      <c r="D665" s="210" t="s">
        <v>5025</v>
      </c>
      <c r="E665" s="210" t="s">
        <v>5026</v>
      </c>
      <c r="F665" s="210"/>
      <c r="G665" s="231" t="s">
        <v>3633</v>
      </c>
      <c r="H665" s="361"/>
      <c r="I665" s="186"/>
      <c r="J665" s="362"/>
      <c r="K665" s="360"/>
      <c r="L665" s="360"/>
      <c r="M665" s="360"/>
      <c r="N665" s="351"/>
      <c r="O665" s="351"/>
      <c r="P665" s="176"/>
      <c r="Q665" s="362"/>
      <c r="R665" s="362"/>
      <c r="S665" s="362"/>
      <c r="T665" s="362"/>
      <c r="U665" s="362"/>
      <c r="V665" s="362"/>
      <c r="W665" s="362"/>
      <c r="X665" s="362"/>
      <c r="Y665" s="362"/>
      <c r="Z665" s="362"/>
      <c r="AA665" s="362"/>
      <c r="AB665" s="362"/>
      <c r="AC665" s="362"/>
      <c r="AD665" s="362"/>
    </row>
    <row r="666" spans="1:30" x14ac:dyDescent="0.25">
      <c r="A666" s="190">
        <v>104</v>
      </c>
      <c r="B666" s="186" t="s">
        <v>3184</v>
      </c>
      <c r="C666" s="186"/>
      <c r="D666" s="210" t="s">
        <v>3185</v>
      </c>
      <c r="E666" s="210"/>
      <c r="F666" s="210"/>
      <c r="G666" s="231" t="s">
        <v>3633</v>
      </c>
      <c r="H666" s="361"/>
      <c r="I666" s="186"/>
      <c r="J666" s="362"/>
      <c r="K666" s="360"/>
      <c r="L666" s="360"/>
      <c r="M666" s="360"/>
      <c r="N666" s="351"/>
      <c r="O666" s="351"/>
      <c r="P666" s="176"/>
      <c r="Q666" s="362"/>
      <c r="R666" s="362"/>
      <c r="S666" s="362"/>
      <c r="T666" s="362"/>
      <c r="U666" s="362"/>
      <c r="V666" s="362"/>
      <c r="W666" s="362"/>
      <c r="X666" s="362"/>
      <c r="Y666" s="362"/>
      <c r="Z666" s="362"/>
      <c r="AA666" s="362"/>
      <c r="AB666" s="362"/>
      <c r="AC666" s="362"/>
      <c r="AD666" s="362"/>
    </row>
    <row r="667" spans="1:30" x14ac:dyDescent="0.25">
      <c r="A667" s="190">
        <v>105</v>
      </c>
      <c r="B667" s="186" t="s">
        <v>5027</v>
      </c>
      <c r="C667" s="186"/>
      <c r="D667" s="210">
        <v>3101785</v>
      </c>
      <c r="E667" s="210"/>
      <c r="F667" s="210"/>
      <c r="G667" s="231" t="s">
        <v>3633</v>
      </c>
      <c r="H667" s="361"/>
      <c r="I667" s="186"/>
      <c r="J667" s="362"/>
      <c r="K667" s="360"/>
      <c r="L667" s="360"/>
      <c r="M667" s="360"/>
      <c r="N667" s="351"/>
      <c r="O667" s="351"/>
      <c r="P667" s="176"/>
      <c r="Q667" s="362"/>
      <c r="R667" s="362"/>
      <c r="S667" s="362"/>
      <c r="T667" s="362"/>
      <c r="U667" s="362"/>
      <c r="V667" s="362"/>
      <c r="W667" s="362"/>
      <c r="X667" s="362"/>
      <c r="Y667" s="362"/>
      <c r="Z667" s="362"/>
      <c r="AA667" s="362"/>
      <c r="AB667" s="362"/>
      <c r="AC667" s="362"/>
      <c r="AD667" s="362"/>
    </row>
    <row r="668" spans="1:30" x14ac:dyDescent="0.25">
      <c r="A668" s="190">
        <v>106</v>
      </c>
      <c r="B668" s="186" t="s">
        <v>5028</v>
      </c>
      <c r="C668" s="186"/>
      <c r="D668" s="210" t="s">
        <v>5029</v>
      </c>
      <c r="E668" s="210"/>
      <c r="F668" s="210"/>
      <c r="G668" s="231" t="s">
        <v>3633</v>
      </c>
      <c r="H668" s="361"/>
      <c r="I668" s="186"/>
      <c r="J668" s="362"/>
      <c r="K668" s="360"/>
      <c r="L668" s="360"/>
      <c r="M668" s="360"/>
      <c r="N668" s="351"/>
      <c r="O668" s="351"/>
      <c r="P668" s="176"/>
      <c r="Q668" s="362"/>
      <c r="R668" s="362"/>
      <c r="S668" s="362"/>
      <c r="T668" s="362"/>
      <c r="U668" s="362"/>
      <c r="V668" s="362"/>
      <c r="W668" s="362"/>
      <c r="X668" s="362"/>
      <c r="Y668" s="362"/>
      <c r="Z668" s="362"/>
      <c r="AA668" s="362"/>
      <c r="AB668" s="362"/>
      <c r="AC668" s="362"/>
      <c r="AD668" s="362"/>
    </row>
    <row r="669" spans="1:30" x14ac:dyDescent="0.25">
      <c r="A669" s="190">
        <v>107</v>
      </c>
      <c r="B669" s="186" t="s">
        <v>5030</v>
      </c>
      <c r="C669" s="186"/>
      <c r="D669" s="210" t="s">
        <v>5031</v>
      </c>
      <c r="E669" s="210"/>
      <c r="F669" s="210"/>
      <c r="G669" s="231" t="s">
        <v>3633</v>
      </c>
      <c r="H669" s="361"/>
      <c r="I669" s="186"/>
      <c r="J669" s="362"/>
      <c r="K669" s="360"/>
      <c r="L669" s="360"/>
      <c r="M669" s="360"/>
      <c r="N669" s="351"/>
      <c r="O669" s="351"/>
      <c r="P669" s="176"/>
      <c r="Q669" s="362"/>
      <c r="R669" s="362"/>
      <c r="S669" s="362"/>
      <c r="T669" s="362"/>
      <c r="U669" s="362"/>
      <c r="V669" s="362"/>
      <c r="W669" s="362"/>
      <c r="X669" s="362"/>
      <c r="Y669" s="362"/>
      <c r="Z669" s="362"/>
      <c r="AA669" s="362"/>
      <c r="AB669" s="362"/>
      <c r="AC669" s="362"/>
      <c r="AD669" s="362"/>
    </row>
    <row r="670" spans="1:30" x14ac:dyDescent="0.25">
      <c r="A670" s="190">
        <v>108</v>
      </c>
      <c r="B670" s="186" t="s">
        <v>5030</v>
      </c>
      <c r="C670" s="186"/>
      <c r="D670" s="210" t="s">
        <v>5032</v>
      </c>
      <c r="E670" s="210"/>
      <c r="F670" s="210"/>
      <c r="G670" s="231" t="s">
        <v>3633</v>
      </c>
      <c r="H670" s="361"/>
      <c r="I670" s="186"/>
      <c r="J670" s="362"/>
      <c r="K670" s="360"/>
      <c r="L670" s="360"/>
      <c r="M670" s="360"/>
      <c r="N670" s="351"/>
      <c r="O670" s="351"/>
      <c r="P670" s="176"/>
      <c r="Q670" s="362"/>
      <c r="R670" s="362"/>
      <c r="S670" s="362"/>
      <c r="T670" s="362"/>
      <c r="U670" s="362"/>
      <c r="V670" s="362"/>
      <c r="W670" s="362"/>
      <c r="X670" s="362"/>
      <c r="Y670" s="362"/>
      <c r="Z670" s="362"/>
      <c r="AA670" s="362"/>
      <c r="AB670" s="362"/>
      <c r="AC670" s="362"/>
      <c r="AD670" s="362"/>
    </row>
    <row r="671" spans="1:30" x14ac:dyDescent="0.25">
      <c r="A671" s="190">
        <v>109</v>
      </c>
      <c r="B671" s="186" t="s">
        <v>5030</v>
      </c>
      <c r="C671" s="186"/>
      <c r="D671" s="210" t="s">
        <v>5033</v>
      </c>
      <c r="E671" s="210"/>
      <c r="F671" s="210"/>
      <c r="G671" s="231" t="s">
        <v>3633</v>
      </c>
      <c r="H671" s="361"/>
      <c r="I671" s="186"/>
      <c r="J671" s="362"/>
      <c r="K671" s="360"/>
      <c r="L671" s="360"/>
      <c r="M671" s="360"/>
      <c r="N671" s="351"/>
      <c r="O671" s="351"/>
      <c r="P671" s="176"/>
      <c r="Q671" s="362"/>
      <c r="R671" s="362"/>
      <c r="S671" s="362"/>
      <c r="T671" s="362"/>
      <c r="U671" s="362"/>
      <c r="V671" s="362"/>
      <c r="W671" s="362"/>
      <c r="X671" s="362"/>
      <c r="Y671" s="362"/>
      <c r="Z671" s="362"/>
      <c r="AA671" s="362"/>
      <c r="AB671" s="362"/>
      <c r="AC671" s="362"/>
      <c r="AD671" s="362"/>
    </row>
    <row r="672" spans="1:30" x14ac:dyDescent="0.25">
      <c r="A672" s="190">
        <v>110</v>
      </c>
      <c r="B672" s="186" t="s">
        <v>5030</v>
      </c>
      <c r="C672" s="186"/>
      <c r="D672" s="210">
        <v>8103494</v>
      </c>
      <c r="E672" s="210"/>
      <c r="F672" s="210"/>
      <c r="G672" s="231" t="s">
        <v>3633</v>
      </c>
      <c r="H672" s="361"/>
      <c r="I672" s="186"/>
      <c r="J672" s="362"/>
      <c r="K672" s="360"/>
      <c r="L672" s="360"/>
      <c r="M672" s="360"/>
      <c r="N672" s="351"/>
      <c r="O672" s="351"/>
      <c r="P672" s="176"/>
      <c r="Q672" s="362"/>
      <c r="R672" s="362"/>
      <c r="S672" s="362"/>
      <c r="T672" s="362"/>
      <c r="U672" s="362"/>
      <c r="V672" s="362"/>
      <c r="W672" s="362"/>
      <c r="X672" s="362"/>
      <c r="Y672" s="362"/>
      <c r="Z672" s="362"/>
      <c r="AA672" s="362"/>
      <c r="AB672" s="362"/>
      <c r="AC672" s="362"/>
      <c r="AD672" s="362"/>
    </row>
    <row r="673" spans="1:30" x14ac:dyDescent="0.25">
      <c r="A673" s="190">
        <v>111</v>
      </c>
      <c r="B673" s="186" t="s">
        <v>5034</v>
      </c>
      <c r="C673" s="186"/>
      <c r="D673" s="210">
        <v>1370058</v>
      </c>
      <c r="E673" s="210"/>
      <c r="F673" s="210"/>
      <c r="G673" s="231" t="s">
        <v>3633</v>
      </c>
      <c r="H673" s="361"/>
      <c r="I673" s="186"/>
      <c r="J673" s="362"/>
      <c r="K673" s="360"/>
      <c r="L673" s="360"/>
      <c r="M673" s="360"/>
      <c r="N673" s="351"/>
      <c r="O673" s="351"/>
      <c r="P673" s="176"/>
      <c r="Q673" s="362"/>
      <c r="R673" s="362"/>
      <c r="S673" s="362"/>
      <c r="T673" s="362"/>
      <c r="U673" s="362"/>
      <c r="V673" s="362"/>
      <c r="W673" s="362"/>
      <c r="X673" s="362"/>
      <c r="Y673" s="362"/>
      <c r="Z673" s="362"/>
      <c r="AA673" s="362"/>
      <c r="AB673" s="362"/>
      <c r="AC673" s="362"/>
      <c r="AD673" s="362"/>
    </row>
    <row r="674" spans="1:30" x14ac:dyDescent="0.25">
      <c r="A674" s="190">
        <v>112</v>
      </c>
      <c r="B674" s="186" t="s">
        <v>3868</v>
      </c>
      <c r="C674" s="186"/>
      <c r="D674" s="210">
        <v>8104232</v>
      </c>
      <c r="E674" s="210"/>
      <c r="F674" s="210"/>
      <c r="G674" s="231" t="s">
        <v>3633</v>
      </c>
      <c r="H674" s="361" t="s">
        <v>4903</v>
      </c>
      <c r="I674" s="186"/>
      <c r="J674" s="362"/>
      <c r="K674" s="262" t="s">
        <v>4038</v>
      </c>
      <c r="L674" s="263">
        <v>39876</v>
      </c>
      <c r="M674" s="231" t="s">
        <v>4039</v>
      </c>
      <c r="N674" s="351"/>
      <c r="O674" s="351"/>
      <c r="P674" s="176"/>
      <c r="Q674" s="362"/>
      <c r="R674" s="362"/>
      <c r="S674" s="362"/>
      <c r="T674" s="362"/>
      <c r="U674" s="362"/>
      <c r="V674" s="362"/>
      <c r="W674" s="362"/>
      <c r="X674" s="362"/>
      <c r="Y674" s="362"/>
      <c r="Z674" s="362"/>
      <c r="AA674" s="362"/>
      <c r="AB674" s="362"/>
      <c r="AC674" s="362"/>
      <c r="AD674" s="362"/>
    </row>
    <row r="675" spans="1:30" x14ac:dyDescent="0.25">
      <c r="A675" s="190">
        <v>113</v>
      </c>
      <c r="B675" s="186" t="s">
        <v>4203</v>
      </c>
      <c r="C675" s="186"/>
      <c r="D675" s="210" t="s">
        <v>5035</v>
      </c>
      <c r="E675" s="210"/>
      <c r="F675" s="210"/>
      <c r="G675" s="231" t="s">
        <v>3633</v>
      </c>
      <c r="H675" s="361"/>
      <c r="I675" s="186"/>
      <c r="J675" s="362"/>
      <c r="K675" s="262" t="s">
        <v>4047</v>
      </c>
      <c r="L675" s="263">
        <v>41272</v>
      </c>
      <c r="M675" s="263" t="s">
        <v>3958</v>
      </c>
      <c r="N675" s="351"/>
      <c r="O675" s="351"/>
      <c r="P675" s="176"/>
      <c r="Q675" s="362"/>
      <c r="R675" s="362"/>
      <c r="S675" s="362"/>
      <c r="T675" s="362"/>
      <c r="U675" s="362"/>
      <c r="V675" s="362"/>
      <c r="W675" s="362"/>
      <c r="X675" s="362"/>
      <c r="Y675" s="362"/>
      <c r="Z675" s="362"/>
      <c r="AA675" s="362"/>
      <c r="AB675" s="362"/>
      <c r="AC675" s="362"/>
      <c r="AD675" s="362"/>
    </row>
    <row r="676" spans="1:30" x14ac:dyDescent="0.25">
      <c r="A676" s="190">
        <v>114</v>
      </c>
      <c r="B676" s="186" t="s">
        <v>4203</v>
      </c>
      <c r="C676" s="186"/>
      <c r="D676" s="210" t="s">
        <v>5036</v>
      </c>
      <c r="E676" s="210"/>
      <c r="F676" s="210"/>
      <c r="G676" s="231" t="s">
        <v>3633</v>
      </c>
      <c r="H676" s="361"/>
      <c r="I676" s="186"/>
      <c r="J676" s="362"/>
      <c r="K676" s="262" t="s">
        <v>4047</v>
      </c>
      <c r="L676" s="263">
        <v>41272</v>
      </c>
      <c r="M676" s="263" t="s">
        <v>3958</v>
      </c>
      <c r="N676" s="351"/>
      <c r="O676" s="351"/>
      <c r="P676" s="176"/>
      <c r="Q676" s="362"/>
      <c r="R676" s="362"/>
      <c r="S676" s="362"/>
      <c r="T676" s="362"/>
      <c r="U676" s="362"/>
      <c r="V676" s="362"/>
      <c r="W676" s="362"/>
      <c r="X676" s="362"/>
      <c r="Y676" s="362"/>
      <c r="Z676" s="362"/>
      <c r="AA676" s="362"/>
      <c r="AB676" s="362"/>
      <c r="AC676" s="362"/>
      <c r="AD676" s="362"/>
    </row>
    <row r="677" spans="1:30" x14ac:dyDescent="0.25">
      <c r="A677" s="190">
        <v>115</v>
      </c>
      <c r="B677" s="186" t="s">
        <v>4203</v>
      </c>
      <c r="C677" s="186"/>
      <c r="D677" s="210" t="s">
        <v>5037</v>
      </c>
      <c r="E677" s="210"/>
      <c r="F677" s="210"/>
      <c r="G677" s="231" t="s">
        <v>3633</v>
      </c>
      <c r="H677" s="361"/>
      <c r="I677" s="186"/>
      <c r="J677" s="362"/>
      <c r="K677" s="262" t="s">
        <v>4047</v>
      </c>
      <c r="L677" s="263">
        <v>41272</v>
      </c>
      <c r="M677" s="263" t="s">
        <v>3958</v>
      </c>
      <c r="N677" s="351"/>
      <c r="O677" s="351"/>
      <c r="P677" s="176"/>
      <c r="Q677" s="362"/>
      <c r="R677" s="362"/>
      <c r="S677" s="362"/>
      <c r="T677" s="362"/>
      <c r="U677" s="362"/>
      <c r="V677" s="362"/>
      <c r="W677" s="362"/>
      <c r="X677" s="362"/>
      <c r="Y677" s="362"/>
      <c r="Z677" s="362"/>
      <c r="AA677" s="362"/>
      <c r="AB677" s="362"/>
      <c r="AC677" s="362"/>
      <c r="AD677" s="362"/>
    </row>
    <row r="678" spans="1:30" x14ac:dyDescent="0.25">
      <c r="A678" s="190">
        <v>116</v>
      </c>
      <c r="B678" s="186" t="s">
        <v>4203</v>
      </c>
      <c r="C678" s="186"/>
      <c r="D678" s="210" t="s">
        <v>5038</v>
      </c>
      <c r="E678" s="210"/>
      <c r="F678" s="210"/>
      <c r="G678" s="231" t="s">
        <v>3633</v>
      </c>
      <c r="H678" s="361"/>
      <c r="I678" s="186"/>
      <c r="J678" s="362"/>
      <c r="K678" s="262" t="s">
        <v>4047</v>
      </c>
      <c r="L678" s="263">
        <v>41272</v>
      </c>
      <c r="M678" s="263" t="s">
        <v>3958</v>
      </c>
      <c r="N678" s="351"/>
      <c r="O678" s="351"/>
      <c r="P678" s="176"/>
      <c r="Q678" s="362"/>
      <c r="R678" s="362"/>
      <c r="S678" s="362"/>
      <c r="T678" s="362"/>
      <c r="U678" s="362"/>
      <c r="V678" s="362"/>
      <c r="W678" s="362"/>
      <c r="X678" s="362"/>
      <c r="Y678" s="362"/>
      <c r="Z678" s="362"/>
      <c r="AA678" s="362"/>
      <c r="AB678" s="362"/>
      <c r="AC678" s="362"/>
      <c r="AD678" s="362"/>
    </row>
    <row r="679" spans="1:30" x14ac:dyDescent="0.25">
      <c r="A679" s="190">
        <v>117</v>
      </c>
      <c r="B679" s="186" t="s">
        <v>4203</v>
      </c>
      <c r="C679" s="186"/>
      <c r="D679" s="210" t="s">
        <v>5039</v>
      </c>
      <c r="E679" s="210"/>
      <c r="F679" s="210"/>
      <c r="G679" s="231" t="s">
        <v>3633</v>
      </c>
      <c r="H679" s="361"/>
      <c r="I679" s="186"/>
      <c r="J679" s="362"/>
      <c r="K679" s="262" t="s">
        <v>4047</v>
      </c>
      <c r="L679" s="263">
        <v>41272</v>
      </c>
      <c r="M679" s="263" t="s">
        <v>3958</v>
      </c>
      <c r="N679" s="351"/>
      <c r="O679" s="351"/>
      <c r="P679" s="176"/>
      <c r="Q679" s="362"/>
      <c r="R679" s="362"/>
      <c r="S679" s="362"/>
      <c r="T679" s="362"/>
      <c r="U679" s="362"/>
      <c r="V679" s="362"/>
      <c r="W679" s="362"/>
      <c r="X679" s="362"/>
      <c r="Y679" s="362"/>
      <c r="Z679" s="362"/>
      <c r="AA679" s="362"/>
      <c r="AB679" s="362"/>
      <c r="AC679" s="362"/>
      <c r="AD679" s="362"/>
    </row>
    <row r="680" spans="1:30" x14ac:dyDescent="0.25">
      <c r="A680" s="190">
        <v>118</v>
      </c>
      <c r="B680" s="186" t="s">
        <v>5040</v>
      </c>
      <c r="C680" s="186"/>
      <c r="D680" s="210" t="s">
        <v>5041</v>
      </c>
      <c r="E680" s="210"/>
      <c r="F680" s="210"/>
      <c r="G680" s="231" t="s">
        <v>3633</v>
      </c>
      <c r="H680" s="361"/>
      <c r="I680" s="186"/>
      <c r="J680" s="362"/>
      <c r="K680" s="262" t="s">
        <v>4049</v>
      </c>
      <c r="L680" s="263">
        <v>38944</v>
      </c>
      <c r="M680" s="263">
        <v>40770</v>
      </c>
      <c r="N680" s="351"/>
      <c r="O680" s="351"/>
      <c r="P680" s="176"/>
      <c r="Q680" s="362"/>
      <c r="R680" s="362"/>
      <c r="S680" s="362"/>
      <c r="T680" s="362"/>
      <c r="U680" s="362"/>
      <c r="V680" s="362"/>
      <c r="W680" s="362"/>
      <c r="X680" s="362"/>
      <c r="Y680" s="362"/>
      <c r="Z680" s="362"/>
      <c r="AA680" s="362"/>
      <c r="AB680" s="362"/>
      <c r="AC680" s="362"/>
      <c r="AD680" s="362"/>
    </row>
    <row r="681" spans="1:30" x14ac:dyDescent="0.25">
      <c r="A681" s="190">
        <v>119</v>
      </c>
      <c r="B681" s="186" t="s">
        <v>5040</v>
      </c>
      <c r="C681" s="186"/>
      <c r="D681" s="210" t="s">
        <v>5042</v>
      </c>
      <c r="E681" s="210"/>
      <c r="F681" s="210"/>
      <c r="G681" s="231" t="s">
        <v>3633</v>
      </c>
      <c r="H681" s="361"/>
      <c r="I681" s="186"/>
      <c r="J681" s="362"/>
      <c r="K681" s="262" t="s">
        <v>4049</v>
      </c>
      <c r="L681" s="263">
        <v>38944</v>
      </c>
      <c r="M681" s="263">
        <v>40770</v>
      </c>
      <c r="N681" s="351"/>
      <c r="O681" s="351"/>
      <c r="P681" s="176"/>
      <c r="Q681" s="362"/>
      <c r="R681" s="362"/>
      <c r="S681" s="362"/>
      <c r="T681" s="362"/>
      <c r="U681" s="362"/>
      <c r="V681" s="362"/>
      <c r="W681" s="362"/>
      <c r="X681" s="362"/>
      <c r="Y681" s="362"/>
      <c r="Z681" s="362"/>
      <c r="AA681" s="362"/>
      <c r="AB681" s="362"/>
      <c r="AC681" s="362"/>
      <c r="AD681" s="362"/>
    </row>
    <row r="682" spans="1:30" x14ac:dyDescent="0.25">
      <c r="A682" s="190">
        <v>120</v>
      </c>
      <c r="B682" s="186" t="s">
        <v>5043</v>
      </c>
      <c r="C682" s="186"/>
      <c r="D682" s="210">
        <v>4700068</v>
      </c>
      <c r="E682" s="210"/>
      <c r="F682" s="210"/>
      <c r="G682" s="231" t="s">
        <v>3633</v>
      </c>
      <c r="H682" s="361"/>
      <c r="I682" s="186"/>
      <c r="J682" s="362"/>
      <c r="K682" s="360"/>
      <c r="L682" s="360"/>
      <c r="M682" s="360"/>
      <c r="N682" s="351"/>
      <c r="O682" s="351"/>
      <c r="P682" s="176"/>
      <c r="Q682" s="362"/>
      <c r="R682" s="362"/>
      <c r="S682" s="362"/>
      <c r="T682" s="362"/>
      <c r="U682" s="362"/>
      <c r="V682" s="362"/>
      <c r="W682" s="362"/>
      <c r="X682" s="362"/>
      <c r="Y682" s="362"/>
      <c r="Z682" s="362"/>
      <c r="AA682" s="362"/>
      <c r="AB682" s="362"/>
      <c r="AC682" s="362"/>
      <c r="AD682" s="362"/>
    </row>
    <row r="683" spans="1:30" x14ac:dyDescent="0.25">
      <c r="A683" s="190">
        <v>121</v>
      </c>
      <c r="B683" s="186" t="s">
        <v>5043</v>
      </c>
      <c r="C683" s="186"/>
      <c r="D683" s="210">
        <v>4700069</v>
      </c>
      <c r="E683" s="210"/>
      <c r="F683" s="210"/>
      <c r="G683" s="231" t="s">
        <v>3633</v>
      </c>
      <c r="H683" s="361"/>
      <c r="I683" s="186"/>
      <c r="J683" s="362"/>
      <c r="K683" s="360"/>
      <c r="L683" s="360"/>
      <c r="M683" s="360"/>
      <c r="N683" s="351"/>
      <c r="O683" s="351"/>
      <c r="P683" s="176"/>
      <c r="Q683" s="362"/>
      <c r="R683" s="362"/>
      <c r="S683" s="362"/>
      <c r="T683" s="362"/>
      <c r="U683" s="362"/>
      <c r="V683" s="362"/>
      <c r="W683" s="362"/>
      <c r="X683" s="362"/>
      <c r="Y683" s="362"/>
      <c r="Z683" s="362"/>
      <c r="AA683" s="362"/>
      <c r="AB683" s="362"/>
      <c r="AC683" s="362"/>
      <c r="AD683" s="362"/>
    </row>
    <row r="684" spans="1:30" x14ac:dyDescent="0.25">
      <c r="A684" s="190">
        <v>122</v>
      </c>
      <c r="B684" s="186" t="s">
        <v>5044</v>
      </c>
      <c r="C684" s="186"/>
      <c r="D684" s="210" t="s">
        <v>5045</v>
      </c>
      <c r="E684" s="210"/>
      <c r="F684" s="210"/>
      <c r="G684" s="231" t="s">
        <v>3633</v>
      </c>
      <c r="H684" s="361"/>
      <c r="I684" s="186"/>
      <c r="J684" s="362"/>
      <c r="K684" s="360"/>
      <c r="L684" s="360"/>
      <c r="M684" s="360"/>
      <c r="N684" s="351"/>
      <c r="O684" s="351"/>
      <c r="P684" s="176"/>
      <c r="Q684" s="362"/>
      <c r="R684" s="362"/>
      <c r="S684" s="362"/>
      <c r="T684" s="362"/>
      <c r="U684" s="362"/>
      <c r="V684" s="362"/>
      <c r="W684" s="362"/>
      <c r="X684" s="362"/>
      <c r="Y684" s="362"/>
      <c r="Z684" s="362"/>
      <c r="AA684" s="362"/>
      <c r="AB684" s="362"/>
      <c r="AC684" s="362"/>
      <c r="AD684" s="362"/>
    </row>
    <row r="685" spans="1:30" x14ac:dyDescent="0.25">
      <c r="A685" s="190">
        <v>123</v>
      </c>
      <c r="B685" s="186" t="s">
        <v>5046</v>
      </c>
      <c r="C685" s="186"/>
      <c r="D685" s="210">
        <v>8103495</v>
      </c>
      <c r="E685" s="210"/>
      <c r="F685" s="210"/>
      <c r="G685" s="231" t="s">
        <v>3633</v>
      </c>
      <c r="H685" s="361"/>
      <c r="I685" s="186"/>
      <c r="J685" s="362"/>
      <c r="K685" s="360"/>
      <c r="L685" s="360"/>
      <c r="M685" s="360"/>
      <c r="N685" s="351"/>
      <c r="O685" s="351"/>
      <c r="P685" s="176"/>
      <c r="Q685" s="362"/>
      <c r="R685" s="362"/>
      <c r="S685" s="362"/>
      <c r="T685" s="362"/>
      <c r="U685" s="362"/>
      <c r="V685" s="362"/>
      <c r="W685" s="362"/>
      <c r="X685" s="362"/>
      <c r="Y685" s="362"/>
      <c r="Z685" s="362"/>
      <c r="AA685" s="362"/>
      <c r="AB685" s="362"/>
      <c r="AC685" s="362"/>
      <c r="AD685" s="362"/>
    </row>
    <row r="686" spans="1:30" x14ac:dyDescent="0.25">
      <c r="A686" s="190">
        <v>124</v>
      </c>
      <c r="B686" s="186" t="s">
        <v>5047</v>
      </c>
      <c r="C686" s="186"/>
      <c r="D686" s="210">
        <v>8104478</v>
      </c>
      <c r="E686" s="210"/>
      <c r="F686" s="210"/>
      <c r="G686" s="231" t="s">
        <v>3633</v>
      </c>
      <c r="H686" s="361"/>
      <c r="I686" s="186"/>
      <c r="J686" s="362"/>
      <c r="K686" s="360"/>
      <c r="L686" s="360"/>
      <c r="M686" s="360"/>
      <c r="N686" s="351"/>
      <c r="O686" s="351"/>
      <c r="P686" s="176"/>
      <c r="Q686" s="362"/>
      <c r="R686" s="362"/>
      <c r="S686" s="362"/>
      <c r="T686" s="362"/>
      <c r="U686" s="362"/>
      <c r="V686" s="362"/>
      <c r="W686" s="362"/>
      <c r="X686" s="362"/>
      <c r="Y686" s="362"/>
      <c r="Z686" s="362"/>
      <c r="AA686" s="362"/>
      <c r="AB686" s="362"/>
      <c r="AC686" s="362"/>
      <c r="AD686" s="362"/>
    </row>
    <row r="687" spans="1:30" x14ac:dyDescent="0.25">
      <c r="A687" s="190">
        <v>125</v>
      </c>
      <c r="B687" s="186" t="s">
        <v>5048</v>
      </c>
      <c r="C687" s="186"/>
      <c r="D687" s="210">
        <v>4700342</v>
      </c>
      <c r="E687" s="210"/>
      <c r="F687" s="210"/>
      <c r="G687" s="231" t="s">
        <v>3633</v>
      </c>
      <c r="H687" s="361"/>
      <c r="I687" s="186"/>
      <c r="J687" s="362"/>
      <c r="K687" s="360" t="s">
        <v>5049</v>
      </c>
      <c r="L687" s="368">
        <v>38490</v>
      </c>
      <c r="M687" s="368">
        <v>42142</v>
      </c>
      <c r="N687" s="351">
        <v>2007</v>
      </c>
      <c r="O687" s="351"/>
      <c r="P687" s="176"/>
      <c r="Q687" s="362"/>
      <c r="R687" s="362"/>
      <c r="S687" s="362"/>
      <c r="T687" s="362"/>
      <c r="U687" s="362"/>
      <c r="V687" s="362"/>
      <c r="W687" s="362"/>
      <c r="X687" s="362"/>
      <c r="Y687" s="362"/>
      <c r="Z687" s="362"/>
      <c r="AA687" s="362"/>
      <c r="AB687" s="362"/>
      <c r="AC687" s="362"/>
      <c r="AD687" s="362"/>
    </row>
    <row r="688" spans="1:30" x14ac:dyDescent="0.25">
      <c r="A688" s="190">
        <v>126</v>
      </c>
      <c r="B688" s="186" t="s">
        <v>5050</v>
      </c>
      <c r="C688" s="186"/>
      <c r="D688" s="210" t="s">
        <v>5051</v>
      </c>
      <c r="E688" s="210"/>
      <c r="F688" s="210"/>
      <c r="G688" s="231" t="s">
        <v>3633</v>
      </c>
      <c r="H688" s="361"/>
      <c r="I688" s="186"/>
      <c r="J688" s="362"/>
      <c r="K688" s="360"/>
      <c r="L688" s="360"/>
      <c r="M688" s="360"/>
      <c r="N688" s="351"/>
      <c r="O688" s="351"/>
      <c r="P688" s="176"/>
      <c r="Q688" s="362"/>
      <c r="R688" s="362"/>
      <c r="S688" s="362"/>
      <c r="T688" s="362"/>
      <c r="U688" s="362"/>
      <c r="V688" s="362"/>
      <c r="W688" s="362"/>
      <c r="X688" s="362"/>
      <c r="Y688" s="362"/>
      <c r="Z688" s="362"/>
      <c r="AA688" s="362"/>
      <c r="AB688" s="362"/>
      <c r="AC688" s="362"/>
      <c r="AD688" s="362"/>
    </row>
    <row r="689" spans="1:30" x14ac:dyDescent="0.25">
      <c r="A689" s="190">
        <v>127</v>
      </c>
      <c r="B689" s="186" t="s">
        <v>5050</v>
      </c>
      <c r="C689" s="186"/>
      <c r="D689" s="210" t="s">
        <v>5052</v>
      </c>
      <c r="E689" s="210"/>
      <c r="F689" s="210"/>
      <c r="G689" s="231" t="s">
        <v>3633</v>
      </c>
      <c r="H689" s="361"/>
      <c r="I689" s="186"/>
      <c r="J689" s="362"/>
      <c r="K689" s="360"/>
      <c r="L689" s="360"/>
      <c r="M689" s="360"/>
      <c r="N689" s="351"/>
      <c r="O689" s="351"/>
      <c r="P689" s="176"/>
      <c r="Q689" s="362"/>
      <c r="R689" s="362"/>
      <c r="S689" s="362"/>
      <c r="T689" s="362"/>
      <c r="U689" s="362"/>
      <c r="V689" s="362"/>
      <c r="W689" s="362"/>
      <c r="X689" s="362"/>
      <c r="Y689" s="362"/>
      <c r="Z689" s="362"/>
      <c r="AA689" s="362"/>
      <c r="AB689" s="362"/>
      <c r="AC689" s="362"/>
      <c r="AD689" s="362"/>
    </row>
    <row r="690" spans="1:30" x14ac:dyDescent="0.25">
      <c r="A690" s="190">
        <v>129</v>
      </c>
      <c r="B690" s="186" t="s">
        <v>3904</v>
      </c>
      <c r="C690" s="186"/>
      <c r="D690" s="210" t="s">
        <v>5053</v>
      </c>
      <c r="E690" s="210"/>
      <c r="F690" s="210"/>
      <c r="G690" s="231" t="s">
        <v>3633</v>
      </c>
      <c r="H690" s="361"/>
      <c r="I690" s="186"/>
      <c r="J690" s="362"/>
      <c r="K690" s="262" t="s">
        <v>4058</v>
      </c>
      <c r="L690" s="263">
        <v>39885</v>
      </c>
      <c r="M690" s="231" t="s">
        <v>3958</v>
      </c>
      <c r="N690" s="242">
        <v>2010</v>
      </c>
      <c r="P690" s="397"/>
      <c r="Q690" s="362"/>
      <c r="R690" s="362"/>
      <c r="S690" s="362"/>
      <c r="T690" s="362"/>
      <c r="U690" s="362"/>
      <c r="V690" s="362"/>
      <c r="W690" s="362"/>
      <c r="X690" s="362"/>
      <c r="Y690" s="362"/>
      <c r="Z690" s="362"/>
      <c r="AA690" s="362"/>
      <c r="AB690" s="362"/>
      <c r="AC690" s="362"/>
      <c r="AD690" s="362"/>
    </row>
    <row r="691" spans="1:30" x14ac:dyDescent="0.25">
      <c r="A691" s="190">
        <v>130</v>
      </c>
      <c r="B691" s="186" t="s">
        <v>5054</v>
      </c>
      <c r="C691" s="186"/>
      <c r="D691" s="210" t="s">
        <v>5055</v>
      </c>
      <c r="E691" s="210"/>
      <c r="F691" s="210"/>
      <c r="G691" s="231" t="s">
        <v>3633</v>
      </c>
      <c r="H691" s="361"/>
      <c r="I691" s="186"/>
      <c r="J691" s="362"/>
      <c r="K691" s="360" t="s">
        <v>5049</v>
      </c>
      <c r="L691" s="368">
        <v>38490</v>
      </c>
      <c r="M691" s="368">
        <v>42142</v>
      </c>
      <c r="N691" s="351">
        <v>2007</v>
      </c>
      <c r="O691" s="351"/>
      <c r="P691" s="176"/>
      <c r="Q691" s="362"/>
      <c r="R691" s="362"/>
      <c r="S691" s="362"/>
      <c r="T691" s="362"/>
      <c r="U691" s="362"/>
      <c r="V691" s="362"/>
      <c r="W691" s="362"/>
      <c r="X691" s="362"/>
      <c r="Y691" s="362"/>
      <c r="Z691" s="362"/>
      <c r="AA691" s="362"/>
      <c r="AB691" s="362"/>
      <c r="AC691" s="362"/>
      <c r="AD691" s="362"/>
    </row>
    <row r="692" spans="1:30" x14ac:dyDescent="0.25">
      <c r="A692" s="190">
        <v>131</v>
      </c>
      <c r="B692" s="186" t="s">
        <v>768</v>
      </c>
      <c r="C692" s="220"/>
      <c r="D692" s="341">
        <v>1370257</v>
      </c>
      <c r="E692" s="341"/>
      <c r="F692" s="341"/>
      <c r="G692" s="231" t="s">
        <v>3633</v>
      </c>
      <c r="H692" s="361"/>
      <c r="I692" s="186"/>
      <c r="J692" s="362"/>
      <c r="K692" s="384"/>
      <c r="L692" s="384"/>
      <c r="M692" s="384"/>
      <c r="N692" s="386"/>
      <c r="O692" s="351"/>
      <c r="P692" s="176"/>
      <c r="Q692" s="362"/>
      <c r="R692" s="362"/>
      <c r="S692" s="362"/>
      <c r="T692" s="362"/>
      <c r="U692" s="362"/>
      <c r="V692" s="362"/>
      <c r="W692" s="362"/>
      <c r="X692" s="362"/>
      <c r="Y692" s="362"/>
      <c r="Z692" s="362"/>
      <c r="AA692" s="362"/>
      <c r="AB692" s="362"/>
      <c r="AC692" s="362"/>
      <c r="AD692" s="362"/>
    </row>
    <row r="693" spans="1:30" x14ac:dyDescent="0.25">
      <c r="A693" s="211">
        <v>133</v>
      </c>
      <c r="B693" s="194" t="s">
        <v>5056</v>
      </c>
      <c r="C693" s="194">
        <v>3</v>
      </c>
      <c r="D693" s="210" t="s">
        <v>3192</v>
      </c>
      <c r="E693" s="378" t="s">
        <v>3191</v>
      </c>
      <c r="F693" s="210"/>
      <c r="G693" s="229" t="s">
        <v>3633</v>
      </c>
      <c r="H693" s="379"/>
      <c r="I693" s="186"/>
      <c r="J693" s="362"/>
      <c r="K693" s="360" t="s">
        <v>5057</v>
      </c>
      <c r="L693" s="368">
        <v>38843</v>
      </c>
      <c r="M693" s="368">
        <v>42496</v>
      </c>
      <c r="N693" s="380">
        <v>2011</v>
      </c>
      <c r="O693" s="351"/>
      <c r="P693" s="176"/>
      <c r="Q693" s="381"/>
      <c r="R693" s="381"/>
      <c r="S693" s="362"/>
      <c r="T693" s="362"/>
      <c r="U693" s="362"/>
      <c r="V693" s="362"/>
      <c r="W693" s="362"/>
      <c r="X693" s="362"/>
      <c r="Y693" s="362"/>
      <c r="Z693" s="362"/>
      <c r="AA693" s="362"/>
      <c r="AB693" s="381"/>
      <c r="AC693" s="381"/>
      <c r="AD693" s="381"/>
    </row>
    <row r="694" spans="1:30" x14ac:dyDescent="0.25">
      <c r="B694" s="194" t="s">
        <v>5058</v>
      </c>
      <c r="C694" s="194">
        <v>3</v>
      </c>
      <c r="D694" s="210"/>
      <c r="E694" s="378" t="s">
        <v>1965</v>
      </c>
      <c r="F694" s="210"/>
      <c r="G694" s="229" t="s">
        <v>3633</v>
      </c>
      <c r="H694" s="379"/>
      <c r="I694" s="186"/>
      <c r="J694" s="362"/>
      <c r="K694" s="360" t="s">
        <v>5057</v>
      </c>
      <c r="L694" s="368">
        <v>38843</v>
      </c>
      <c r="M694" s="368">
        <v>42496</v>
      </c>
      <c r="N694" s="380">
        <v>2013</v>
      </c>
      <c r="O694" s="351"/>
      <c r="P694" s="176"/>
      <c r="Q694" s="381"/>
      <c r="R694" s="381"/>
      <c r="S694" s="362"/>
      <c r="T694" s="362"/>
      <c r="U694" s="362"/>
      <c r="V694" s="362"/>
      <c r="W694" s="362"/>
      <c r="X694" s="362"/>
      <c r="Y694" s="362"/>
      <c r="Z694" s="362"/>
      <c r="AA694" s="362"/>
      <c r="AB694" s="381"/>
      <c r="AC694" s="381"/>
      <c r="AD694" s="381"/>
    </row>
    <row r="695" spans="1:30" x14ac:dyDescent="0.25">
      <c r="A695" s="190">
        <v>134</v>
      </c>
      <c r="B695" s="186" t="s">
        <v>5059</v>
      </c>
      <c r="C695" s="306"/>
      <c r="D695" s="337" t="s">
        <v>5060</v>
      </c>
      <c r="E695" s="337"/>
      <c r="F695" s="337"/>
      <c r="G695" s="231" t="s">
        <v>3633</v>
      </c>
      <c r="H695" s="361"/>
      <c r="I695" s="186"/>
      <c r="J695" s="362"/>
      <c r="K695" s="382"/>
      <c r="L695" s="382"/>
      <c r="M695" s="382"/>
      <c r="N695" s="377"/>
      <c r="O695" s="351"/>
      <c r="P695" s="176"/>
      <c r="Q695" s="362"/>
      <c r="R695" s="362"/>
      <c r="S695" s="362"/>
      <c r="T695" s="362"/>
      <c r="U695" s="362"/>
      <c r="V695" s="362"/>
      <c r="W695" s="362"/>
      <c r="X695" s="362"/>
      <c r="Y695" s="362"/>
      <c r="Z695" s="362"/>
      <c r="AA695" s="362"/>
      <c r="AB695" s="362"/>
      <c r="AC695" s="362"/>
      <c r="AD695" s="362"/>
    </row>
    <row r="696" spans="1:30" x14ac:dyDescent="0.25">
      <c r="A696" s="190">
        <v>135</v>
      </c>
      <c r="B696" s="186" t="s">
        <v>5059</v>
      </c>
      <c r="C696" s="186"/>
      <c r="D696" s="210" t="s">
        <v>5061</v>
      </c>
      <c r="E696" s="210"/>
      <c r="F696" s="210"/>
      <c r="G696" s="231" t="s">
        <v>3633</v>
      </c>
      <c r="H696" s="361"/>
      <c r="I696" s="186"/>
      <c r="J696" s="362"/>
      <c r="K696" s="360"/>
      <c r="L696" s="360"/>
      <c r="M696" s="360"/>
      <c r="N696" s="351"/>
      <c r="O696" s="351"/>
      <c r="P696" s="176"/>
      <c r="Q696" s="362"/>
      <c r="R696" s="362"/>
      <c r="S696" s="362"/>
      <c r="T696" s="362"/>
      <c r="U696" s="362"/>
      <c r="V696" s="362"/>
      <c r="W696" s="362"/>
      <c r="X696" s="362"/>
      <c r="Y696" s="362"/>
      <c r="Z696" s="362"/>
      <c r="AA696" s="362"/>
      <c r="AB696" s="362"/>
      <c r="AC696" s="362"/>
      <c r="AD696" s="362"/>
    </row>
    <row r="697" spans="1:30" x14ac:dyDescent="0.25">
      <c r="A697" s="190">
        <v>155</v>
      </c>
      <c r="B697" s="186" t="s">
        <v>5062</v>
      </c>
      <c r="C697" s="186"/>
      <c r="D697" s="210" t="s">
        <v>5063</v>
      </c>
      <c r="E697" s="210"/>
      <c r="F697" s="210"/>
      <c r="G697" s="231" t="s">
        <v>3633</v>
      </c>
      <c r="H697" s="361"/>
      <c r="I697" s="186"/>
      <c r="J697" s="362"/>
      <c r="K697" s="360"/>
      <c r="L697" s="360"/>
      <c r="M697" s="360"/>
      <c r="N697" s="351"/>
      <c r="O697" s="351"/>
      <c r="P697" s="176"/>
      <c r="Q697" s="362"/>
      <c r="R697" s="362"/>
      <c r="S697" s="362"/>
      <c r="T697" s="362"/>
      <c r="U697" s="362"/>
      <c r="V697" s="362"/>
      <c r="W697" s="362"/>
      <c r="X697" s="362"/>
      <c r="Y697" s="362"/>
      <c r="Z697" s="362"/>
      <c r="AA697" s="362"/>
      <c r="AB697" s="362"/>
      <c r="AC697" s="362"/>
      <c r="AD697" s="362"/>
    </row>
    <row r="698" spans="1:30" x14ac:dyDescent="0.25">
      <c r="A698" s="190">
        <v>472</v>
      </c>
      <c r="B698" s="327" t="s">
        <v>5064</v>
      </c>
      <c r="C698" s="327"/>
      <c r="D698" s="398" t="s">
        <v>5065</v>
      </c>
      <c r="E698" s="398" t="s">
        <v>3919</v>
      </c>
      <c r="F698" s="398"/>
      <c r="G698" s="231" t="s">
        <v>3663</v>
      </c>
      <c r="H698" s="231"/>
      <c r="L698" s="231"/>
      <c r="M698" s="231"/>
      <c r="N698" s="242"/>
      <c r="Q698" s="244">
        <v>12</v>
      </c>
      <c r="R698" s="245">
        <v>40817</v>
      </c>
      <c r="S698" s="311" t="s">
        <v>4192</v>
      </c>
      <c r="T698" s="245">
        <v>41183</v>
      </c>
      <c r="U698" s="231" t="s">
        <v>4178</v>
      </c>
      <c r="Z698" s="231">
        <v>1</v>
      </c>
      <c r="AA698" s="231" t="s">
        <v>4179</v>
      </c>
      <c r="AB698" s="231"/>
      <c r="AC698" s="231"/>
      <c r="AD698" s="231"/>
    </row>
    <row r="699" spans="1:30" x14ac:dyDescent="0.25">
      <c r="A699" s="190">
        <v>473</v>
      </c>
      <c r="B699" s="327" t="s">
        <v>5066</v>
      </c>
      <c r="C699" s="327"/>
      <c r="D699" s="398" t="s">
        <v>5067</v>
      </c>
      <c r="E699" s="398" t="s">
        <v>5068</v>
      </c>
      <c r="F699" s="398"/>
      <c r="G699" s="231" t="s">
        <v>3663</v>
      </c>
      <c r="H699" s="231"/>
      <c r="L699" s="231"/>
      <c r="M699" s="231"/>
      <c r="N699" s="242"/>
      <c r="Q699" s="244">
        <v>12</v>
      </c>
      <c r="R699" s="245">
        <v>40817</v>
      </c>
      <c r="S699" s="311" t="s">
        <v>4192</v>
      </c>
      <c r="T699" s="245">
        <v>41183</v>
      </c>
      <c r="U699" s="231" t="s">
        <v>4178</v>
      </c>
      <c r="Z699" s="231">
        <v>1</v>
      </c>
      <c r="AA699" s="231" t="s">
        <v>4179</v>
      </c>
      <c r="AB699" s="231"/>
      <c r="AC699" s="231"/>
      <c r="AD699" s="231"/>
    </row>
    <row r="700" spans="1:30" x14ac:dyDescent="0.25">
      <c r="A700" s="190">
        <v>474</v>
      </c>
      <c r="B700" s="190" t="s">
        <v>3840</v>
      </c>
      <c r="C700" s="190"/>
      <c r="D700" s="209" t="s">
        <v>5069</v>
      </c>
      <c r="E700" s="209" t="s">
        <v>5070</v>
      </c>
      <c r="F700" s="209"/>
      <c r="G700" s="231" t="s">
        <v>3663</v>
      </c>
      <c r="H700" s="231"/>
      <c r="K700" s="262" t="s">
        <v>3740</v>
      </c>
      <c r="L700" s="263">
        <v>40204</v>
      </c>
      <c r="M700" s="263" t="s">
        <v>3958</v>
      </c>
      <c r="N700" s="242">
        <v>2002</v>
      </c>
      <c r="Q700" s="244">
        <v>12</v>
      </c>
      <c r="R700" s="245" t="s">
        <v>4972</v>
      </c>
      <c r="S700" s="311" t="s">
        <v>4192</v>
      </c>
      <c r="T700" s="245">
        <v>41183</v>
      </c>
      <c r="U700" s="231" t="s">
        <v>4178</v>
      </c>
      <c r="Z700" s="231">
        <v>1</v>
      </c>
      <c r="AA700" s="231" t="s">
        <v>4179</v>
      </c>
      <c r="AB700" s="231"/>
      <c r="AC700" s="231"/>
      <c r="AD700" s="231"/>
    </row>
    <row r="701" spans="1:30" x14ac:dyDescent="0.25">
      <c r="A701" s="190">
        <v>475</v>
      </c>
      <c r="B701" s="329" t="s">
        <v>5071</v>
      </c>
      <c r="C701" s="329"/>
      <c r="D701" s="210" t="s">
        <v>5072</v>
      </c>
      <c r="E701" s="330" t="s">
        <v>5073</v>
      </c>
      <c r="F701" s="209"/>
      <c r="G701" s="342" t="s">
        <v>3663</v>
      </c>
      <c r="H701" s="342"/>
      <c r="L701" s="231"/>
      <c r="M701" s="231"/>
      <c r="N701" s="333"/>
      <c r="Q701" s="244">
        <v>12</v>
      </c>
      <c r="R701" s="245">
        <v>40817</v>
      </c>
      <c r="S701" s="311" t="s">
        <v>4192</v>
      </c>
      <c r="T701" s="245">
        <v>41183</v>
      </c>
      <c r="U701" s="231" t="s">
        <v>4178</v>
      </c>
      <c r="Z701" s="231">
        <v>1</v>
      </c>
      <c r="AA701" s="231" t="s">
        <v>4179</v>
      </c>
      <c r="AB701" s="231"/>
      <c r="AC701" s="231"/>
      <c r="AD701" s="231"/>
    </row>
    <row r="702" spans="1:30" x14ac:dyDescent="0.25">
      <c r="A702" s="211">
        <v>478</v>
      </c>
      <c r="B702" s="211" t="s">
        <v>4173</v>
      </c>
      <c r="C702" s="211">
        <v>1</v>
      </c>
      <c r="D702" s="345" t="s">
        <v>5074</v>
      </c>
      <c r="F702" s="345"/>
      <c r="G702" s="229" t="s">
        <v>3663</v>
      </c>
      <c r="H702" s="229" t="s">
        <v>4458</v>
      </c>
      <c r="I702" s="371"/>
      <c r="K702" s="262" t="s">
        <v>4083</v>
      </c>
      <c r="L702" s="263">
        <v>38853</v>
      </c>
      <c r="M702" s="263">
        <v>42506</v>
      </c>
      <c r="N702" s="211">
        <v>2003</v>
      </c>
      <c r="O702" s="372"/>
      <c r="P702" s="372"/>
      <c r="Q702" s="253">
        <v>12</v>
      </c>
      <c r="R702" s="254">
        <v>41556</v>
      </c>
      <c r="S702" s="311" t="s">
        <v>4177</v>
      </c>
      <c r="T702" s="245">
        <v>41921</v>
      </c>
      <c r="U702" s="231" t="s">
        <v>4178</v>
      </c>
      <c r="Z702" s="231">
        <v>1</v>
      </c>
      <c r="AA702" s="231" t="s">
        <v>4179</v>
      </c>
    </row>
    <row r="703" spans="1:30" x14ac:dyDescent="0.25">
      <c r="B703" s="211" t="s">
        <v>5075</v>
      </c>
      <c r="C703" s="393">
        <v>1</v>
      </c>
      <c r="D703" s="345"/>
      <c r="E703" s="394" t="s">
        <v>5076</v>
      </c>
      <c r="F703" s="345"/>
      <c r="G703" s="229" t="s">
        <v>3663</v>
      </c>
      <c r="H703" s="229" t="s">
        <v>4458</v>
      </c>
      <c r="I703" s="371"/>
      <c r="L703" s="263"/>
      <c r="M703" s="263"/>
      <c r="N703" s="393">
        <v>2016</v>
      </c>
      <c r="O703" s="372"/>
      <c r="P703" s="372"/>
      <c r="T703" s="245"/>
    </row>
    <row r="704" spans="1:30" x14ac:dyDescent="0.25">
      <c r="A704" s="190">
        <v>479</v>
      </c>
      <c r="B704" s="373" t="s">
        <v>5077</v>
      </c>
      <c r="C704" s="373"/>
      <c r="E704" s="344"/>
      <c r="F704" s="209"/>
      <c r="G704" s="340" t="s">
        <v>3663</v>
      </c>
      <c r="H704" s="340"/>
      <c r="L704" s="231"/>
      <c r="M704" s="231"/>
      <c r="N704" s="307"/>
      <c r="Q704" s="244">
        <v>12</v>
      </c>
      <c r="R704" s="245" t="s">
        <v>5078</v>
      </c>
      <c r="S704" s="311" t="s">
        <v>4192</v>
      </c>
      <c r="T704" s="245">
        <v>41153</v>
      </c>
      <c r="U704" s="231" t="s">
        <v>4193</v>
      </c>
      <c r="Z704" s="231">
        <v>1</v>
      </c>
      <c r="AA704" s="231" t="s">
        <v>4179</v>
      </c>
      <c r="AB704" s="231"/>
      <c r="AC704" s="231"/>
      <c r="AD704" s="231"/>
    </row>
    <row r="705" spans="1:30" x14ac:dyDescent="0.25">
      <c r="A705" s="211">
        <v>480</v>
      </c>
      <c r="B705" s="211" t="s">
        <v>3905</v>
      </c>
      <c r="C705" s="211">
        <v>3</v>
      </c>
      <c r="D705" s="210" t="s">
        <v>5079</v>
      </c>
      <c r="E705" s="292" t="s">
        <v>5080</v>
      </c>
      <c r="F705" s="209"/>
      <c r="G705" s="229" t="s">
        <v>3663</v>
      </c>
      <c r="H705" s="229" t="s">
        <v>4265</v>
      </c>
      <c r="K705" s="262" t="s">
        <v>4948</v>
      </c>
      <c r="L705" s="263">
        <v>40273</v>
      </c>
      <c r="M705" s="263" t="s">
        <v>3958</v>
      </c>
      <c r="N705" s="255">
        <v>2010</v>
      </c>
      <c r="Q705" s="253">
        <v>36</v>
      </c>
      <c r="R705" s="254">
        <v>40825</v>
      </c>
      <c r="S705" s="311" t="s">
        <v>4177</v>
      </c>
      <c r="T705" s="245">
        <v>41921</v>
      </c>
      <c r="U705" s="231" t="s">
        <v>4193</v>
      </c>
      <c r="Z705" s="231">
        <v>1</v>
      </c>
      <c r="AA705" s="231" t="s">
        <v>4179</v>
      </c>
    </row>
    <row r="706" spans="1:30" x14ac:dyDescent="0.25">
      <c r="A706" s="190">
        <v>481</v>
      </c>
      <c r="B706" s="190" t="s">
        <v>5081</v>
      </c>
      <c r="C706" s="190"/>
      <c r="D706" s="210" t="s">
        <v>5082</v>
      </c>
      <c r="E706" s="209" t="s">
        <v>5083</v>
      </c>
      <c r="F706" s="209"/>
      <c r="G706" s="231" t="s">
        <v>3663</v>
      </c>
      <c r="H706" s="231"/>
      <c r="K706" s="262" t="s">
        <v>4765</v>
      </c>
      <c r="L706" s="263">
        <v>40273</v>
      </c>
      <c r="M706" s="231" t="s">
        <v>3958</v>
      </c>
      <c r="N706" s="242">
        <v>2011</v>
      </c>
      <c r="Q706" s="244"/>
      <c r="R706" s="245"/>
      <c r="T706" s="245"/>
      <c r="U706" s="231" t="s">
        <v>4193</v>
      </c>
      <c r="Z706" s="231">
        <v>1</v>
      </c>
      <c r="AA706" s="231" t="s">
        <v>4179</v>
      </c>
      <c r="AB706" s="231"/>
      <c r="AC706" s="231"/>
      <c r="AD706" s="231"/>
    </row>
    <row r="707" spans="1:30" x14ac:dyDescent="0.25">
      <c r="A707" s="190">
        <v>482</v>
      </c>
      <c r="B707" s="190" t="s">
        <v>5084</v>
      </c>
      <c r="C707" s="190"/>
      <c r="E707" s="209"/>
      <c r="F707" s="209"/>
      <c r="G707" s="231" t="s">
        <v>3663</v>
      </c>
      <c r="H707" s="231" t="s">
        <v>4458</v>
      </c>
      <c r="L707" s="231"/>
      <c r="M707" s="231"/>
      <c r="N707" s="242"/>
      <c r="Q707" s="244">
        <v>12</v>
      </c>
      <c r="R707" s="245">
        <v>42248</v>
      </c>
      <c r="S707" s="311" t="s">
        <v>4177</v>
      </c>
      <c r="T707" s="245">
        <v>41187</v>
      </c>
      <c r="U707" s="231" t="s">
        <v>4179</v>
      </c>
      <c r="Z707" s="231">
        <v>1</v>
      </c>
      <c r="AA707" s="231" t="s">
        <v>4179</v>
      </c>
      <c r="AB707" s="231"/>
      <c r="AC707" s="231"/>
      <c r="AD707" s="231"/>
    </row>
    <row r="708" spans="1:30" x14ac:dyDescent="0.25">
      <c r="A708" s="309">
        <v>484</v>
      </c>
      <c r="B708" s="190" t="s">
        <v>4181</v>
      </c>
      <c r="C708" s="190"/>
      <c r="E708" s="209" t="s">
        <v>5085</v>
      </c>
      <c r="F708" s="209"/>
      <c r="G708" s="231" t="s">
        <v>3663</v>
      </c>
      <c r="H708" s="231" t="s">
        <v>4270</v>
      </c>
      <c r="L708" s="231"/>
      <c r="M708" s="231"/>
      <c r="N708" s="242"/>
      <c r="Q708" s="244">
        <v>12</v>
      </c>
      <c r="R708" s="245">
        <v>42248</v>
      </c>
      <c r="S708" s="311" t="s">
        <v>4177</v>
      </c>
      <c r="T708" s="245">
        <v>41187</v>
      </c>
      <c r="U708" s="231" t="s">
        <v>4179</v>
      </c>
      <c r="Z708" s="231">
        <v>1</v>
      </c>
      <c r="AA708" s="231" t="s">
        <v>4179</v>
      </c>
      <c r="AB708" s="231"/>
      <c r="AC708" s="231"/>
      <c r="AD708" s="231"/>
    </row>
    <row r="709" spans="1:30" x14ac:dyDescent="0.25">
      <c r="A709" s="309"/>
      <c r="B709" s="190" t="s">
        <v>4184</v>
      </c>
      <c r="C709" s="190"/>
      <c r="E709" s="209" t="s">
        <v>5086</v>
      </c>
      <c r="F709" s="209"/>
      <c r="G709" s="231" t="s">
        <v>3663</v>
      </c>
      <c r="H709" s="231" t="s">
        <v>4458</v>
      </c>
      <c r="L709" s="231"/>
      <c r="M709" s="231"/>
      <c r="N709" s="242"/>
      <c r="Q709" s="244">
        <v>12</v>
      </c>
      <c r="R709" s="245">
        <v>42248</v>
      </c>
      <c r="T709" s="245"/>
      <c r="AB709" s="231"/>
      <c r="AC709" s="231"/>
      <c r="AD709" s="231"/>
    </row>
    <row r="710" spans="1:30" x14ac:dyDescent="0.25">
      <c r="A710" s="190">
        <v>485</v>
      </c>
      <c r="B710" s="211" t="s">
        <v>4199</v>
      </c>
      <c r="E710" s="209" t="s">
        <v>5087</v>
      </c>
      <c r="F710" s="209"/>
      <c r="G710" s="231" t="s">
        <v>3663</v>
      </c>
      <c r="H710" s="231"/>
      <c r="I710" s="211"/>
      <c r="K710" s="262" t="s">
        <v>4201</v>
      </c>
      <c r="L710" s="231" t="s">
        <v>4202</v>
      </c>
      <c r="M710" s="231" t="s">
        <v>3958</v>
      </c>
      <c r="N710" s="242"/>
      <c r="Q710" s="244">
        <v>12</v>
      </c>
      <c r="R710" s="245">
        <v>41353</v>
      </c>
      <c r="T710" s="245">
        <v>41718</v>
      </c>
      <c r="U710" s="231" t="s">
        <v>4193</v>
      </c>
      <c r="Z710" s="231">
        <v>1</v>
      </c>
      <c r="AA710" s="231" t="s">
        <v>4179</v>
      </c>
      <c r="AB710" s="231"/>
      <c r="AC710" s="231"/>
      <c r="AD710" s="231"/>
    </row>
    <row r="711" spans="1:30" x14ac:dyDescent="0.25">
      <c r="A711" s="190"/>
      <c r="B711" s="211" t="s">
        <v>4199</v>
      </c>
      <c r="E711" s="209"/>
      <c r="F711" s="209"/>
      <c r="G711" s="231" t="s">
        <v>3663</v>
      </c>
      <c r="H711" s="231"/>
      <c r="I711" s="211"/>
      <c r="K711" s="262" t="s">
        <v>4201</v>
      </c>
      <c r="L711" s="231" t="s">
        <v>4202</v>
      </c>
      <c r="M711" s="231" t="s">
        <v>3958</v>
      </c>
      <c r="N711" s="242"/>
      <c r="Q711" s="244"/>
      <c r="R711" s="245"/>
      <c r="T711" s="245"/>
      <c r="AB711" s="231"/>
      <c r="AC711" s="231"/>
      <c r="AD711" s="231"/>
    </row>
    <row r="712" spans="1:30" x14ac:dyDescent="0.25">
      <c r="A712" s="190"/>
      <c r="B712" s="211" t="s">
        <v>4199</v>
      </c>
      <c r="E712" s="209"/>
      <c r="F712" s="209"/>
      <c r="G712" s="231" t="s">
        <v>3663</v>
      </c>
      <c r="H712" s="231"/>
      <c r="I712" s="211"/>
      <c r="K712" s="262" t="s">
        <v>4201</v>
      </c>
      <c r="L712" s="231" t="s">
        <v>4202</v>
      </c>
      <c r="M712" s="231" t="s">
        <v>3958</v>
      </c>
      <c r="N712" s="242"/>
      <c r="Q712" s="244"/>
      <c r="R712" s="245"/>
      <c r="T712" s="245"/>
      <c r="AB712" s="231"/>
      <c r="AC712" s="231"/>
      <c r="AD712" s="231"/>
    </row>
    <row r="713" spans="1:30" x14ac:dyDescent="0.25">
      <c r="A713" s="190"/>
      <c r="B713" s="211" t="s">
        <v>4199</v>
      </c>
      <c r="E713" s="209"/>
      <c r="F713" s="209"/>
      <c r="G713" s="231" t="s">
        <v>3663</v>
      </c>
      <c r="H713" s="231"/>
      <c r="I713" s="211"/>
      <c r="K713" s="262" t="s">
        <v>4201</v>
      </c>
      <c r="L713" s="231" t="s">
        <v>4202</v>
      </c>
      <c r="M713" s="231" t="s">
        <v>3958</v>
      </c>
      <c r="N713" s="242"/>
      <c r="Q713" s="244"/>
      <c r="R713" s="245"/>
      <c r="T713" s="245"/>
      <c r="AB713" s="231"/>
      <c r="AC713" s="231"/>
      <c r="AD713" s="231"/>
    </row>
    <row r="714" spans="1:30" x14ac:dyDescent="0.25">
      <c r="A714" s="190"/>
      <c r="B714" s="211" t="s">
        <v>4199</v>
      </c>
      <c r="E714" s="209"/>
      <c r="F714" s="209"/>
      <c r="G714" s="231" t="s">
        <v>3663</v>
      </c>
      <c r="H714" s="231"/>
      <c r="I714" s="211"/>
      <c r="K714" s="262" t="s">
        <v>4201</v>
      </c>
      <c r="L714" s="231" t="s">
        <v>4202</v>
      </c>
      <c r="M714" s="231" t="s">
        <v>3958</v>
      </c>
      <c r="N714" s="242"/>
      <c r="Q714" s="244"/>
      <c r="R714" s="245"/>
      <c r="T714" s="245"/>
      <c r="AB714" s="231"/>
      <c r="AC714" s="231"/>
      <c r="AD714" s="231"/>
    </row>
    <row r="715" spans="1:30" x14ac:dyDescent="0.25">
      <c r="A715" s="190"/>
      <c r="B715" s="211" t="s">
        <v>4199</v>
      </c>
      <c r="E715" s="209"/>
      <c r="F715" s="209"/>
      <c r="G715" s="231" t="s">
        <v>3663</v>
      </c>
      <c r="H715" s="231"/>
      <c r="I715" s="211"/>
      <c r="K715" s="262" t="s">
        <v>4201</v>
      </c>
      <c r="L715" s="231" t="s">
        <v>4202</v>
      </c>
      <c r="M715" s="231" t="s">
        <v>3958</v>
      </c>
      <c r="N715" s="242"/>
      <c r="Q715" s="244"/>
      <c r="R715" s="245"/>
      <c r="T715" s="245"/>
      <c r="AB715" s="231"/>
      <c r="AC715" s="231"/>
      <c r="AD715" s="231"/>
    </row>
    <row r="716" spans="1:30" x14ac:dyDescent="0.25">
      <c r="A716" s="190"/>
      <c r="B716" s="211" t="s">
        <v>4199</v>
      </c>
      <c r="E716" s="209"/>
      <c r="F716" s="209"/>
      <c r="G716" s="231" t="s">
        <v>3663</v>
      </c>
      <c r="H716" s="231"/>
      <c r="I716" s="211"/>
      <c r="K716" s="262" t="s">
        <v>4201</v>
      </c>
      <c r="L716" s="231" t="s">
        <v>4202</v>
      </c>
      <c r="M716" s="231" t="s">
        <v>3958</v>
      </c>
      <c r="N716" s="242"/>
      <c r="Q716" s="244"/>
      <c r="R716" s="245"/>
      <c r="T716" s="245"/>
      <c r="AB716" s="231"/>
      <c r="AC716" s="231"/>
      <c r="AD716" s="231"/>
    </row>
    <row r="717" spans="1:30" x14ac:dyDescent="0.25">
      <c r="A717" s="190">
        <v>486</v>
      </c>
      <c r="B717" s="329" t="s">
        <v>4966</v>
      </c>
      <c r="C717" s="329"/>
      <c r="E717" s="330"/>
      <c r="F717" s="209"/>
      <c r="G717" s="342" t="s">
        <v>3663</v>
      </c>
      <c r="H717" s="342"/>
      <c r="L717" s="231"/>
      <c r="M717" s="231"/>
      <c r="N717" s="333"/>
      <c r="Q717" s="244">
        <v>12</v>
      </c>
      <c r="R717" s="245" t="s">
        <v>5078</v>
      </c>
      <c r="S717" s="311" t="s">
        <v>4177</v>
      </c>
      <c r="T717" s="245">
        <v>41060</v>
      </c>
      <c r="U717" s="231" t="s">
        <v>4193</v>
      </c>
      <c r="Z717" s="231">
        <v>1</v>
      </c>
      <c r="AA717" s="231" t="s">
        <v>4179</v>
      </c>
      <c r="AB717" s="231"/>
      <c r="AC717" s="231"/>
      <c r="AD717" s="231"/>
    </row>
    <row r="718" spans="1:30" x14ac:dyDescent="0.25">
      <c r="A718" s="211">
        <v>488</v>
      </c>
      <c r="B718" s="194" t="s">
        <v>5088</v>
      </c>
      <c r="C718" s="194" t="s">
        <v>3778</v>
      </c>
      <c r="D718" s="293" t="s">
        <v>5089</v>
      </c>
      <c r="E718" s="292" t="s">
        <v>5090</v>
      </c>
      <c r="F718" s="345"/>
      <c r="G718" s="229" t="s">
        <v>3663</v>
      </c>
      <c r="H718" s="229" t="s">
        <v>3767</v>
      </c>
      <c r="I718" s="348"/>
      <c r="K718" s="262" t="s">
        <v>5091</v>
      </c>
      <c r="L718" s="263">
        <v>38843</v>
      </c>
      <c r="M718" s="263">
        <v>42496</v>
      </c>
      <c r="N718" s="255">
        <v>2007</v>
      </c>
      <c r="O718" s="372"/>
      <c r="P718" s="372"/>
      <c r="T718" s="245"/>
    </row>
    <row r="719" spans="1:30" x14ac:dyDescent="0.25">
      <c r="A719" s="190"/>
      <c r="B719" s="306" t="s">
        <v>5092</v>
      </c>
      <c r="C719" s="306"/>
      <c r="D719" s="210"/>
      <c r="E719" s="344" t="s">
        <v>5093</v>
      </c>
      <c r="F719" s="209"/>
      <c r="G719" s="340" t="s">
        <v>1186</v>
      </c>
      <c r="H719" s="340"/>
      <c r="I719" s="186"/>
      <c r="K719" s="262" t="s">
        <v>4010</v>
      </c>
      <c r="L719" s="263">
        <v>38843</v>
      </c>
      <c r="M719" s="263">
        <v>42496</v>
      </c>
      <c r="N719" s="307"/>
      <c r="Q719" s="244"/>
      <c r="R719" s="245"/>
      <c r="T719" s="245"/>
      <c r="AB719" s="231"/>
      <c r="AC719" s="231"/>
      <c r="AD719" s="231"/>
    </row>
    <row r="720" spans="1:30" x14ac:dyDescent="0.25">
      <c r="A720" s="190">
        <v>489</v>
      </c>
      <c r="B720" s="363" t="s">
        <v>5094</v>
      </c>
      <c r="C720" s="363"/>
      <c r="D720" s="399" t="s">
        <v>5095</v>
      </c>
      <c r="E720" s="398" t="s">
        <v>5096</v>
      </c>
      <c r="F720" s="398"/>
      <c r="G720" s="231" t="s">
        <v>3663</v>
      </c>
      <c r="H720" s="231"/>
      <c r="I720" s="186"/>
      <c r="L720" s="231"/>
      <c r="M720" s="231"/>
      <c r="N720" s="242">
        <v>2001</v>
      </c>
      <c r="Q720" s="244"/>
      <c r="R720" s="245"/>
      <c r="T720" s="245"/>
      <c r="AB720" s="231"/>
      <c r="AC720" s="231"/>
      <c r="AD720" s="231"/>
    </row>
    <row r="721" spans="1:30" x14ac:dyDescent="0.25">
      <c r="A721" s="190">
        <v>490</v>
      </c>
      <c r="B721" s="363" t="s">
        <v>5097</v>
      </c>
      <c r="C721" s="363"/>
      <c r="D721" s="399" t="s">
        <v>169</v>
      </c>
      <c r="E721" s="398" t="s">
        <v>5098</v>
      </c>
      <c r="F721" s="398"/>
      <c r="G721" s="231" t="s">
        <v>3663</v>
      </c>
      <c r="H721" s="231"/>
      <c r="I721" s="186"/>
      <c r="L721" s="231"/>
      <c r="M721" s="231"/>
      <c r="N721" s="242">
        <v>2001</v>
      </c>
      <c r="Q721" s="244"/>
      <c r="R721" s="245"/>
      <c r="T721" s="245"/>
      <c r="AB721" s="231"/>
      <c r="AC721" s="231"/>
      <c r="AD721" s="231"/>
    </row>
    <row r="722" spans="1:30" x14ac:dyDescent="0.25">
      <c r="A722" s="309">
        <v>491</v>
      </c>
      <c r="B722" s="400" t="s">
        <v>5099</v>
      </c>
      <c r="C722" s="400"/>
      <c r="D722" s="399" t="s">
        <v>5100</v>
      </c>
      <c r="E722" s="401"/>
      <c r="F722" s="398"/>
      <c r="G722" s="342" t="s">
        <v>3663</v>
      </c>
      <c r="H722" s="342"/>
      <c r="I722" s="186"/>
      <c r="L722" s="231"/>
      <c r="M722" s="231"/>
      <c r="N722" s="333"/>
      <c r="Q722" s="244"/>
      <c r="R722" s="245"/>
      <c r="T722" s="245"/>
      <c r="AB722" s="231"/>
      <c r="AC722" s="231"/>
      <c r="AD722" s="231"/>
    </row>
    <row r="723" spans="1:30" x14ac:dyDescent="0.25">
      <c r="A723" s="211">
        <v>492</v>
      </c>
      <c r="B723" s="194" t="s">
        <v>5101</v>
      </c>
      <c r="C723" s="194">
        <v>1</v>
      </c>
      <c r="D723" s="293" t="s">
        <v>3810</v>
      </c>
      <c r="E723" s="292" t="s">
        <v>4146</v>
      </c>
      <c r="F723" s="345"/>
      <c r="G723" s="229" t="s">
        <v>3663</v>
      </c>
      <c r="H723" s="229" t="s">
        <v>3767</v>
      </c>
      <c r="I723" s="348"/>
      <c r="K723" s="262" t="s">
        <v>4147</v>
      </c>
      <c r="L723" s="231" t="s">
        <v>4148</v>
      </c>
      <c r="M723" s="231" t="s">
        <v>5102</v>
      </c>
      <c r="N723" s="255">
        <v>2007</v>
      </c>
      <c r="O723" s="372"/>
      <c r="P723" s="372"/>
      <c r="T723" s="245"/>
    </row>
    <row r="724" spans="1:30" x14ac:dyDescent="0.25">
      <c r="A724" s="190">
        <v>494</v>
      </c>
      <c r="B724" s="306" t="s">
        <v>5103</v>
      </c>
      <c r="C724" s="306"/>
      <c r="D724" s="210" t="s">
        <v>5104</v>
      </c>
      <c r="E724" s="344"/>
      <c r="F724" s="209"/>
      <c r="G724" s="340" t="s">
        <v>3663</v>
      </c>
      <c r="H724" s="340"/>
      <c r="I724" s="186"/>
      <c r="L724" s="231"/>
      <c r="M724" s="231"/>
      <c r="N724" s="307"/>
      <c r="Q724" s="244"/>
      <c r="R724" s="245"/>
      <c r="T724" s="245"/>
      <c r="AB724" s="231"/>
      <c r="AC724" s="231"/>
      <c r="AD724" s="231"/>
    </row>
    <row r="725" spans="1:30" x14ac:dyDescent="0.25">
      <c r="A725" s="190">
        <v>496</v>
      </c>
      <c r="B725" s="186" t="s">
        <v>5105</v>
      </c>
      <c r="C725" s="186"/>
      <c r="D725" s="210" t="s">
        <v>5106</v>
      </c>
      <c r="E725" s="209"/>
      <c r="F725" s="209"/>
      <c r="G725" s="231" t="s">
        <v>3663</v>
      </c>
      <c r="H725" s="231"/>
      <c r="I725" s="186"/>
      <c r="L725" s="231"/>
      <c r="M725" s="231"/>
      <c r="N725" s="242"/>
      <c r="Q725" s="244"/>
      <c r="R725" s="245"/>
      <c r="T725" s="245"/>
      <c r="AB725" s="231"/>
      <c r="AC725" s="231"/>
      <c r="AD725" s="231"/>
    </row>
    <row r="726" spans="1:30" x14ac:dyDescent="0.25">
      <c r="A726" s="190">
        <v>497</v>
      </c>
      <c r="B726" s="186" t="s">
        <v>5107</v>
      </c>
      <c r="C726" s="186"/>
      <c r="D726" s="210" t="s">
        <v>5108</v>
      </c>
      <c r="E726" s="209"/>
      <c r="F726" s="209"/>
      <c r="G726" s="231" t="s">
        <v>3663</v>
      </c>
      <c r="H726" s="231"/>
      <c r="I726" s="186"/>
      <c r="L726" s="231"/>
      <c r="M726" s="231"/>
      <c r="N726" s="242"/>
      <c r="Q726" s="244"/>
      <c r="R726" s="245"/>
      <c r="T726" s="245"/>
      <c r="AB726" s="231"/>
      <c r="AC726" s="231"/>
      <c r="AD726" s="231"/>
    </row>
    <row r="727" spans="1:30" x14ac:dyDescent="0.25">
      <c r="A727" s="190">
        <v>500</v>
      </c>
      <c r="B727" s="186" t="s">
        <v>5109</v>
      </c>
      <c r="C727" s="186"/>
      <c r="D727" s="210" t="s">
        <v>5110</v>
      </c>
      <c r="E727" s="209"/>
      <c r="F727" s="209"/>
      <c r="G727" s="231" t="s">
        <v>3663</v>
      </c>
      <c r="H727" s="231"/>
      <c r="I727" s="186"/>
      <c r="L727" s="231"/>
      <c r="M727" s="231"/>
      <c r="N727" s="242"/>
      <c r="Q727" s="244"/>
      <c r="R727" s="245"/>
      <c r="T727" s="245"/>
      <c r="AB727" s="231"/>
      <c r="AC727" s="231"/>
      <c r="AD727" s="231"/>
    </row>
    <row r="728" spans="1:30" x14ac:dyDescent="0.25">
      <c r="A728" s="190">
        <v>501</v>
      </c>
      <c r="B728" s="186" t="s">
        <v>5109</v>
      </c>
      <c r="C728" s="186"/>
      <c r="D728" s="210" t="s">
        <v>5111</v>
      </c>
      <c r="E728" s="209"/>
      <c r="F728" s="209"/>
      <c r="G728" s="231" t="s">
        <v>3663</v>
      </c>
      <c r="H728" s="231"/>
      <c r="I728" s="186"/>
      <c r="L728" s="231"/>
      <c r="M728" s="231"/>
      <c r="N728" s="242"/>
      <c r="Q728" s="244"/>
      <c r="R728" s="245"/>
      <c r="T728" s="245"/>
      <c r="AB728" s="231"/>
      <c r="AC728" s="231"/>
      <c r="AD728" s="231"/>
    </row>
    <row r="729" spans="1:30" x14ac:dyDescent="0.25">
      <c r="A729" s="190">
        <v>502</v>
      </c>
      <c r="B729" s="186" t="s">
        <v>5112</v>
      </c>
      <c r="C729" s="186"/>
      <c r="D729" s="210" t="s">
        <v>5113</v>
      </c>
      <c r="E729" s="209" t="s">
        <v>5114</v>
      </c>
      <c r="F729" s="209"/>
      <c r="G729" s="231" t="s">
        <v>3663</v>
      </c>
      <c r="H729" s="231"/>
      <c r="I729" s="186"/>
      <c r="L729" s="231"/>
      <c r="M729" s="231"/>
      <c r="N729" s="242"/>
      <c r="Q729" s="244"/>
      <c r="R729" s="245"/>
      <c r="T729" s="245"/>
      <c r="AB729" s="231"/>
      <c r="AC729" s="231"/>
      <c r="AD729" s="231"/>
    </row>
    <row r="730" spans="1:30" x14ac:dyDescent="0.25">
      <c r="A730" s="190">
        <v>495</v>
      </c>
      <c r="B730" s="186" t="s">
        <v>5115</v>
      </c>
      <c r="C730" s="186"/>
      <c r="D730" s="210" t="s">
        <v>5116</v>
      </c>
      <c r="E730" s="209" t="s">
        <v>5117</v>
      </c>
      <c r="F730" s="209"/>
      <c r="G730" s="231" t="s">
        <v>3663</v>
      </c>
      <c r="H730" s="231"/>
      <c r="I730" s="186"/>
      <c r="L730" s="231"/>
      <c r="M730" s="231"/>
      <c r="N730" s="242"/>
      <c r="Q730" s="244"/>
      <c r="R730" s="245"/>
      <c r="T730" s="245"/>
      <c r="AB730" s="231"/>
      <c r="AC730" s="231"/>
      <c r="AD730" s="231"/>
    </row>
    <row r="731" spans="1:30" x14ac:dyDescent="0.25">
      <c r="A731" s="190">
        <v>515</v>
      </c>
      <c r="B731" s="186" t="s">
        <v>5118</v>
      </c>
      <c r="C731" s="186"/>
      <c r="D731" s="210">
        <v>1370595</v>
      </c>
      <c r="E731" s="209" t="s">
        <v>5119</v>
      </c>
      <c r="F731" s="209"/>
      <c r="G731" s="231" t="s">
        <v>3663</v>
      </c>
      <c r="H731" s="231"/>
      <c r="I731" s="186"/>
      <c r="L731" s="231"/>
      <c r="M731" s="231"/>
      <c r="N731" s="242"/>
      <c r="Q731" s="244"/>
      <c r="R731" s="245"/>
      <c r="T731" s="245"/>
      <c r="AB731" s="231"/>
      <c r="AC731" s="231"/>
      <c r="AD731" s="231"/>
    </row>
    <row r="732" spans="1:30" x14ac:dyDescent="0.25">
      <c r="A732" s="190"/>
      <c r="B732" s="186" t="s">
        <v>5120</v>
      </c>
      <c r="C732" s="186"/>
      <c r="D732" s="210"/>
      <c r="E732" s="209" t="s">
        <v>5121</v>
      </c>
      <c r="F732" s="209"/>
      <c r="G732" s="231"/>
      <c r="H732" s="231"/>
      <c r="I732" s="186"/>
      <c r="L732" s="231"/>
      <c r="M732" s="231"/>
      <c r="N732" s="242"/>
      <c r="Q732" s="244"/>
      <c r="R732" s="245"/>
      <c r="T732" s="245"/>
      <c r="AB732" s="231"/>
      <c r="AC732" s="231"/>
      <c r="AD732" s="231"/>
    </row>
    <row r="733" spans="1:30" x14ac:dyDescent="0.25">
      <c r="A733" s="211">
        <v>571</v>
      </c>
      <c r="B733" s="194" t="s">
        <v>5122</v>
      </c>
      <c r="C733" s="194">
        <v>3</v>
      </c>
      <c r="D733" s="210">
        <v>8104870</v>
      </c>
      <c r="F733" s="209"/>
      <c r="G733" s="229" t="s">
        <v>3663</v>
      </c>
      <c r="H733" s="229" t="s">
        <v>3767</v>
      </c>
      <c r="I733" s="186"/>
      <c r="L733" s="231"/>
      <c r="M733" s="231"/>
      <c r="N733" s="255"/>
      <c r="T733" s="245"/>
    </row>
    <row r="734" spans="1:30" x14ac:dyDescent="0.25">
      <c r="A734" s="190">
        <v>576</v>
      </c>
      <c r="B734" s="186" t="s">
        <v>5123</v>
      </c>
      <c r="C734" s="186"/>
      <c r="D734" s="210" t="s">
        <v>5124</v>
      </c>
      <c r="E734" s="209"/>
      <c r="F734" s="209"/>
      <c r="G734" s="231" t="s">
        <v>3663</v>
      </c>
      <c r="H734" s="231"/>
      <c r="I734" s="186"/>
      <c r="L734" s="231"/>
      <c r="M734" s="231"/>
      <c r="N734" s="242"/>
      <c r="Q734" s="244"/>
      <c r="R734" s="245"/>
      <c r="T734" s="245"/>
      <c r="AB734" s="231"/>
      <c r="AC734" s="231"/>
      <c r="AD734" s="231"/>
    </row>
    <row r="735" spans="1:30" x14ac:dyDescent="0.25">
      <c r="A735" s="190">
        <v>507</v>
      </c>
      <c r="B735" s="186" t="s">
        <v>5125</v>
      </c>
      <c r="C735" s="186"/>
      <c r="D735" s="210" t="s">
        <v>5126</v>
      </c>
      <c r="E735" s="209" t="s">
        <v>5127</v>
      </c>
      <c r="F735" s="209"/>
      <c r="G735" s="231" t="s">
        <v>3663</v>
      </c>
      <c r="H735" s="231"/>
      <c r="I735" s="186"/>
      <c r="L735" s="231"/>
      <c r="M735" s="231"/>
      <c r="N735" s="242">
        <v>2009</v>
      </c>
      <c r="Q735" s="244"/>
      <c r="R735" s="245"/>
      <c r="T735" s="245"/>
      <c r="AB735" s="231"/>
      <c r="AC735" s="231"/>
      <c r="AD735" s="231"/>
    </row>
    <row r="736" spans="1:30" x14ac:dyDescent="0.25">
      <c r="A736" s="190">
        <v>508</v>
      </c>
      <c r="B736" s="186" t="s">
        <v>5128</v>
      </c>
      <c r="C736" s="186"/>
      <c r="D736" s="210">
        <v>3100093</v>
      </c>
      <c r="E736" s="209" t="s">
        <v>5129</v>
      </c>
      <c r="F736" s="209"/>
      <c r="G736" s="231" t="s">
        <v>3663</v>
      </c>
      <c r="H736" s="231" t="s">
        <v>4265</v>
      </c>
      <c r="I736" s="186"/>
      <c r="L736" s="231"/>
      <c r="M736" s="231"/>
      <c r="N736" s="242"/>
      <c r="Q736" s="244"/>
      <c r="R736" s="245"/>
      <c r="T736" s="245"/>
      <c r="AB736" s="231"/>
      <c r="AC736" s="231"/>
      <c r="AD736" s="231"/>
    </row>
    <row r="737" spans="1:30" x14ac:dyDescent="0.25">
      <c r="A737" s="190">
        <v>511</v>
      </c>
      <c r="B737" s="186" t="s">
        <v>5130</v>
      </c>
      <c r="C737" s="186"/>
      <c r="D737" s="210" t="s">
        <v>5131</v>
      </c>
      <c r="E737" s="209"/>
      <c r="F737" s="209"/>
      <c r="G737" s="231" t="s">
        <v>3663</v>
      </c>
      <c r="H737" s="231"/>
      <c r="I737" s="186"/>
      <c r="L737" s="231"/>
      <c r="M737" s="231"/>
      <c r="N737" s="242"/>
      <c r="Q737" s="244"/>
      <c r="R737" s="245"/>
      <c r="T737" s="245"/>
      <c r="AB737" s="231"/>
      <c r="AC737" s="231"/>
      <c r="AD737" s="231"/>
    </row>
    <row r="738" spans="1:30" x14ac:dyDescent="0.25">
      <c r="A738" s="309">
        <v>512</v>
      </c>
      <c r="B738" s="186" t="s">
        <v>5132</v>
      </c>
      <c r="C738" s="186"/>
      <c r="D738" s="210" t="s">
        <v>5133</v>
      </c>
      <c r="E738" s="209" t="s">
        <v>5134</v>
      </c>
      <c r="F738" s="209"/>
      <c r="G738" s="231" t="s">
        <v>3663</v>
      </c>
      <c r="H738" s="231"/>
      <c r="I738" s="186"/>
      <c r="L738" s="231"/>
      <c r="M738" s="231"/>
      <c r="N738" s="242"/>
      <c r="Q738" s="244"/>
      <c r="R738" s="245"/>
      <c r="T738" s="245"/>
      <c r="AB738" s="231"/>
      <c r="AC738" s="231"/>
      <c r="AD738" s="231"/>
    </row>
    <row r="739" spans="1:30" x14ac:dyDescent="0.25">
      <c r="A739" s="190">
        <v>513</v>
      </c>
      <c r="B739" s="186" t="s">
        <v>5135</v>
      </c>
      <c r="C739" s="186"/>
      <c r="D739" s="210" t="s">
        <v>5136</v>
      </c>
      <c r="E739" s="209"/>
      <c r="F739" s="209"/>
      <c r="G739" s="231" t="s">
        <v>3663</v>
      </c>
      <c r="H739" s="231" t="s">
        <v>5137</v>
      </c>
      <c r="I739" s="186"/>
      <c r="L739" s="231"/>
      <c r="M739" s="231"/>
      <c r="N739" s="242"/>
      <c r="Q739" s="244"/>
      <c r="R739" s="245"/>
      <c r="T739" s="245"/>
      <c r="AB739" s="231"/>
      <c r="AC739" s="231"/>
      <c r="AD739" s="231"/>
    </row>
    <row r="740" spans="1:30" x14ac:dyDescent="0.25">
      <c r="A740" s="190">
        <v>516</v>
      </c>
      <c r="B740" s="186" t="s">
        <v>5138</v>
      </c>
      <c r="C740" s="186"/>
      <c r="D740" s="210">
        <v>4700317</v>
      </c>
      <c r="E740" s="209"/>
      <c r="F740" s="209"/>
      <c r="G740" s="231" t="s">
        <v>3663</v>
      </c>
      <c r="H740" s="231"/>
      <c r="I740" s="186"/>
      <c r="L740" s="231"/>
      <c r="M740" s="231"/>
      <c r="N740" s="242"/>
      <c r="Q740" s="244"/>
      <c r="R740" s="245"/>
      <c r="T740" s="245"/>
      <c r="AB740" s="231"/>
      <c r="AC740" s="231"/>
      <c r="AD740" s="231"/>
    </row>
    <row r="741" spans="1:30" x14ac:dyDescent="0.25">
      <c r="A741" s="211">
        <v>517</v>
      </c>
      <c r="B741" s="194" t="s">
        <v>5139</v>
      </c>
      <c r="C741" s="194">
        <v>3</v>
      </c>
      <c r="D741" s="210" t="s">
        <v>5140</v>
      </c>
      <c r="E741" s="292" t="s">
        <v>5141</v>
      </c>
      <c r="F741" s="209"/>
      <c r="G741" s="229" t="s">
        <v>3663</v>
      </c>
      <c r="H741" s="229" t="s">
        <v>5142</v>
      </c>
      <c r="I741" s="186"/>
      <c r="L741" s="231"/>
      <c r="M741" s="231"/>
      <c r="N741" s="255">
        <v>2000</v>
      </c>
      <c r="T741" s="245"/>
    </row>
    <row r="742" spans="1:30" x14ac:dyDescent="0.25">
      <c r="A742" s="190">
        <v>518</v>
      </c>
      <c r="B742" s="186" t="s">
        <v>5143</v>
      </c>
      <c r="C742" s="186"/>
      <c r="D742" s="210">
        <v>4700339</v>
      </c>
      <c r="E742" s="209"/>
      <c r="F742" s="209"/>
      <c r="G742" s="231" t="s">
        <v>3663</v>
      </c>
      <c r="H742" s="231"/>
      <c r="I742" s="186"/>
      <c r="L742" s="231"/>
      <c r="M742" s="231"/>
      <c r="N742" s="242"/>
      <c r="Q742" s="244"/>
      <c r="R742" s="245"/>
      <c r="T742" s="245"/>
      <c r="AB742" s="231"/>
      <c r="AC742" s="231"/>
      <c r="AD742" s="231"/>
    </row>
    <row r="743" spans="1:30" x14ac:dyDescent="0.25">
      <c r="A743" s="309">
        <v>519</v>
      </c>
      <c r="B743" s="186" t="s">
        <v>5144</v>
      </c>
      <c r="C743" s="186"/>
      <c r="D743" s="210" t="s">
        <v>5145</v>
      </c>
      <c r="E743" s="209" t="s">
        <v>5146</v>
      </c>
      <c r="F743" s="209"/>
      <c r="G743" s="231" t="s">
        <v>3663</v>
      </c>
      <c r="H743" s="231"/>
      <c r="I743" s="186"/>
      <c r="L743" s="231"/>
      <c r="M743" s="231"/>
      <c r="N743" s="242">
        <v>2008</v>
      </c>
      <c r="Q743" s="244"/>
      <c r="R743" s="245"/>
      <c r="T743" s="245"/>
      <c r="AB743" s="231"/>
      <c r="AC743" s="231"/>
      <c r="AD743" s="231"/>
    </row>
    <row r="744" spans="1:30" x14ac:dyDescent="0.25">
      <c r="A744" s="190">
        <v>523</v>
      </c>
      <c r="B744" s="186" t="s">
        <v>3862</v>
      </c>
      <c r="C744" s="186"/>
      <c r="D744" s="210">
        <v>4700263</v>
      </c>
      <c r="E744" s="209" t="s">
        <v>5147</v>
      </c>
      <c r="F744" s="209"/>
      <c r="G744" s="231" t="s">
        <v>3663</v>
      </c>
      <c r="H744" s="231"/>
      <c r="I744" s="186"/>
      <c r="K744" s="262" t="s">
        <v>4032</v>
      </c>
      <c r="L744" s="263">
        <v>39079</v>
      </c>
      <c r="M744" s="263">
        <v>42732</v>
      </c>
      <c r="N744" s="242">
        <v>2007</v>
      </c>
      <c r="Q744" s="244"/>
      <c r="R744" s="245"/>
      <c r="T744" s="245"/>
      <c r="AB744" s="231"/>
      <c r="AC744" s="231"/>
      <c r="AD744" s="231"/>
    </row>
    <row r="745" spans="1:30" x14ac:dyDescent="0.25">
      <c r="A745" s="190">
        <v>524</v>
      </c>
      <c r="B745" s="186" t="s">
        <v>3862</v>
      </c>
      <c r="C745" s="186"/>
      <c r="D745" s="210">
        <v>4700274</v>
      </c>
      <c r="E745" s="209" t="s">
        <v>5148</v>
      </c>
      <c r="F745" s="209"/>
      <c r="G745" s="231" t="s">
        <v>3663</v>
      </c>
      <c r="H745" s="231"/>
      <c r="I745" s="186"/>
      <c r="K745" s="262" t="s">
        <v>4032</v>
      </c>
      <c r="L745" s="263">
        <v>39079</v>
      </c>
      <c r="M745" s="263">
        <v>42732</v>
      </c>
      <c r="N745" s="242">
        <v>2007</v>
      </c>
      <c r="Q745" s="244"/>
      <c r="R745" s="245"/>
      <c r="T745" s="245"/>
      <c r="AB745" s="231"/>
      <c r="AC745" s="231"/>
      <c r="AD745" s="231"/>
    </row>
    <row r="746" spans="1:30" x14ac:dyDescent="0.25">
      <c r="A746" s="190">
        <v>525</v>
      </c>
      <c r="B746" s="186" t="s">
        <v>5149</v>
      </c>
      <c r="C746" s="186"/>
      <c r="D746" s="210">
        <v>4700056</v>
      </c>
      <c r="E746" s="209" t="s">
        <v>5150</v>
      </c>
      <c r="F746" s="209"/>
      <c r="G746" s="231" t="s">
        <v>3663</v>
      </c>
      <c r="H746" s="231"/>
      <c r="I746" s="186"/>
      <c r="K746" s="262" t="s">
        <v>5151</v>
      </c>
      <c r="L746" s="231"/>
      <c r="M746" s="231"/>
      <c r="N746" s="242">
        <v>2006</v>
      </c>
      <c r="Q746" s="244"/>
      <c r="R746" s="245"/>
      <c r="T746" s="245"/>
      <c r="AB746" s="231"/>
      <c r="AC746" s="231"/>
      <c r="AD746" s="231"/>
    </row>
    <row r="747" spans="1:30" x14ac:dyDescent="0.25">
      <c r="A747" s="190">
        <v>527</v>
      </c>
      <c r="B747" s="186" t="s">
        <v>4999</v>
      </c>
      <c r="C747" s="186"/>
      <c r="D747" s="210" t="s">
        <v>5152</v>
      </c>
      <c r="E747" s="209" t="s">
        <v>5153</v>
      </c>
      <c r="F747" s="346"/>
      <c r="G747" s="231" t="s">
        <v>3663</v>
      </c>
      <c r="H747" s="231" t="s">
        <v>5142</v>
      </c>
      <c r="I747" s="186"/>
      <c r="K747" s="295" t="s">
        <v>4690</v>
      </c>
      <c r="L747" s="368">
        <v>37866</v>
      </c>
      <c r="M747" s="368">
        <v>41001</v>
      </c>
      <c r="N747" s="242">
        <v>2005</v>
      </c>
      <c r="Q747" s="244"/>
      <c r="R747" s="245"/>
      <c r="T747" s="245"/>
      <c r="AB747" s="231"/>
      <c r="AC747" s="231"/>
      <c r="AD747" s="231"/>
    </row>
    <row r="748" spans="1:30" x14ac:dyDescent="0.25">
      <c r="A748" s="190">
        <v>528</v>
      </c>
      <c r="B748" s="186" t="s">
        <v>5154</v>
      </c>
      <c r="C748" s="186"/>
      <c r="D748" s="210" t="s">
        <v>5155</v>
      </c>
      <c r="E748" s="209" t="s">
        <v>5153</v>
      </c>
      <c r="F748" s="346"/>
      <c r="G748" s="231" t="s">
        <v>3663</v>
      </c>
      <c r="H748" s="231" t="s">
        <v>4265</v>
      </c>
      <c r="I748" s="186"/>
      <c r="K748" s="295" t="s">
        <v>4690</v>
      </c>
      <c r="L748" s="368">
        <v>37866</v>
      </c>
      <c r="M748" s="368">
        <v>41001</v>
      </c>
      <c r="N748" s="242">
        <v>2005</v>
      </c>
      <c r="Q748" s="244"/>
      <c r="R748" s="245"/>
      <c r="T748" s="245"/>
      <c r="AB748" s="231"/>
      <c r="AC748" s="231"/>
      <c r="AD748" s="231"/>
    </row>
    <row r="749" spans="1:30" x14ac:dyDescent="0.25">
      <c r="A749" s="190">
        <v>529</v>
      </c>
      <c r="B749" s="186" t="s">
        <v>5156</v>
      </c>
      <c r="C749" s="186"/>
      <c r="D749" s="210" t="s">
        <v>5157</v>
      </c>
      <c r="E749" s="209" t="s">
        <v>5158</v>
      </c>
      <c r="F749" s="209"/>
      <c r="G749" s="231" t="s">
        <v>3663</v>
      </c>
      <c r="H749" s="231" t="s">
        <v>4265</v>
      </c>
      <c r="I749" s="186"/>
      <c r="K749" s="262" t="s">
        <v>5159</v>
      </c>
      <c r="L749" s="263">
        <v>41272</v>
      </c>
      <c r="M749" s="263" t="s">
        <v>3958</v>
      </c>
      <c r="N749" s="242">
        <v>2011</v>
      </c>
      <c r="Q749" s="244"/>
      <c r="R749" s="245"/>
      <c r="T749" s="245"/>
      <c r="AB749" s="231"/>
      <c r="AC749" s="231"/>
      <c r="AD749" s="231"/>
    </row>
    <row r="750" spans="1:30" x14ac:dyDescent="0.25">
      <c r="A750" s="190">
        <v>530</v>
      </c>
      <c r="B750" s="186" t="s">
        <v>5156</v>
      </c>
      <c r="C750" s="186"/>
      <c r="D750" s="210" t="s">
        <v>5160</v>
      </c>
      <c r="E750" s="209"/>
      <c r="F750" s="209"/>
      <c r="G750" s="231" t="s">
        <v>3663</v>
      </c>
      <c r="H750" s="231"/>
      <c r="I750" s="186"/>
      <c r="K750" s="262" t="s">
        <v>5159</v>
      </c>
      <c r="L750" s="263">
        <v>41272</v>
      </c>
      <c r="M750" s="263" t="s">
        <v>3958</v>
      </c>
      <c r="N750" s="242"/>
      <c r="Q750" s="244"/>
      <c r="R750" s="245"/>
      <c r="T750" s="245"/>
      <c r="AB750" s="231"/>
      <c r="AC750" s="231"/>
      <c r="AD750" s="231"/>
    </row>
    <row r="751" spans="1:30" x14ac:dyDescent="0.25">
      <c r="A751" s="190">
        <v>531</v>
      </c>
      <c r="B751" s="186" t="s">
        <v>5161</v>
      </c>
      <c r="C751" s="186"/>
      <c r="D751" s="210">
        <v>8104840</v>
      </c>
      <c r="E751" s="209"/>
      <c r="F751" s="209"/>
      <c r="G751" s="231" t="s">
        <v>3663</v>
      </c>
      <c r="H751" s="231" t="s">
        <v>4183</v>
      </c>
      <c r="I751" s="186"/>
      <c r="L751" s="231"/>
      <c r="M751" s="231"/>
      <c r="N751" s="242"/>
      <c r="Q751" s="244"/>
      <c r="R751" s="245"/>
      <c r="T751" s="245"/>
      <c r="AB751" s="231"/>
      <c r="AC751" s="231"/>
      <c r="AD751" s="231"/>
    </row>
    <row r="752" spans="1:30" x14ac:dyDescent="0.25">
      <c r="A752" s="190">
        <v>532</v>
      </c>
      <c r="B752" s="186" t="s">
        <v>5161</v>
      </c>
      <c r="C752" s="186"/>
      <c r="D752" s="210">
        <v>8104841</v>
      </c>
      <c r="E752" s="209"/>
      <c r="F752" s="209"/>
      <c r="G752" s="231" t="s">
        <v>3663</v>
      </c>
      <c r="H752" s="231" t="s">
        <v>1076</v>
      </c>
      <c r="I752" s="186"/>
      <c r="L752" s="231"/>
      <c r="M752" s="231"/>
      <c r="N752" s="242"/>
      <c r="Q752" s="244"/>
      <c r="R752" s="245"/>
      <c r="T752" s="245"/>
      <c r="AB752" s="231"/>
      <c r="AC752" s="231"/>
      <c r="AD752" s="231"/>
    </row>
    <row r="753" spans="1:30" x14ac:dyDescent="0.25">
      <c r="A753" s="309">
        <v>533</v>
      </c>
      <c r="B753" s="186" t="s">
        <v>5161</v>
      </c>
      <c r="C753" s="186"/>
      <c r="D753" s="210">
        <v>8104842</v>
      </c>
      <c r="E753" s="209"/>
      <c r="F753" s="209"/>
      <c r="G753" s="231" t="s">
        <v>3663</v>
      </c>
      <c r="H753" s="231" t="s">
        <v>4265</v>
      </c>
      <c r="I753" s="186"/>
      <c r="L753" s="231"/>
      <c r="M753" s="231"/>
      <c r="N753" s="242"/>
      <c r="Q753" s="244"/>
      <c r="R753" s="245"/>
      <c r="T753" s="245"/>
      <c r="AB753" s="231"/>
      <c r="AC753" s="231"/>
      <c r="AD753" s="231"/>
    </row>
    <row r="754" spans="1:30" x14ac:dyDescent="0.25">
      <c r="A754" s="190">
        <v>534</v>
      </c>
      <c r="B754" s="186" t="s">
        <v>5162</v>
      </c>
      <c r="C754" s="186"/>
      <c r="D754" s="210">
        <v>8104827</v>
      </c>
      <c r="E754" s="209"/>
      <c r="F754" s="209"/>
      <c r="G754" s="231" t="s">
        <v>3663</v>
      </c>
      <c r="H754" s="231" t="s">
        <v>3767</v>
      </c>
      <c r="I754" s="186"/>
      <c r="L754" s="231"/>
      <c r="M754" s="231"/>
      <c r="N754" s="242"/>
      <c r="Q754" s="244"/>
      <c r="R754" s="245"/>
      <c r="T754" s="245"/>
      <c r="AB754" s="231"/>
      <c r="AC754" s="231"/>
      <c r="AD754" s="231"/>
    </row>
    <row r="755" spans="1:30" x14ac:dyDescent="0.25">
      <c r="A755" s="190">
        <v>535</v>
      </c>
      <c r="B755" s="186" t="s">
        <v>5163</v>
      </c>
      <c r="C755" s="186"/>
      <c r="D755" s="210" t="s">
        <v>5164</v>
      </c>
      <c r="E755" s="209" t="s">
        <v>5165</v>
      </c>
      <c r="F755" s="209"/>
      <c r="G755" s="231" t="s">
        <v>3663</v>
      </c>
      <c r="H755" s="231" t="s">
        <v>5166</v>
      </c>
      <c r="I755" s="186"/>
      <c r="K755" s="262" t="s">
        <v>4049</v>
      </c>
      <c r="L755" s="263">
        <v>38944</v>
      </c>
      <c r="M755" s="263">
        <v>40770</v>
      </c>
      <c r="N755" s="242">
        <v>2007</v>
      </c>
      <c r="Q755" s="244"/>
      <c r="R755" s="245"/>
      <c r="T755" s="245"/>
      <c r="AB755" s="231"/>
      <c r="AC755" s="231"/>
      <c r="AD755" s="231"/>
    </row>
    <row r="756" spans="1:30" x14ac:dyDescent="0.25">
      <c r="A756" s="190">
        <v>536</v>
      </c>
      <c r="B756" s="186" t="s">
        <v>5167</v>
      </c>
      <c r="C756" s="186"/>
      <c r="D756" s="210" t="s">
        <v>5168</v>
      </c>
      <c r="E756" s="209" t="s">
        <v>1158</v>
      </c>
      <c r="F756" s="209"/>
      <c r="G756" s="231" t="s">
        <v>3663</v>
      </c>
      <c r="H756" s="231" t="s">
        <v>4206</v>
      </c>
      <c r="I756" s="186"/>
      <c r="K756" s="262" t="s">
        <v>4049</v>
      </c>
      <c r="L756" s="263">
        <v>38944</v>
      </c>
      <c r="M756" s="263">
        <v>40770</v>
      </c>
      <c r="N756" s="242">
        <v>2008</v>
      </c>
      <c r="Q756" s="244"/>
      <c r="R756" s="245"/>
      <c r="T756" s="245"/>
      <c r="AB756" s="231"/>
      <c r="AC756" s="231"/>
      <c r="AD756" s="231"/>
    </row>
    <row r="757" spans="1:30" x14ac:dyDescent="0.25">
      <c r="A757" s="190">
        <v>537</v>
      </c>
      <c r="B757" s="186" t="s">
        <v>5169</v>
      </c>
      <c r="C757" s="186"/>
      <c r="D757" s="210" t="s">
        <v>5170</v>
      </c>
      <c r="E757" s="209" t="s">
        <v>5171</v>
      </c>
      <c r="F757" s="209"/>
      <c r="G757" s="231" t="s">
        <v>3663</v>
      </c>
      <c r="H757" s="231" t="s">
        <v>5172</v>
      </c>
      <c r="I757" s="186"/>
      <c r="K757" s="262" t="s">
        <v>4049</v>
      </c>
      <c r="L757" s="263">
        <v>38944</v>
      </c>
      <c r="M757" s="263">
        <v>40770</v>
      </c>
      <c r="N757" s="242">
        <v>2008</v>
      </c>
      <c r="Q757" s="244"/>
      <c r="R757" s="245"/>
      <c r="T757" s="245"/>
      <c r="AB757" s="231"/>
      <c r="AC757" s="231"/>
      <c r="AD757" s="231"/>
    </row>
    <row r="758" spans="1:30" x14ac:dyDescent="0.25">
      <c r="A758" s="190">
        <v>538</v>
      </c>
      <c r="B758" s="186" t="s">
        <v>5169</v>
      </c>
      <c r="C758" s="186"/>
      <c r="D758" s="210" t="s">
        <v>5173</v>
      </c>
      <c r="E758" s="209" t="s">
        <v>5174</v>
      </c>
      <c r="F758" s="209"/>
      <c r="G758" s="231" t="s">
        <v>3663</v>
      </c>
      <c r="H758" s="231" t="s">
        <v>5175</v>
      </c>
      <c r="I758" s="186"/>
      <c r="K758" s="262" t="s">
        <v>4049</v>
      </c>
      <c r="L758" s="263">
        <v>38944</v>
      </c>
      <c r="M758" s="263">
        <v>40770</v>
      </c>
      <c r="N758" s="242">
        <v>2008</v>
      </c>
      <c r="Q758" s="244"/>
      <c r="R758" s="245"/>
      <c r="T758" s="245"/>
      <c r="AB758" s="231"/>
      <c r="AC758" s="231"/>
      <c r="AD758" s="231"/>
    </row>
    <row r="759" spans="1:30" x14ac:dyDescent="0.25">
      <c r="A759" s="190">
        <v>539</v>
      </c>
      <c r="B759" s="186" t="s">
        <v>5176</v>
      </c>
      <c r="C759" s="186"/>
      <c r="D759" s="210" t="s">
        <v>5177</v>
      </c>
      <c r="E759" s="209"/>
      <c r="F759" s="209"/>
      <c r="G759" s="231" t="s">
        <v>3663</v>
      </c>
      <c r="H759" s="231"/>
      <c r="I759" s="186"/>
      <c r="L759" s="231"/>
      <c r="M759" s="231"/>
      <c r="N759" s="242"/>
      <c r="Q759" s="244"/>
      <c r="R759" s="245"/>
      <c r="T759" s="245"/>
      <c r="AB759" s="231"/>
      <c r="AC759" s="231"/>
      <c r="AD759" s="231"/>
    </row>
    <row r="760" spans="1:30" x14ac:dyDescent="0.25">
      <c r="A760" s="309">
        <v>540</v>
      </c>
      <c r="B760" s="186" t="s">
        <v>5176</v>
      </c>
      <c r="C760" s="186"/>
      <c r="D760" s="210" t="s">
        <v>5178</v>
      </c>
      <c r="E760" s="209"/>
      <c r="F760" s="209"/>
      <c r="G760" s="231" t="s">
        <v>3663</v>
      </c>
      <c r="H760" s="231"/>
      <c r="I760" s="186"/>
      <c r="L760" s="231"/>
      <c r="M760" s="231"/>
      <c r="N760" s="242"/>
      <c r="Q760" s="244"/>
      <c r="R760" s="245"/>
      <c r="T760" s="245"/>
      <c r="AB760" s="231"/>
      <c r="AC760" s="231"/>
      <c r="AD760" s="231"/>
    </row>
    <row r="761" spans="1:30" x14ac:dyDescent="0.25">
      <c r="A761" s="190">
        <v>541</v>
      </c>
      <c r="B761" s="186" t="s">
        <v>4795</v>
      </c>
      <c r="C761" s="186"/>
      <c r="D761" s="210" t="s">
        <v>5179</v>
      </c>
      <c r="E761" s="209"/>
      <c r="F761" s="209"/>
      <c r="G761" s="231" t="s">
        <v>3663</v>
      </c>
      <c r="H761" s="231"/>
      <c r="I761" s="186"/>
      <c r="L761" s="231"/>
      <c r="M761" s="231"/>
      <c r="N761" s="242">
        <v>2007</v>
      </c>
      <c r="Q761" s="244"/>
      <c r="R761" s="245"/>
      <c r="T761" s="245"/>
      <c r="AB761" s="231"/>
      <c r="AC761" s="231"/>
      <c r="AD761" s="231"/>
    </row>
    <row r="762" spans="1:30" x14ac:dyDescent="0.25">
      <c r="A762" s="190">
        <v>542</v>
      </c>
      <c r="B762" s="186" t="s">
        <v>5180</v>
      </c>
      <c r="C762" s="186"/>
      <c r="D762" s="210" t="s">
        <v>5181</v>
      </c>
      <c r="E762" s="209" t="s">
        <v>5182</v>
      </c>
      <c r="F762" s="209"/>
      <c r="G762" s="231" t="s">
        <v>3663</v>
      </c>
      <c r="H762" s="231" t="s">
        <v>3767</v>
      </c>
      <c r="I762" s="186"/>
      <c r="L762" s="231"/>
      <c r="M762" s="231"/>
      <c r="N762" s="242">
        <v>2000</v>
      </c>
      <c r="Q762" s="244"/>
      <c r="R762" s="245"/>
      <c r="T762" s="245"/>
      <c r="AB762" s="231"/>
      <c r="AC762" s="231"/>
      <c r="AD762" s="231"/>
    </row>
    <row r="763" spans="1:30" x14ac:dyDescent="0.25">
      <c r="A763" s="190"/>
      <c r="B763" s="186" t="s">
        <v>5180</v>
      </c>
      <c r="C763" s="186"/>
      <c r="D763" s="210" t="s">
        <v>5183</v>
      </c>
      <c r="E763" s="209" t="s">
        <v>5184</v>
      </c>
      <c r="F763" s="209"/>
      <c r="G763" s="231" t="s">
        <v>3663</v>
      </c>
      <c r="H763" s="231" t="s">
        <v>3767</v>
      </c>
      <c r="I763" s="186"/>
      <c r="L763" s="231"/>
      <c r="M763" s="231"/>
      <c r="N763" s="242">
        <v>2000</v>
      </c>
      <c r="Q763" s="244"/>
      <c r="R763" s="245"/>
      <c r="T763" s="245"/>
      <c r="AB763" s="231"/>
      <c r="AC763" s="231"/>
      <c r="AD763" s="231"/>
    </row>
    <row r="764" spans="1:30" x14ac:dyDescent="0.25">
      <c r="A764" s="190"/>
      <c r="B764" s="186" t="s">
        <v>5185</v>
      </c>
      <c r="C764" s="186"/>
      <c r="D764" s="210" t="s">
        <v>5186</v>
      </c>
      <c r="E764" s="209" t="s">
        <v>5187</v>
      </c>
      <c r="F764" s="209"/>
      <c r="G764" s="231" t="s">
        <v>3663</v>
      </c>
      <c r="H764" s="231"/>
      <c r="I764" s="186"/>
      <c r="L764" s="231"/>
      <c r="M764" s="231"/>
      <c r="N764" s="242"/>
      <c r="Q764" s="244"/>
      <c r="R764" s="245"/>
      <c r="T764" s="245"/>
      <c r="AB764" s="231"/>
      <c r="AC764" s="231"/>
      <c r="AD764" s="231"/>
    </row>
    <row r="765" spans="1:30" x14ac:dyDescent="0.25">
      <c r="A765" s="190">
        <v>543</v>
      </c>
      <c r="B765" s="186" t="s">
        <v>5188</v>
      </c>
      <c r="C765" s="186"/>
      <c r="D765" s="210">
        <v>4700048</v>
      </c>
      <c r="E765" s="209" t="s">
        <v>5189</v>
      </c>
      <c r="F765" s="209"/>
      <c r="G765" s="231" t="s">
        <v>3663</v>
      </c>
      <c r="H765" s="231"/>
      <c r="I765" s="186"/>
      <c r="L765" s="231"/>
      <c r="M765" s="231"/>
      <c r="N765" s="242"/>
      <c r="Q765" s="244"/>
      <c r="R765" s="245"/>
      <c r="T765" s="245"/>
      <c r="AB765" s="231"/>
      <c r="AC765" s="231"/>
      <c r="AD765" s="231"/>
    </row>
    <row r="766" spans="1:30" x14ac:dyDescent="0.25">
      <c r="A766" s="190">
        <v>545</v>
      </c>
      <c r="B766" s="186" t="s">
        <v>5190</v>
      </c>
      <c r="C766" s="186"/>
      <c r="D766" s="210" t="s">
        <v>5191</v>
      </c>
      <c r="E766" s="209" t="s">
        <v>5192</v>
      </c>
      <c r="F766" s="209"/>
      <c r="G766" s="231" t="s">
        <v>3663</v>
      </c>
      <c r="H766" s="231" t="s">
        <v>4265</v>
      </c>
      <c r="I766" s="186"/>
      <c r="L766" s="231"/>
      <c r="M766" s="231"/>
      <c r="N766" s="242"/>
      <c r="Q766" s="244"/>
      <c r="R766" s="245"/>
      <c r="T766" s="245"/>
      <c r="AB766" s="231"/>
      <c r="AC766" s="231"/>
      <c r="AD766" s="231"/>
    </row>
    <row r="767" spans="1:30" x14ac:dyDescent="0.25">
      <c r="A767" s="211">
        <v>563</v>
      </c>
      <c r="B767" s="194" t="s">
        <v>5193</v>
      </c>
      <c r="C767" s="194">
        <v>3</v>
      </c>
      <c r="D767" s="210">
        <v>8104602</v>
      </c>
      <c r="F767" s="209"/>
      <c r="G767" s="229" t="s">
        <v>3663</v>
      </c>
      <c r="H767" s="229" t="s">
        <v>5142</v>
      </c>
      <c r="I767" s="186"/>
      <c r="L767" s="231"/>
      <c r="M767" s="231"/>
      <c r="N767" s="255"/>
      <c r="T767" s="245"/>
    </row>
    <row r="768" spans="1:30" x14ac:dyDescent="0.25">
      <c r="A768" s="190">
        <v>564</v>
      </c>
      <c r="B768" s="186" t="s">
        <v>3904</v>
      </c>
      <c r="C768" s="186"/>
      <c r="D768" s="210" t="s">
        <v>5194</v>
      </c>
      <c r="E768" s="209" t="s">
        <v>5195</v>
      </c>
      <c r="F768" s="209"/>
      <c r="G768" s="231" t="s">
        <v>3663</v>
      </c>
      <c r="H768" s="231"/>
      <c r="I768" s="186"/>
      <c r="K768" s="262" t="s">
        <v>4058</v>
      </c>
      <c r="L768" s="263">
        <v>39885</v>
      </c>
      <c r="M768" s="231" t="s">
        <v>3958</v>
      </c>
      <c r="N768" s="242">
        <v>2010</v>
      </c>
      <c r="Q768" s="244"/>
      <c r="R768" s="245"/>
      <c r="T768" s="245"/>
      <c r="AB768" s="231"/>
      <c r="AC768" s="231"/>
      <c r="AD768" s="231"/>
    </row>
    <row r="769" spans="1:30" x14ac:dyDescent="0.25">
      <c r="A769" s="190">
        <v>565</v>
      </c>
      <c r="B769" s="186" t="s">
        <v>5196</v>
      </c>
      <c r="C769" s="186"/>
      <c r="D769" s="210">
        <v>4700338</v>
      </c>
      <c r="E769" s="209"/>
      <c r="F769" s="209"/>
      <c r="G769" s="231" t="s">
        <v>3663</v>
      </c>
      <c r="H769" s="231"/>
      <c r="I769" s="186"/>
      <c r="L769" s="231"/>
      <c r="M769" s="231"/>
      <c r="N769" s="242"/>
      <c r="Q769" s="244"/>
      <c r="R769" s="245"/>
      <c r="T769" s="245"/>
      <c r="AB769" s="231"/>
      <c r="AC769" s="231"/>
      <c r="AD769" s="231"/>
    </row>
    <row r="770" spans="1:30" x14ac:dyDescent="0.25">
      <c r="A770" s="190">
        <v>566</v>
      </c>
      <c r="B770" s="186" t="s">
        <v>5197</v>
      </c>
      <c r="C770" s="186"/>
      <c r="D770" s="210">
        <v>1370832</v>
      </c>
      <c r="E770" s="209"/>
      <c r="F770" s="209"/>
      <c r="G770" s="231" t="s">
        <v>3663</v>
      </c>
      <c r="H770" s="231"/>
      <c r="I770" s="186"/>
      <c r="L770" s="231"/>
      <c r="M770" s="231"/>
      <c r="N770" s="242"/>
      <c r="Q770" s="244"/>
      <c r="R770" s="245"/>
      <c r="T770" s="245"/>
      <c r="AB770" s="231"/>
      <c r="AC770" s="231"/>
      <c r="AD770" s="231"/>
    </row>
    <row r="771" spans="1:30" x14ac:dyDescent="0.25">
      <c r="A771" s="190">
        <v>567</v>
      </c>
      <c r="B771" s="186" t="s">
        <v>5198</v>
      </c>
      <c r="C771" s="186"/>
      <c r="D771" s="210">
        <v>4700336</v>
      </c>
      <c r="E771" s="209"/>
      <c r="F771" s="209"/>
      <c r="G771" s="231" t="s">
        <v>3663</v>
      </c>
      <c r="H771" s="231"/>
      <c r="I771" s="186"/>
      <c r="L771" s="231"/>
      <c r="M771" s="231"/>
      <c r="N771" s="242"/>
      <c r="Q771" s="244"/>
      <c r="R771" s="245"/>
      <c r="T771" s="245"/>
      <c r="AB771" s="231"/>
      <c r="AC771" s="231"/>
      <c r="AD771" s="231"/>
    </row>
    <row r="772" spans="1:30" x14ac:dyDescent="0.25">
      <c r="A772" s="309">
        <v>568</v>
      </c>
      <c r="B772" s="186" t="s">
        <v>5199</v>
      </c>
      <c r="C772" s="186"/>
      <c r="D772" s="210" t="s">
        <v>5200</v>
      </c>
      <c r="E772" s="209"/>
      <c r="F772" s="209"/>
      <c r="G772" s="231" t="s">
        <v>3663</v>
      </c>
      <c r="H772" s="231"/>
      <c r="I772" s="186"/>
      <c r="L772" s="231"/>
      <c r="M772" s="231"/>
      <c r="N772" s="242"/>
      <c r="Q772" s="244"/>
      <c r="R772" s="245"/>
      <c r="T772" s="245"/>
      <c r="AB772" s="231"/>
      <c r="AC772" s="231"/>
      <c r="AD772" s="231"/>
    </row>
    <row r="773" spans="1:30" x14ac:dyDescent="0.25">
      <c r="A773" s="190">
        <v>569</v>
      </c>
      <c r="B773" s="186" t="s">
        <v>5201</v>
      </c>
      <c r="C773" s="186"/>
      <c r="D773" s="210" t="s">
        <v>5202</v>
      </c>
      <c r="E773" s="209" t="s">
        <v>5203</v>
      </c>
      <c r="F773" s="209"/>
      <c r="G773" s="231" t="s">
        <v>3663</v>
      </c>
      <c r="H773" s="231" t="s">
        <v>3767</v>
      </c>
      <c r="I773" s="186"/>
      <c r="L773" s="231"/>
      <c r="M773" s="231"/>
      <c r="N773" s="242">
        <v>2007</v>
      </c>
      <c r="Q773" s="244"/>
      <c r="R773" s="245"/>
      <c r="T773" s="245"/>
      <c r="AB773" s="231"/>
      <c r="AC773" s="231"/>
      <c r="AD773" s="231"/>
    </row>
    <row r="774" spans="1:30" x14ac:dyDescent="0.25">
      <c r="A774" s="190">
        <v>570</v>
      </c>
      <c r="B774" s="186" t="s">
        <v>5204</v>
      </c>
      <c r="C774" s="186"/>
      <c r="D774" s="210" t="s">
        <v>5205</v>
      </c>
      <c r="E774" s="209"/>
      <c r="F774" s="209"/>
      <c r="G774" s="231" t="s">
        <v>3663</v>
      </c>
      <c r="H774" s="231"/>
      <c r="I774" s="186"/>
      <c r="L774" s="231"/>
      <c r="M774" s="231"/>
      <c r="N774" s="242"/>
      <c r="Q774" s="244"/>
      <c r="R774" s="245"/>
      <c r="T774" s="245"/>
      <c r="AB774" s="231"/>
      <c r="AC774" s="231"/>
      <c r="AD774" s="231"/>
    </row>
    <row r="775" spans="1:30" x14ac:dyDescent="0.25">
      <c r="A775" s="190">
        <v>572</v>
      </c>
      <c r="B775" s="186" t="s">
        <v>5206</v>
      </c>
      <c r="C775" s="186"/>
      <c r="D775" s="210" t="s">
        <v>5207</v>
      </c>
      <c r="E775" s="209"/>
      <c r="F775" s="209"/>
      <c r="G775" s="231" t="s">
        <v>3663</v>
      </c>
      <c r="H775" s="231"/>
      <c r="I775" s="186"/>
      <c r="L775" s="231"/>
      <c r="M775" s="231"/>
      <c r="N775" s="242"/>
      <c r="Q775" s="244"/>
      <c r="R775" s="245"/>
      <c r="T775" s="245"/>
      <c r="AB775" s="231"/>
      <c r="AC775" s="231"/>
      <c r="AD775" s="231"/>
    </row>
    <row r="776" spans="1:30" x14ac:dyDescent="0.25">
      <c r="A776" s="190">
        <v>573</v>
      </c>
      <c r="B776" s="186" t="s">
        <v>5208</v>
      </c>
      <c r="C776" s="186"/>
      <c r="D776" s="210" t="s">
        <v>5209</v>
      </c>
      <c r="E776" s="209"/>
      <c r="F776" s="209"/>
      <c r="G776" s="231" t="s">
        <v>3663</v>
      </c>
      <c r="H776" s="231"/>
      <c r="I776" s="186"/>
      <c r="L776" s="231"/>
      <c r="M776" s="231"/>
      <c r="N776" s="242"/>
      <c r="Q776" s="244"/>
      <c r="R776" s="245"/>
      <c r="T776" s="245"/>
      <c r="AB776" s="231"/>
      <c r="AC776" s="231"/>
      <c r="AD776" s="231"/>
    </row>
    <row r="777" spans="1:30" x14ac:dyDescent="0.25">
      <c r="A777" s="190">
        <v>574</v>
      </c>
      <c r="B777" s="186" t="s">
        <v>911</v>
      </c>
      <c r="C777" s="186"/>
      <c r="D777" s="210" t="s">
        <v>5210</v>
      </c>
      <c r="E777" s="209"/>
      <c r="F777" s="209"/>
      <c r="G777" s="231" t="s">
        <v>3663</v>
      </c>
      <c r="H777" s="231"/>
      <c r="I777" s="186"/>
      <c r="L777" s="231"/>
      <c r="M777" s="231"/>
      <c r="N777" s="242"/>
      <c r="Q777" s="244"/>
      <c r="R777" s="245"/>
      <c r="T777" s="245"/>
      <c r="AB777" s="231"/>
      <c r="AC777" s="231"/>
      <c r="AD777" s="231"/>
    </row>
    <row r="778" spans="1:30" x14ac:dyDescent="0.25">
      <c r="A778" s="309">
        <v>575</v>
      </c>
      <c r="B778" s="186" t="s">
        <v>5211</v>
      </c>
      <c r="C778" s="186"/>
      <c r="D778" s="210" t="s">
        <v>5212</v>
      </c>
      <c r="E778" s="209"/>
      <c r="F778" s="209"/>
      <c r="G778" s="231" t="s">
        <v>3663</v>
      </c>
      <c r="H778" s="231"/>
      <c r="I778" s="186"/>
      <c r="L778" s="231"/>
      <c r="M778" s="231"/>
      <c r="N778" s="242"/>
      <c r="Q778" s="244"/>
      <c r="R778" s="245"/>
      <c r="T778" s="245"/>
      <c r="AB778" s="231"/>
      <c r="AC778" s="231"/>
      <c r="AD778" s="231"/>
    </row>
    <row r="779" spans="1:30" x14ac:dyDescent="0.25">
      <c r="A779" s="190">
        <v>581</v>
      </c>
      <c r="B779" s="190" t="s">
        <v>5213</v>
      </c>
      <c r="C779" s="190" t="s">
        <v>4336</v>
      </c>
      <c r="E779" s="209" t="s">
        <v>5214</v>
      </c>
      <c r="F779" s="209"/>
      <c r="G779" s="231" t="s">
        <v>3637</v>
      </c>
      <c r="H779" s="231" t="s">
        <v>5215</v>
      </c>
      <c r="K779" s="262" t="s">
        <v>5216</v>
      </c>
      <c r="L779" s="335">
        <v>38288</v>
      </c>
      <c r="M779" s="335">
        <v>41940</v>
      </c>
      <c r="N779" s="242">
        <v>2008</v>
      </c>
      <c r="Q779" s="244">
        <v>12</v>
      </c>
      <c r="R779" s="245">
        <v>40764</v>
      </c>
      <c r="S779" s="311" t="s">
        <v>4177</v>
      </c>
      <c r="T779" s="245">
        <v>41130</v>
      </c>
      <c r="U779" s="231" t="s">
        <v>4454</v>
      </c>
      <c r="Z779" s="231">
        <v>1</v>
      </c>
      <c r="AA779" s="231" t="s">
        <v>4179</v>
      </c>
      <c r="AB779" s="231"/>
      <c r="AC779" s="231"/>
      <c r="AD779" s="231"/>
    </row>
    <row r="780" spans="1:30" x14ac:dyDescent="0.25">
      <c r="A780" s="309">
        <v>582</v>
      </c>
      <c r="B780" s="190" t="s">
        <v>5213</v>
      </c>
      <c r="C780" s="190" t="s">
        <v>4336</v>
      </c>
      <c r="E780" s="209" t="s">
        <v>1424</v>
      </c>
      <c r="F780" s="209"/>
      <c r="G780" s="231" t="s">
        <v>3637</v>
      </c>
      <c r="H780" s="231" t="s">
        <v>5215</v>
      </c>
      <c r="K780" s="262" t="s">
        <v>5217</v>
      </c>
      <c r="L780" s="335">
        <v>40973</v>
      </c>
      <c r="M780" s="262" t="s">
        <v>3958</v>
      </c>
      <c r="N780" s="242">
        <v>2012</v>
      </c>
      <c r="Q780" s="244">
        <v>12</v>
      </c>
      <c r="R780" s="245"/>
      <c r="T780" s="245"/>
      <c r="AB780" s="231"/>
      <c r="AC780" s="231"/>
      <c r="AD780" s="231"/>
    </row>
    <row r="781" spans="1:30" x14ac:dyDescent="0.25">
      <c r="A781" s="190">
        <v>584</v>
      </c>
      <c r="B781" s="190" t="s">
        <v>5218</v>
      </c>
      <c r="C781" s="190"/>
      <c r="E781" s="209" t="s">
        <v>5219</v>
      </c>
      <c r="F781" s="209"/>
      <c r="G781" s="231" t="s">
        <v>3637</v>
      </c>
      <c r="H781" s="231" t="s">
        <v>5215</v>
      </c>
      <c r="K781" s="262" t="s">
        <v>5217</v>
      </c>
      <c r="L781" s="335">
        <v>40973</v>
      </c>
      <c r="M781" s="262" t="s">
        <v>3958</v>
      </c>
      <c r="N781" s="242"/>
      <c r="Q781" s="244">
        <v>12</v>
      </c>
      <c r="R781" s="245">
        <v>40764</v>
      </c>
      <c r="S781" s="311" t="s">
        <v>4177</v>
      </c>
      <c r="T781" s="245">
        <v>41130</v>
      </c>
      <c r="U781" s="231" t="s">
        <v>4454</v>
      </c>
      <c r="Z781" s="231">
        <v>1</v>
      </c>
      <c r="AA781" s="231" t="s">
        <v>4179</v>
      </c>
      <c r="AB781" s="231"/>
      <c r="AC781" s="231"/>
      <c r="AD781" s="231"/>
    </row>
    <row r="782" spans="1:30" x14ac:dyDescent="0.25">
      <c r="A782" s="190">
        <v>585</v>
      </c>
      <c r="B782" s="190" t="s">
        <v>5220</v>
      </c>
      <c r="C782" s="190"/>
      <c r="E782" s="209" t="s">
        <v>5221</v>
      </c>
      <c r="F782" s="209"/>
      <c r="G782" s="231" t="s">
        <v>3637</v>
      </c>
      <c r="H782" s="231" t="s">
        <v>5215</v>
      </c>
      <c r="K782" s="402" t="s">
        <v>5222</v>
      </c>
      <c r="L782" s="368" t="s">
        <v>5223</v>
      </c>
      <c r="M782" s="262" t="s">
        <v>3958</v>
      </c>
      <c r="N782" s="242"/>
      <c r="Q782" s="244">
        <v>12</v>
      </c>
      <c r="R782" s="245">
        <v>40764</v>
      </c>
      <c r="S782" s="311" t="s">
        <v>4177</v>
      </c>
      <c r="T782" s="245">
        <v>41130</v>
      </c>
      <c r="U782" s="231" t="s">
        <v>4454</v>
      </c>
      <c r="Z782" s="231">
        <v>1</v>
      </c>
      <c r="AA782" s="231" t="s">
        <v>4179</v>
      </c>
      <c r="AB782" s="231"/>
      <c r="AC782" s="231"/>
      <c r="AD782" s="231"/>
    </row>
    <row r="783" spans="1:30" x14ac:dyDescent="0.25">
      <c r="A783" s="190">
        <v>587</v>
      </c>
      <c r="B783" s="190" t="s">
        <v>5224</v>
      </c>
      <c r="C783" s="190" t="s">
        <v>4336</v>
      </c>
      <c r="E783" s="209" t="s">
        <v>5225</v>
      </c>
      <c r="F783" s="209"/>
      <c r="G783" s="231" t="s">
        <v>3637</v>
      </c>
      <c r="H783" s="231" t="s">
        <v>5215</v>
      </c>
      <c r="K783" s="360" t="s">
        <v>5226</v>
      </c>
      <c r="L783" s="368">
        <v>38217</v>
      </c>
      <c r="M783" s="368">
        <v>41869</v>
      </c>
      <c r="N783" s="242">
        <v>2009</v>
      </c>
      <c r="Q783" s="244">
        <v>12</v>
      </c>
      <c r="R783" s="245">
        <v>40764</v>
      </c>
      <c r="S783" s="311" t="s">
        <v>4177</v>
      </c>
      <c r="T783" s="245">
        <v>41130</v>
      </c>
      <c r="U783" s="231" t="s">
        <v>4454</v>
      </c>
      <c r="Z783" s="231">
        <v>1</v>
      </c>
      <c r="AA783" s="231" t="s">
        <v>4179</v>
      </c>
      <c r="AB783" s="231"/>
      <c r="AC783" s="231"/>
      <c r="AD783" s="231"/>
    </row>
    <row r="784" spans="1:30" x14ac:dyDescent="0.25">
      <c r="A784" s="190">
        <v>588</v>
      </c>
      <c r="B784" s="190" t="s">
        <v>5227</v>
      </c>
      <c r="C784" s="190" t="s">
        <v>4336</v>
      </c>
      <c r="E784" s="209" t="s">
        <v>5228</v>
      </c>
      <c r="F784" s="209"/>
      <c r="G784" s="231" t="s">
        <v>3637</v>
      </c>
      <c r="H784" s="231" t="s">
        <v>5215</v>
      </c>
      <c r="K784" s="360" t="s">
        <v>5229</v>
      </c>
      <c r="L784" s="368">
        <v>39300</v>
      </c>
      <c r="M784" s="360" t="s">
        <v>3958</v>
      </c>
      <c r="N784" s="242">
        <v>2012</v>
      </c>
      <c r="Q784" s="244"/>
      <c r="R784" s="245"/>
      <c r="T784" s="245"/>
      <c r="AB784" s="231"/>
      <c r="AC784" s="231"/>
      <c r="AD784" s="231"/>
    </row>
    <row r="785" spans="1:30" x14ac:dyDescent="0.25">
      <c r="A785" s="190">
        <v>590</v>
      </c>
      <c r="B785" s="190" t="s">
        <v>5230</v>
      </c>
      <c r="C785" s="190" t="s">
        <v>4336</v>
      </c>
      <c r="E785" s="366" t="s">
        <v>5231</v>
      </c>
      <c r="F785" s="366"/>
      <c r="G785" s="231" t="s">
        <v>3637</v>
      </c>
      <c r="H785" s="231" t="s">
        <v>5215</v>
      </c>
      <c r="K785" s="172" t="s">
        <v>5232</v>
      </c>
      <c r="L785" s="403">
        <v>40309</v>
      </c>
      <c r="M785" s="360" t="s">
        <v>3958</v>
      </c>
      <c r="N785" s="351">
        <v>2012</v>
      </c>
      <c r="O785" s="351"/>
      <c r="P785" s="351"/>
      <c r="Q785" s="244">
        <v>12</v>
      </c>
      <c r="R785" s="245">
        <v>40764</v>
      </c>
      <c r="S785" s="311" t="s">
        <v>4177</v>
      </c>
      <c r="T785" s="245">
        <v>41130</v>
      </c>
      <c r="U785" s="231" t="s">
        <v>4454</v>
      </c>
      <c r="Z785" s="231">
        <v>1</v>
      </c>
      <c r="AA785" s="231" t="s">
        <v>4179</v>
      </c>
      <c r="AB785" s="231"/>
      <c r="AC785" s="231"/>
      <c r="AD785" s="231"/>
    </row>
    <row r="786" spans="1:30" x14ac:dyDescent="0.25">
      <c r="A786" s="190">
        <v>592</v>
      </c>
      <c r="B786" s="190" t="s">
        <v>5233</v>
      </c>
      <c r="C786" s="190"/>
      <c r="E786" s="209" t="s">
        <v>5234</v>
      </c>
      <c r="F786" s="209"/>
      <c r="G786" s="231" t="s">
        <v>3637</v>
      </c>
      <c r="H786" s="231" t="s">
        <v>5215</v>
      </c>
      <c r="K786" s="360"/>
      <c r="L786" s="360"/>
      <c r="M786" s="360"/>
      <c r="N786" s="404"/>
      <c r="O786" s="404"/>
      <c r="P786" s="404"/>
      <c r="Q786" s="244">
        <v>12</v>
      </c>
      <c r="R786" s="245">
        <v>40764</v>
      </c>
      <c r="S786" s="311" t="s">
        <v>4177</v>
      </c>
      <c r="T786" s="245">
        <v>41130</v>
      </c>
      <c r="U786" s="231" t="s">
        <v>4454</v>
      </c>
      <c r="Z786" s="231">
        <v>1</v>
      </c>
      <c r="AA786" s="231" t="s">
        <v>4179</v>
      </c>
      <c r="AB786" s="231"/>
      <c r="AC786" s="231"/>
      <c r="AD786" s="231"/>
    </row>
    <row r="787" spans="1:30" x14ac:dyDescent="0.25">
      <c r="A787" s="190">
        <v>602</v>
      </c>
      <c r="B787" s="190" t="s">
        <v>5235</v>
      </c>
      <c r="C787" s="190"/>
      <c r="E787" s="209" t="s">
        <v>5236</v>
      </c>
      <c r="F787" s="209"/>
      <c r="G787" s="231" t="s">
        <v>3637</v>
      </c>
      <c r="H787" s="231" t="s">
        <v>5237</v>
      </c>
      <c r="K787" s="360" t="s">
        <v>5238</v>
      </c>
      <c r="L787" s="368">
        <v>38243</v>
      </c>
      <c r="M787" s="368">
        <v>41895</v>
      </c>
      <c r="N787" s="242"/>
      <c r="Q787" s="244">
        <v>12</v>
      </c>
      <c r="R787" s="245">
        <v>40840</v>
      </c>
      <c r="S787" s="311" t="s">
        <v>4177</v>
      </c>
      <c r="T787" s="245">
        <v>41130</v>
      </c>
      <c r="U787" s="231" t="s">
        <v>4454</v>
      </c>
      <c r="Z787" s="231">
        <v>1</v>
      </c>
      <c r="AA787" s="231" t="s">
        <v>4179</v>
      </c>
      <c r="AB787" s="231"/>
      <c r="AC787" s="231"/>
      <c r="AD787" s="231"/>
    </row>
    <row r="788" spans="1:30" x14ac:dyDescent="0.25">
      <c r="A788" s="190">
        <v>600</v>
      </c>
      <c r="B788" s="190" t="s">
        <v>5239</v>
      </c>
      <c r="C788" s="190"/>
      <c r="E788" s="209" t="s">
        <v>1639</v>
      </c>
      <c r="F788" s="209"/>
      <c r="G788" s="231" t="s">
        <v>3637</v>
      </c>
      <c r="H788" s="231" t="s">
        <v>5237</v>
      </c>
      <c r="K788" s="360"/>
      <c r="L788" s="360"/>
      <c r="M788" s="360"/>
      <c r="N788" s="242"/>
      <c r="Q788" s="244">
        <v>12</v>
      </c>
      <c r="R788" s="245">
        <v>40840</v>
      </c>
      <c r="S788" s="311" t="s">
        <v>4177</v>
      </c>
      <c r="T788" s="245">
        <v>41203</v>
      </c>
      <c r="U788" s="231" t="s">
        <v>4454</v>
      </c>
      <c r="Z788" s="231">
        <v>1</v>
      </c>
      <c r="AA788" s="231" t="s">
        <v>4179</v>
      </c>
      <c r="AB788" s="231"/>
      <c r="AC788" s="231"/>
      <c r="AD788" s="231"/>
    </row>
    <row r="789" spans="1:30" x14ac:dyDescent="0.25">
      <c r="A789" s="190">
        <v>601</v>
      </c>
      <c r="B789" s="190" t="s">
        <v>5240</v>
      </c>
      <c r="C789" s="190" t="s">
        <v>4336</v>
      </c>
      <c r="D789" s="210" t="s">
        <v>1640</v>
      </c>
      <c r="E789" s="209" t="s">
        <v>5241</v>
      </c>
      <c r="F789" s="209"/>
      <c r="G789" s="231" t="s">
        <v>3637</v>
      </c>
      <c r="H789" s="231" t="s">
        <v>5237</v>
      </c>
      <c r="K789" s="360" t="s">
        <v>5226</v>
      </c>
      <c r="L789" s="368">
        <v>38217</v>
      </c>
      <c r="M789" s="368">
        <v>41869</v>
      </c>
      <c r="N789" s="242">
        <v>2008</v>
      </c>
      <c r="Q789" s="244">
        <v>12</v>
      </c>
      <c r="R789" s="245">
        <v>40840</v>
      </c>
      <c r="S789" s="311" t="s">
        <v>4177</v>
      </c>
      <c r="T789" s="245">
        <v>41206</v>
      </c>
      <c r="U789" s="231" t="s">
        <v>4454</v>
      </c>
      <c r="Z789" s="231">
        <v>1</v>
      </c>
      <c r="AA789" s="231" t="s">
        <v>4179</v>
      </c>
      <c r="AB789" s="231"/>
      <c r="AC789" s="231"/>
      <c r="AD789" s="231"/>
    </row>
    <row r="790" spans="1:30" x14ac:dyDescent="0.25">
      <c r="A790" s="190">
        <v>602</v>
      </c>
      <c r="B790" s="190" t="s">
        <v>5242</v>
      </c>
      <c r="C790" s="190" t="s">
        <v>4336</v>
      </c>
      <c r="E790" s="209" t="s">
        <v>5243</v>
      </c>
      <c r="F790" s="209"/>
      <c r="G790" s="231" t="s">
        <v>3637</v>
      </c>
      <c r="H790" s="231" t="s">
        <v>5244</v>
      </c>
      <c r="K790" s="360" t="s">
        <v>5245</v>
      </c>
      <c r="L790" s="368">
        <v>40302</v>
      </c>
      <c r="M790" s="360" t="s">
        <v>3958</v>
      </c>
      <c r="N790" s="242">
        <v>2010</v>
      </c>
      <c r="Q790" s="244">
        <v>12</v>
      </c>
      <c r="R790" s="245" t="s">
        <v>4972</v>
      </c>
      <c r="S790" s="311" t="s">
        <v>4177</v>
      </c>
      <c r="T790" s="245">
        <v>41183</v>
      </c>
      <c r="U790" s="231" t="s">
        <v>4454</v>
      </c>
      <c r="Z790" s="231">
        <v>1</v>
      </c>
      <c r="AA790" s="231" t="s">
        <v>4179</v>
      </c>
      <c r="AB790" s="231"/>
      <c r="AC790" s="231"/>
      <c r="AD790" s="231"/>
    </row>
    <row r="791" spans="1:30" x14ac:dyDescent="0.25">
      <c r="A791" s="190">
        <v>603</v>
      </c>
      <c r="B791" s="190" t="s">
        <v>5246</v>
      </c>
      <c r="C791" s="190"/>
      <c r="E791" s="209"/>
      <c r="F791" s="209"/>
      <c r="G791" s="231" t="s">
        <v>3637</v>
      </c>
      <c r="H791" s="231"/>
      <c r="K791" s="360"/>
      <c r="L791" s="360"/>
      <c r="M791" s="360"/>
      <c r="N791" s="405"/>
      <c r="O791" s="405"/>
      <c r="P791" s="405"/>
      <c r="Q791" s="244">
        <v>12</v>
      </c>
      <c r="R791" s="245">
        <v>40764</v>
      </c>
      <c r="S791" s="311" t="s">
        <v>4177</v>
      </c>
      <c r="T791" s="245">
        <v>41130</v>
      </c>
      <c r="U791" s="231" t="s">
        <v>4454</v>
      </c>
      <c r="Z791" s="231">
        <v>1</v>
      </c>
      <c r="AA791" s="231" t="s">
        <v>4179</v>
      </c>
      <c r="AB791" s="231"/>
      <c r="AC791" s="231"/>
      <c r="AD791" s="231"/>
    </row>
    <row r="792" spans="1:30" x14ac:dyDescent="0.25">
      <c r="A792" s="190">
        <v>604</v>
      </c>
      <c r="B792" s="186" t="s">
        <v>5247</v>
      </c>
      <c r="C792" s="186"/>
      <c r="D792" s="210">
        <v>3101857</v>
      </c>
      <c r="E792" s="209"/>
      <c r="F792" s="209"/>
      <c r="G792" s="231" t="s">
        <v>3637</v>
      </c>
      <c r="H792" s="231" t="s">
        <v>5248</v>
      </c>
      <c r="I792" s="186"/>
      <c r="L792" s="231"/>
      <c r="M792" s="231"/>
      <c r="N792" s="242"/>
      <c r="Q792" s="244"/>
      <c r="R792" s="245"/>
      <c r="T792" s="245"/>
      <c r="AB792" s="231"/>
      <c r="AC792" s="231"/>
      <c r="AD792" s="231"/>
    </row>
    <row r="793" spans="1:30" x14ac:dyDescent="0.25">
      <c r="A793" s="190">
        <v>605</v>
      </c>
      <c r="B793" s="190" t="s">
        <v>5249</v>
      </c>
      <c r="C793" s="190" t="s">
        <v>4336</v>
      </c>
      <c r="E793" s="209" t="s">
        <v>5250</v>
      </c>
      <c r="F793" s="209"/>
      <c r="G793" s="231" t="s">
        <v>3637</v>
      </c>
      <c r="H793" s="231" t="s">
        <v>5248</v>
      </c>
      <c r="K793" s="262" t="s">
        <v>5251</v>
      </c>
      <c r="L793" s="263">
        <v>40451</v>
      </c>
      <c r="M793" s="231" t="s">
        <v>3958</v>
      </c>
      <c r="N793" s="242">
        <v>2008</v>
      </c>
      <c r="Q793" s="244">
        <v>12</v>
      </c>
      <c r="R793" s="245">
        <v>40764</v>
      </c>
      <c r="S793" s="311" t="s">
        <v>4177</v>
      </c>
      <c r="T793" s="245">
        <v>41130</v>
      </c>
      <c r="U793" s="231" t="s">
        <v>4454</v>
      </c>
      <c r="Z793" s="231">
        <v>1</v>
      </c>
      <c r="AA793" s="231" t="s">
        <v>4179</v>
      </c>
      <c r="AB793" s="231"/>
      <c r="AC793" s="231"/>
      <c r="AD793" s="231"/>
    </row>
    <row r="794" spans="1:30" x14ac:dyDescent="0.25">
      <c r="A794" s="190">
        <v>606</v>
      </c>
      <c r="B794" s="190" t="s">
        <v>5252</v>
      </c>
      <c r="C794" s="190" t="s">
        <v>4336</v>
      </c>
      <c r="E794" s="209" t="s">
        <v>5253</v>
      </c>
      <c r="F794" s="209"/>
      <c r="G794" s="231" t="s">
        <v>3637</v>
      </c>
      <c r="H794" s="231" t="s">
        <v>5248</v>
      </c>
      <c r="K794" s="360" t="s">
        <v>5229</v>
      </c>
      <c r="L794" s="368">
        <v>39300</v>
      </c>
      <c r="M794" s="360" t="s">
        <v>3958</v>
      </c>
      <c r="N794" s="242">
        <v>2012</v>
      </c>
      <c r="Q794" s="244"/>
      <c r="R794" s="245"/>
      <c r="T794" s="245"/>
      <c r="AB794" s="231"/>
      <c r="AC794" s="231"/>
      <c r="AD794" s="231"/>
    </row>
    <row r="795" spans="1:30" x14ac:dyDescent="0.25">
      <c r="A795" s="190">
        <v>607</v>
      </c>
      <c r="B795" s="190" t="s">
        <v>5254</v>
      </c>
      <c r="C795" s="190" t="s">
        <v>4336</v>
      </c>
      <c r="D795" s="210" t="s">
        <v>1688</v>
      </c>
      <c r="E795" s="209" t="s">
        <v>1687</v>
      </c>
      <c r="F795" s="209"/>
      <c r="G795" s="231" t="s">
        <v>3637</v>
      </c>
      <c r="H795" s="231" t="s">
        <v>5248</v>
      </c>
      <c r="K795" s="360" t="s">
        <v>5255</v>
      </c>
      <c r="L795" s="368">
        <v>40155</v>
      </c>
      <c r="M795" s="360" t="s">
        <v>3958</v>
      </c>
      <c r="N795" s="242">
        <v>2009</v>
      </c>
      <c r="Q795" s="244">
        <v>12</v>
      </c>
      <c r="R795" s="245">
        <v>40840</v>
      </c>
      <c r="S795" s="311" t="s">
        <v>4177</v>
      </c>
      <c r="T795" s="245">
        <v>41206</v>
      </c>
      <c r="U795" s="231" t="s">
        <v>4454</v>
      </c>
      <c r="Z795" s="231">
        <v>1</v>
      </c>
      <c r="AA795" s="231" t="s">
        <v>4179</v>
      </c>
      <c r="AB795" s="231"/>
      <c r="AC795" s="231"/>
      <c r="AD795" s="231"/>
    </row>
    <row r="796" spans="1:30" x14ac:dyDescent="0.25">
      <c r="A796" s="190">
        <v>608</v>
      </c>
      <c r="B796" s="190" t="s">
        <v>5256</v>
      </c>
      <c r="C796" s="190" t="s">
        <v>4336</v>
      </c>
      <c r="D796" s="210" t="s">
        <v>5257</v>
      </c>
      <c r="E796" s="210" t="s">
        <v>5258</v>
      </c>
      <c r="F796" s="210"/>
      <c r="G796" s="231" t="s">
        <v>3637</v>
      </c>
      <c r="H796" s="231" t="s">
        <v>5248</v>
      </c>
      <c r="K796" s="402" t="s">
        <v>5259</v>
      </c>
      <c r="L796" s="406">
        <v>36089</v>
      </c>
      <c r="M796" s="402" t="s">
        <v>3958</v>
      </c>
      <c r="N796" s="367">
        <v>2009</v>
      </c>
      <c r="O796" s="367"/>
      <c r="P796" s="367"/>
      <c r="Q796" s="244">
        <v>12</v>
      </c>
      <c r="R796" s="245">
        <v>40840</v>
      </c>
      <c r="S796" s="311" t="s">
        <v>4177</v>
      </c>
      <c r="T796" s="245">
        <v>41206</v>
      </c>
      <c r="U796" s="231" t="s">
        <v>4454</v>
      </c>
      <c r="Z796" s="231">
        <v>1</v>
      </c>
      <c r="AA796" s="231" t="s">
        <v>4179</v>
      </c>
      <c r="AB796" s="231"/>
      <c r="AC796" s="231"/>
      <c r="AD796" s="231"/>
    </row>
    <row r="797" spans="1:30" x14ac:dyDescent="0.25">
      <c r="A797" s="190">
        <v>609</v>
      </c>
      <c r="B797" s="190" t="s">
        <v>5260</v>
      </c>
      <c r="C797" s="190" t="s">
        <v>4336</v>
      </c>
      <c r="D797" s="210"/>
      <c r="E797" s="210" t="s">
        <v>1677</v>
      </c>
      <c r="F797" s="210"/>
      <c r="G797" s="231" t="s">
        <v>3637</v>
      </c>
      <c r="H797" s="231" t="s">
        <v>5248</v>
      </c>
      <c r="K797" s="172" t="s">
        <v>5232</v>
      </c>
      <c r="L797" s="403">
        <v>40309</v>
      </c>
      <c r="M797" s="360" t="s">
        <v>3958</v>
      </c>
      <c r="N797" s="367">
        <v>2012</v>
      </c>
      <c r="O797" s="367"/>
      <c r="P797" s="367"/>
      <c r="Q797" s="244"/>
      <c r="R797" s="245"/>
      <c r="T797" s="245"/>
      <c r="AB797" s="231"/>
      <c r="AC797" s="231"/>
      <c r="AD797" s="231"/>
    </row>
    <row r="798" spans="1:30" x14ac:dyDescent="0.25">
      <c r="A798" s="190">
        <v>610</v>
      </c>
      <c r="B798" s="190" t="s">
        <v>5261</v>
      </c>
      <c r="C798" s="190"/>
      <c r="E798" s="210" t="s">
        <v>5262</v>
      </c>
      <c r="F798" s="210"/>
      <c r="G798" s="231" t="s">
        <v>3637</v>
      </c>
      <c r="H798" s="231" t="s">
        <v>5248</v>
      </c>
      <c r="K798" s="360"/>
      <c r="L798" s="360"/>
      <c r="M798" s="360"/>
      <c r="N798" s="367"/>
      <c r="O798" s="367"/>
      <c r="P798" s="367"/>
      <c r="Q798" s="244">
        <v>12</v>
      </c>
      <c r="R798" s="245">
        <v>40764</v>
      </c>
      <c r="S798" s="311" t="s">
        <v>4177</v>
      </c>
      <c r="T798" s="245">
        <v>41130</v>
      </c>
      <c r="U798" s="231" t="s">
        <v>4454</v>
      </c>
      <c r="Z798" s="231">
        <v>1</v>
      </c>
      <c r="AA798" s="231" t="s">
        <v>4179</v>
      </c>
      <c r="AB798" s="231"/>
      <c r="AC798" s="231"/>
      <c r="AD798" s="231"/>
    </row>
    <row r="799" spans="1:30" x14ac:dyDescent="0.25">
      <c r="A799" s="190">
        <v>611</v>
      </c>
      <c r="B799" s="190" t="s">
        <v>5263</v>
      </c>
      <c r="C799" s="190"/>
      <c r="E799" s="210"/>
      <c r="F799" s="210"/>
      <c r="G799" s="231" t="s">
        <v>3637</v>
      </c>
      <c r="H799" s="231"/>
      <c r="K799" s="360"/>
      <c r="L799" s="360"/>
      <c r="M799" s="360"/>
      <c r="N799" s="367"/>
      <c r="O799" s="367"/>
      <c r="P799" s="367"/>
      <c r="Q799" s="244">
        <v>12</v>
      </c>
      <c r="R799" s="245" t="s">
        <v>4972</v>
      </c>
      <c r="S799" s="311" t="s">
        <v>4177</v>
      </c>
      <c r="T799" s="245">
        <v>41203</v>
      </c>
      <c r="U799" s="231" t="s">
        <v>4454</v>
      </c>
      <c r="Z799" s="231">
        <v>1</v>
      </c>
      <c r="AA799" s="231" t="s">
        <v>4179</v>
      </c>
      <c r="AB799" s="231"/>
      <c r="AC799" s="231"/>
      <c r="AD799" s="231"/>
    </row>
    <row r="800" spans="1:30" x14ac:dyDescent="0.25">
      <c r="A800" s="190">
        <v>591</v>
      </c>
      <c r="B800" s="190" t="s">
        <v>5264</v>
      </c>
      <c r="C800" s="190"/>
      <c r="E800" s="209" t="s">
        <v>3571</v>
      </c>
      <c r="F800" s="209"/>
      <c r="G800" s="231" t="s">
        <v>3637</v>
      </c>
      <c r="H800" s="231" t="s">
        <v>5215</v>
      </c>
      <c r="K800" s="360"/>
      <c r="L800" s="360"/>
      <c r="M800" s="360"/>
      <c r="N800" s="405"/>
      <c r="O800" s="405"/>
      <c r="P800" s="405"/>
      <c r="Q800" s="244">
        <v>12</v>
      </c>
      <c r="R800" s="245">
        <v>42248</v>
      </c>
      <c r="S800" s="311" t="s">
        <v>4177</v>
      </c>
      <c r="T800" s="245">
        <v>41130</v>
      </c>
      <c r="U800" s="231" t="s">
        <v>4179</v>
      </c>
      <c r="Z800" s="231">
        <v>1</v>
      </c>
      <c r="AA800" s="231" t="s">
        <v>4179</v>
      </c>
      <c r="AB800" s="231"/>
      <c r="AC800" s="231"/>
      <c r="AD800" s="231"/>
    </row>
    <row r="801" spans="1:30" x14ac:dyDescent="0.25">
      <c r="A801" s="190">
        <v>646</v>
      </c>
      <c r="B801" s="186" t="s">
        <v>5265</v>
      </c>
      <c r="C801" s="186"/>
      <c r="D801" s="210">
        <v>1370775</v>
      </c>
      <c r="E801" s="210"/>
      <c r="F801" s="210"/>
      <c r="G801" s="231" t="s">
        <v>3637</v>
      </c>
      <c r="H801" s="231"/>
      <c r="I801" s="186"/>
      <c r="K801" s="360"/>
      <c r="L801" s="360"/>
      <c r="M801" s="360"/>
      <c r="N801" s="367"/>
      <c r="O801" s="367"/>
      <c r="P801" s="367"/>
      <c r="Q801" s="244"/>
      <c r="R801" s="245"/>
      <c r="T801" s="245"/>
      <c r="AB801" s="231"/>
      <c r="AC801" s="231"/>
      <c r="AD801" s="231"/>
    </row>
    <row r="802" spans="1:30" x14ac:dyDescent="0.25">
      <c r="A802" s="190">
        <v>593</v>
      </c>
      <c r="B802" s="190" t="s">
        <v>5266</v>
      </c>
      <c r="C802" s="190"/>
      <c r="E802" s="209"/>
      <c r="F802" s="209"/>
      <c r="G802" s="231" t="s">
        <v>3637</v>
      </c>
      <c r="H802" s="231"/>
      <c r="K802" s="360"/>
      <c r="L802" s="360"/>
      <c r="M802" s="360"/>
      <c r="N802" s="405"/>
      <c r="O802" s="405"/>
      <c r="P802" s="405"/>
      <c r="Q802" s="244">
        <v>12</v>
      </c>
      <c r="R802" s="245">
        <v>40840</v>
      </c>
      <c r="S802" s="311" t="s">
        <v>4192</v>
      </c>
      <c r="T802" s="245">
        <v>41206</v>
      </c>
      <c r="U802" s="231" t="s">
        <v>4179</v>
      </c>
      <c r="Z802" s="231">
        <v>1</v>
      </c>
      <c r="AA802" s="231" t="s">
        <v>4179</v>
      </c>
      <c r="AB802" s="231"/>
      <c r="AC802" s="231"/>
      <c r="AD802" s="231"/>
    </row>
    <row r="803" spans="1:30" x14ac:dyDescent="0.25">
      <c r="A803" s="190">
        <v>597</v>
      </c>
      <c r="B803" s="190" t="s">
        <v>5267</v>
      </c>
      <c r="C803" s="190"/>
      <c r="E803" s="209"/>
      <c r="F803" s="209"/>
      <c r="G803" s="231" t="s">
        <v>3637</v>
      </c>
      <c r="H803" s="231"/>
      <c r="K803" s="360"/>
      <c r="L803" s="360"/>
      <c r="M803" s="360"/>
      <c r="N803" s="242"/>
      <c r="Q803" s="244">
        <v>12</v>
      </c>
      <c r="R803" s="245">
        <v>40840</v>
      </c>
      <c r="S803" s="311" t="s">
        <v>4192</v>
      </c>
      <c r="T803" s="245">
        <v>41206</v>
      </c>
      <c r="U803" s="231" t="s">
        <v>4179</v>
      </c>
      <c r="Z803" s="231">
        <v>1</v>
      </c>
      <c r="AA803" s="231" t="s">
        <v>4179</v>
      </c>
      <c r="AB803" s="231"/>
      <c r="AC803" s="231"/>
      <c r="AD803" s="231"/>
    </row>
    <row r="804" spans="1:30" x14ac:dyDescent="0.25">
      <c r="A804" s="190">
        <v>656</v>
      </c>
      <c r="B804" s="186" t="s">
        <v>5268</v>
      </c>
      <c r="C804" s="186"/>
      <c r="D804" s="210">
        <v>4700252</v>
      </c>
      <c r="E804" s="210"/>
      <c r="F804" s="210"/>
      <c r="G804" s="231" t="s">
        <v>3637</v>
      </c>
      <c r="H804" s="231"/>
      <c r="I804" s="186"/>
      <c r="K804" s="360"/>
      <c r="L804" s="360"/>
      <c r="M804" s="360"/>
      <c r="N804" s="367"/>
      <c r="O804" s="367"/>
      <c r="P804" s="367"/>
      <c r="Q804" s="244"/>
      <c r="R804" s="245"/>
      <c r="T804" s="245"/>
      <c r="AB804" s="231"/>
      <c r="AC804" s="231"/>
      <c r="AD804" s="231"/>
    </row>
    <row r="805" spans="1:30" x14ac:dyDescent="0.25">
      <c r="A805" s="190">
        <v>657</v>
      </c>
      <c r="B805" s="186" t="s">
        <v>5268</v>
      </c>
      <c r="C805" s="186"/>
      <c r="D805" s="210">
        <v>4700253</v>
      </c>
      <c r="E805" s="210"/>
      <c r="F805" s="210"/>
      <c r="G805" s="231" t="s">
        <v>3637</v>
      </c>
      <c r="H805" s="231"/>
      <c r="I805" s="186"/>
      <c r="K805" s="360"/>
      <c r="L805" s="360"/>
      <c r="M805" s="360"/>
      <c r="N805" s="367"/>
      <c r="O805" s="367"/>
      <c r="P805" s="367"/>
      <c r="Q805" s="244"/>
      <c r="R805" s="245"/>
      <c r="T805" s="245"/>
      <c r="AB805" s="231"/>
      <c r="AC805" s="231"/>
      <c r="AD805" s="231"/>
    </row>
    <row r="806" spans="1:30" x14ac:dyDescent="0.25">
      <c r="A806" s="190">
        <v>627</v>
      </c>
      <c r="B806" s="186" t="s">
        <v>5269</v>
      </c>
      <c r="C806" s="186"/>
      <c r="D806" s="210" t="s">
        <v>5270</v>
      </c>
      <c r="E806" s="210"/>
      <c r="F806" s="210"/>
      <c r="G806" s="231" t="s">
        <v>3637</v>
      </c>
      <c r="H806" s="231" t="s">
        <v>5248</v>
      </c>
      <c r="I806" s="186"/>
      <c r="K806" s="262" t="s">
        <v>4285</v>
      </c>
      <c r="L806" s="310">
        <v>40414</v>
      </c>
      <c r="M806" s="231" t="s">
        <v>3958</v>
      </c>
      <c r="N806" s="367"/>
      <c r="O806" s="367"/>
      <c r="P806" s="367"/>
      <c r="Q806" s="244"/>
      <c r="R806" s="245"/>
      <c r="T806" s="245"/>
      <c r="AB806" s="231"/>
      <c r="AC806" s="231"/>
      <c r="AD806" s="231"/>
    </row>
    <row r="807" spans="1:30" x14ac:dyDescent="0.25">
      <c r="A807" s="190">
        <v>628</v>
      </c>
      <c r="B807" s="186" t="s">
        <v>5271</v>
      </c>
      <c r="C807" s="186"/>
      <c r="D807" s="210">
        <v>8104052</v>
      </c>
      <c r="E807" s="210"/>
      <c r="F807" s="210"/>
      <c r="G807" s="231" t="s">
        <v>3637</v>
      </c>
      <c r="H807" s="231" t="s">
        <v>5248</v>
      </c>
      <c r="I807" s="186"/>
      <c r="K807" s="360"/>
      <c r="L807" s="360"/>
      <c r="M807" s="360"/>
      <c r="N807" s="367"/>
      <c r="O807" s="367"/>
      <c r="P807" s="367"/>
      <c r="Q807" s="244"/>
      <c r="R807" s="245"/>
      <c r="T807" s="245"/>
      <c r="AB807" s="231"/>
      <c r="AC807" s="231"/>
      <c r="AD807" s="231"/>
    </row>
    <row r="808" spans="1:30" x14ac:dyDescent="0.25">
      <c r="A808" s="190">
        <v>629</v>
      </c>
      <c r="B808" s="186" t="s">
        <v>5272</v>
      </c>
      <c r="C808" s="186"/>
      <c r="D808" s="210" t="s">
        <v>5273</v>
      </c>
      <c r="E808" s="210"/>
      <c r="F808" s="210"/>
      <c r="G808" s="231" t="s">
        <v>3637</v>
      </c>
      <c r="H808" s="231" t="s">
        <v>5248</v>
      </c>
      <c r="I808" s="186"/>
      <c r="K808" s="360"/>
      <c r="L808" s="360"/>
      <c r="M808" s="360"/>
      <c r="N808" s="367"/>
      <c r="O808" s="367"/>
      <c r="P808" s="367"/>
      <c r="Q808" s="244"/>
      <c r="R808" s="245"/>
      <c r="T808" s="245"/>
      <c r="AB808" s="231"/>
      <c r="AC808" s="231"/>
      <c r="AD808" s="231"/>
    </row>
    <row r="809" spans="1:30" x14ac:dyDescent="0.25">
      <c r="A809" s="190">
        <v>630</v>
      </c>
      <c r="B809" s="186" t="s">
        <v>5274</v>
      </c>
      <c r="C809" s="186"/>
      <c r="D809" s="210" t="s">
        <v>1533</v>
      </c>
      <c r="E809" s="210"/>
      <c r="F809" s="210"/>
      <c r="G809" s="231" t="s">
        <v>3637</v>
      </c>
      <c r="H809" s="231" t="s">
        <v>5248</v>
      </c>
      <c r="I809" s="186"/>
      <c r="K809" s="360"/>
      <c r="L809" s="360"/>
      <c r="M809" s="360"/>
      <c r="N809" s="367"/>
      <c r="O809" s="367"/>
      <c r="P809" s="367"/>
      <c r="Q809" s="244"/>
      <c r="R809" s="245"/>
      <c r="T809" s="245"/>
      <c r="AB809" s="231"/>
      <c r="AC809" s="231"/>
      <c r="AD809" s="231"/>
    </row>
    <row r="810" spans="1:30" x14ac:dyDescent="0.25">
      <c r="A810" s="190">
        <v>631</v>
      </c>
      <c r="B810" s="186" t="s">
        <v>5275</v>
      </c>
      <c r="C810" s="186"/>
      <c r="D810" s="210" t="s">
        <v>5276</v>
      </c>
      <c r="E810" s="210"/>
      <c r="F810" s="210"/>
      <c r="G810" s="231" t="s">
        <v>3637</v>
      </c>
      <c r="H810" s="231" t="s">
        <v>5248</v>
      </c>
      <c r="I810" s="186"/>
      <c r="K810" s="360"/>
      <c r="L810" s="360"/>
      <c r="M810" s="360"/>
      <c r="N810" s="367"/>
      <c r="O810" s="367"/>
      <c r="P810" s="367"/>
      <c r="Q810" s="244"/>
      <c r="R810" s="245"/>
      <c r="T810" s="245"/>
      <c r="AB810" s="231"/>
      <c r="AC810" s="231"/>
      <c r="AD810" s="231"/>
    </row>
    <row r="811" spans="1:30" x14ac:dyDescent="0.25">
      <c r="A811" s="190">
        <v>632</v>
      </c>
      <c r="B811" s="186" t="s">
        <v>5275</v>
      </c>
      <c r="C811" s="186"/>
      <c r="D811" s="210" t="s">
        <v>5277</v>
      </c>
      <c r="E811" s="209"/>
      <c r="F811" s="209"/>
      <c r="G811" s="231" t="s">
        <v>3637</v>
      </c>
      <c r="H811" s="231" t="s">
        <v>5248</v>
      </c>
      <c r="I811" s="186"/>
      <c r="K811" s="402"/>
      <c r="L811" s="402"/>
      <c r="M811" s="402"/>
      <c r="N811" s="242"/>
      <c r="Q811" s="244"/>
      <c r="R811" s="245"/>
      <c r="T811" s="245"/>
      <c r="AB811" s="231"/>
      <c r="AC811" s="231"/>
      <c r="AD811" s="231"/>
    </row>
    <row r="812" spans="1:30" x14ac:dyDescent="0.25">
      <c r="A812" s="190">
        <v>651</v>
      </c>
      <c r="B812" s="186" t="s">
        <v>5278</v>
      </c>
      <c r="C812" s="186"/>
      <c r="D812" s="210">
        <v>4700226</v>
      </c>
      <c r="E812" s="210"/>
      <c r="F812" s="210"/>
      <c r="G812" s="231" t="s">
        <v>3637</v>
      </c>
      <c r="H812" s="231"/>
      <c r="I812" s="186"/>
      <c r="K812" s="360"/>
      <c r="L812" s="360"/>
      <c r="M812" s="360"/>
      <c r="N812" s="367"/>
      <c r="O812" s="367"/>
      <c r="P812" s="367"/>
      <c r="Q812" s="244"/>
      <c r="R812" s="245"/>
      <c r="T812" s="245"/>
      <c r="AB812" s="231"/>
      <c r="AC812" s="231"/>
      <c r="AD812" s="231"/>
    </row>
    <row r="813" spans="1:30" x14ac:dyDescent="0.25">
      <c r="A813" s="190">
        <v>652</v>
      </c>
      <c r="B813" s="186" t="s">
        <v>5279</v>
      </c>
      <c r="C813" s="186"/>
      <c r="D813" s="210">
        <v>4700240</v>
      </c>
      <c r="E813" s="210"/>
      <c r="F813" s="210"/>
      <c r="G813" s="231" t="s">
        <v>3637</v>
      </c>
      <c r="H813" s="231"/>
      <c r="I813" s="186"/>
      <c r="K813" s="360"/>
      <c r="L813" s="360"/>
      <c r="M813" s="360"/>
      <c r="N813" s="367"/>
      <c r="O813" s="367"/>
      <c r="P813" s="367"/>
      <c r="Q813" s="244"/>
      <c r="R813" s="245"/>
      <c r="T813" s="245"/>
      <c r="AB813" s="231"/>
      <c r="AC813" s="231"/>
      <c r="AD813" s="231"/>
    </row>
    <row r="814" spans="1:30" x14ac:dyDescent="0.25">
      <c r="A814" s="190">
        <v>653</v>
      </c>
      <c r="B814" s="186" t="s">
        <v>5279</v>
      </c>
      <c r="C814" s="186"/>
      <c r="D814" s="210">
        <v>4700241</v>
      </c>
      <c r="E814" s="210"/>
      <c r="F814" s="210"/>
      <c r="G814" s="231" t="s">
        <v>3637</v>
      </c>
      <c r="H814" s="231"/>
      <c r="I814" s="186"/>
      <c r="K814" s="360"/>
      <c r="L814" s="360"/>
      <c r="M814" s="360"/>
      <c r="N814" s="367"/>
      <c r="O814" s="367"/>
      <c r="P814" s="367"/>
      <c r="Q814" s="244"/>
      <c r="R814" s="245"/>
      <c r="T814" s="245"/>
      <c r="AB814" s="231"/>
      <c r="AC814" s="231"/>
      <c r="AD814" s="231"/>
    </row>
    <row r="815" spans="1:30" x14ac:dyDescent="0.25">
      <c r="A815" s="190">
        <v>612</v>
      </c>
      <c r="B815" s="190" t="s">
        <v>3632</v>
      </c>
      <c r="C815" s="190"/>
      <c r="E815" s="210" t="s">
        <v>5280</v>
      </c>
      <c r="F815" s="210"/>
      <c r="G815" s="231" t="s">
        <v>3637</v>
      </c>
      <c r="H815" s="231"/>
      <c r="K815" s="360"/>
      <c r="L815" s="360"/>
      <c r="M815" s="360"/>
      <c r="N815" s="367"/>
      <c r="O815" s="367"/>
      <c r="P815" s="367"/>
      <c r="Q815" s="244">
        <v>12</v>
      </c>
      <c r="R815" s="245">
        <v>40812</v>
      </c>
      <c r="S815" s="311" t="s">
        <v>4192</v>
      </c>
      <c r="T815" s="245">
        <v>41178</v>
      </c>
      <c r="U815" s="231" t="s">
        <v>4179</v>
      </c>
      <c r="Z815" s="231">
        <v>1</v>
      </c>
      <c r="AA815" s="231" t="s">
        <v>4179</v>
      </c>
      <c r="AB815" s="231"/>
      <c r="AC815" s="231"/>
      <c r="AD815" s="231"/>
    </row>
    <row r="816" spans="1:30" x14ac:dyDescent="0.25">
      <c r="A816" s="190">
        <v>613</v>
      </c>
      <c r="B816" s="190" t="s">
        <v>3632</v>
      </c>
      <c r="C816" s="190"/>
      <c r="E816" s="210" t="s">
        <v>5281</v>
      </c>
      <c r="F816" s="210"/>
      <c r="G816" s="231" t="s">
        <v>3637</v>
      </c>
      <c r="H816" s="231"/>
      <c r="K816" s="360"/>
      <c r="L816" s="360"/>
      <c r="M816" s="360"/>
      <c r="N816" s="367"/>
      <c r="O816" s="367"/>
      <c r="P816" s="367"/>
      <c r="Q816" s="244"/>
      <c r="R816" s="245"/>
      <c r="T816" s="245"/>
      <c r="AB816" s="231"/>
      <c r="AC816" s="231"/>
      <c r="AD816" s="231"/>
    </row>
    <row r="817" spans="1:30" x14ac:dyDescent="0.25">
      <c r="A817" s="190">
        <v>614</v>
      </c>
      <c r="B817" s="190" t="s">
        <v>3632</v>
      </c>
      <c r="C817" s="190"/>
      <c r="E817" s="210" t="s">
        <v>1817</v>
      </c>
      <c r="F817" s="210"/>
      <c r="G817" s="231" t="s">
        <v>3637</v>
      </c>
      <c r="H817" s="231"/>
      <c r="K817" s="360"/>
      <c r="L817" s="360"/>
      <c r="M817" s="360"/>
      <c r="N817" s="367"/>
      <c r="O817" s="367"/>
      <c r="P817" s="367"/>
      <c r="Q817" s="244"/>
      <c r="R817" s="245"/>
      <c r="T817" s="245"/>
      <c r="AB817" s="231"/>
      <c r="AC817" s="231"/>
      <c r="AD817" s="231"/>
    </row>
    <row r="818" spans="1:30" x14ac:dyDescent="0.25">
      <c r="A818" s="190">
        <v>615</v>
      </c>
      <c r="B818" s="190" t="s">
        <v>3632</v>
      </c>
      <c r="C818" s="190"/>
      <c r="E818" s="210" t="s">
        <v>5282</v>
      </c>
      <c r="F818" s="210"/>
      <c r="G818" s="231" t="s">
        <v>3637</v>
      </c>
      <c r="H818" s="231"/>
      <c r="K818" s="360"/>
      <c r="L818" s="360"/>
      <c r="M818" s="360"/>
      <c r="N818" s="367"/>
      <c r="O818" s="367"/>
      <c r="P818" s="367"/>
      <c r="Q818" s="244"/>
      <c r="R818" s="245"/>
      <c r="T818" s="245"/>
      <c r="AB818" s="231"/>
      <c r="AC818" s="231"/>
      <c r="AD818" s="231"/>
    </row>
    <row r="819" spans="1:30" x14ac:dyDescent="0.25">
      <c r="A819" s="190">
        <v>616</v>
      </c>
      <c r="B819" s="190" t="s">
        <v>5161</v>
      </c>
      <c r="C819" s="190"/>
      <c r="D819" s="210">
        <v>8104828</v>
      </c>
      <c r="E819" s="210"/>
      <c r="F819" s="210"/>
      <c r="G819" s="231" t="s">
        <v>3637</v>
      </c>
      <c r="H819" s="231" t="s">
        <v>5248</v>
      </c>
      <c r="K819" s="360"/>
      <c r="L819" s="360"/>
      <c r="M819" s="360"/>
      <c r="N819" s="367"/>
      <c r="O819" s="367"/>
      <c r="P819" s="367"/>
      <c r="Q819" s="244"/>
      <c r="R819" s="245"/>
      <c r="T819" s="245"/>
      <c r="AB819" s="231"/>
      <c r="AC819" s="231"/>
      <c r="AD819" s="231"/>
    </row>
    <row r="820" spans="1:30" x14ac:dyDescent="0.25">
      <c r="A820" s="190">
        <v>617</v>
      </c>
      <c r="B820" s="190" t="s">
        <v>5161</v>
      </c>
      <c r="C820" s="190"/>
      <c r="D820" s="210">
        <v>8104829</v>
      </c>
      <c r="E820" s="210"/>
      <c r="F820" s="210"/>
      <c r="G820" s="231" t="s">
        <v>3637</v>
      </c>
      <c r="H820" s="231" t="s">
        <v>5248</v>
      </c>
      <c r="K820" s="360"/>
      <c r="L820" s="360"/>
      <c r="M820" s="360"/>
      <c r="N820" s="367"/>
      <c r="O820" s="367"/>
      <c r="P820" s="367"/>
      <c r="Q820" s="244"/>
      <c r="R820" s="245"/>
      <c r="T820" s="245"/>
      <c r="AB820" s="231"/>
      <c r="AC820" s="231"/>
      <c r="AD820" s="231"/>
    </row>
    <row r="821" spans="1:30" x14ac:dyDescent="0.25">
      <c r="A821" s="190">
        <v>618</v>
      </c>
      <c r="B821" s="190" t="s">
        <v>5161</v>
      </c>
      <c r="C821" s="190"/>
      <c r="D821" s="210">
        <v>8104834</v>
      </c>
      <c r="E821" s="210"/>
      <c r="F821" s="210"/>
      <c r="G821" s="231" t="s">
        <v>3637</v>
      </c>
      <c r="H821" s="231" t="s">
        <v>5248</v>
      </c>
      <c r="K821" s="360"/>
      <c r="L821" s="360"/>
      <c r="M821" s="360"/>
      <c r="N821" s="367"/>
      <c r="O821" s="367"/>
      <c r="P821" s="367"/>
      <c r="Q821" s="244"/>
      <c r="R821" s="245"/>
      <c r="T821" s="245"/>
      <c r="AB821" s="231"/>
      <c r="AC821" s="231"/>
      <c r="AD821" s="231"/>
    </row>
    <row r="822" spans="1:30" x14ac:dyDescent="0.25">
      <c r="A822" s="190">
        <v>619</v>
      </c>
      <c r="B822" s="190" t="s">
        <v>5161</v>
      </c>
      <c r="C822" s="190"/>
      <c r="D822" s="210">
        <v>8104835</v>
      </c>
      <c r="E822" s="210"/>
      <c r="F822" s="210"/>
      <c r="G822" s="231" t="s">
        <v>3637</v>
      </c>
      <c r="H822" s="231" t="s">
        <v>5248</v>
      </c>
      <c r="K822" s="360"/>
      <c r="L822" s="360"/>
      <c r="M822" s="360"/>
      <c r="N822" s="367"/>
      <c r="O822" s="367"/>
      <c r="P822" s="367"/>
      <c r="Q822" s="244"/>
      <c r="R822" s="245"/>
      <c r="T822" s="245"/>
      <c r="AB822" s="231"/>
      <c r="AC822" s="231"/>
      <c r="AD822" s="231"/>
    </row>
    <row r="823" spans="1:30" x14ac:dyDescent="0.25">
      <c r="A823" s="190">
        <v>620</v>
      </c>
      <c r="B823" s="190" t="s">
        <v>5161</v>
      </c>
      <c r="C823" s="190"/>
      <c r="D823" s="210">
        <v>8104836</v>
      </c>
      <c r="E823" s="210"/>
      <c r="F823" s="210"/>
      <c r="G823" s="231" t="s">
        <v>3637</v>
      </c>
      <c r="H823" s="231" t="s">
        <v>5248</v>
      </c>
      <c r="K823" s="360"/>
      <c r="L823" s="360"/>
      <c r="M823" s="360"/>
      <c r="N823" s="367"/>
      <c r="O823" s="367"/>
      <c r="P823" s="367"/>
      <c r="Q823" s="244"/>
      <c r="R823" s="245"/>
      <c r="T823" s="245"/>
      <c r="AB823" s="231"/>
      <c r="AC823" s="231"/>
      <c r="AD823" s="231"/>
    </row>
    <row r="824" spans="1:30" x14ac:dyDescent="0.25">
      <c r="A824" s="190">
        <v>621</v>
      </c>
      <c r="B824" s="190" t="s">
        <v>5161</v>
      </c>
      <c r="C824" s="190"/>
      <c r="D824" s="210">
        <v>8104837</v>
      </c>
      <c r="E824" s="210"/>
      <c r="F824" s="210"/>
      <c r="G824" s="231" t="s">
        <v>3637</v>
      </c>
      <c r="H824" s="231" t="s">
        <v>5248</v>
      </c>
      <c r="K824" s="360"/>
      <c r="L824" s="360"/>
      <c r="M824" s="360"/>
      <c r="N824" s="367"/>
      <c r="O824" s="367"/>
      <c r="P824" s="367"/>
      <c r="Q824" s="244"/>
      <c r="R824" s="245"/>
      <c r="T824" s="245"/>
      <c r="AB824" s="231"/>
      <c r="AC824" s="231"/>
      <c r="AD824" s="231"/>
    </row>
    <row r="825" spans="1:30" x14ac:dyDescent="0.25">
      <c r="A825" s="190">
        <v>622</v>
      </c>
      <c r="B825" s="190" t="s">
        <v>5161</v>
      </c>
      <c r="C825" s="190"/>
      <c r="D825" s="210">
        <v>8104839</v>
      </c>
      <c r="E825" s="210"/>
      <c r="F825" s="210"/>
      <c r="G825" s="231" t="s">
        <v>3637</v>
      </c>
      <c r="H825" s="231" t="s">
        <v>5248</v>
      </c>
      <c r="K825" s="360"/>
      <c r="L825" s="360"/>
      <c r="M825" s="360"/>
      <c r="N825" s="367"/>
      <c r="O825" s="367"/>
      <c r="P825" s="367"/>
      <c r="Q825" s="244"/>
      <c r="R825" s="245"/>
      <c r="T825" s="245"/>
      <c r="AB825" s="231"/>
      <c r="AC825" s="231"/>
      <c r="AD825" s="231"/>
    </row>
    <row r="826" spans="1:30" x14ac:dyDescent="0.25">
      <c r="A826" s="190">
        <v>623</v>
      </c>
      <c r="B826" s="190" t="s">
        <v>4794</v>
      </c>
      <c r="C826" s="190"/>
      <c r="D826" s="210" t="s">
        <v>5283</v>
      </c>
      <c r="E826" s="210"/>
      <c r="F826" s="210"/>
      <c r="G826" s="231" t="s">
        <v>3637</v>
      </c>
      <c r="H826" s="231" t="s">
        <v>5248</v>
      </c>
      <c r="K826" s="360" t="s">
        <v>4047</v>
      </c>
      <c r="L826" s="263">
        <v>41272</v>
      </c>
      <c r="M826" s="263" t="s">
        <v>3958</v>
      </c>
      <c r="N826" s="367"/>
      <c r="O826" s="367"/>
      <c r="P826" s="367"/>
      <c r="Q826" s="244"/>
      <c r="R826" s="245"/>
      <c r="T826" s="245"/>
      <c r="AB826" s="231"/>
      <c r="AC826" s="231"/>
      <c r="AD826" s="231"/>
    </row>
    <row r="827" spans="1:30" x14ac:dyDescent="0.25">
      <c r="A827" s="190">
        <v>624</v>
      </c>
      <c r="B827" s="190" t="s">
        <v>4794</v>
      </c>
      <c r="C827" s="190"/>
      <c r="D827" s="210" t="s">
        <v>5284</v>
      </c>
      <c r="E827" s="210"/>
      <c r="F827" s="210"/>
      <c r="G827" s="231" t="s">
        <v>3637</v>
      </c>
      <c r="H827" s="231" t="s">
        <v>5248</v>
      </c>
      <c r="K827" s="360" t="s">
        <v>4047</v>
      </c>
      <c r="L827" s="263">
        <v>41272</v>
      </c>
      <c r="M827" s="263" t="s">
        <v>3958</v>
      </c>
      <c r="N827" s="367"/>
      <c r="O827" s="367"/>
      <c r="P827" s="367"/>
      <c r="Q827" s="244"/>
      <c r="R827" s="245"/>
      <c r="T827" s="245"/>
      <c r="AB827" s="231"/>
      <c r="AC827" s="231"/>
      <c r="AD827" s="231"/>
    </row>
    <row r="828" spans="1:30" x14ac:dyDescent="0.25">
      <c r="A828" s="190">
        <v>625</v>
      </c>
      <c r="B828" s="190" t="s">
        <v>4794</v>
      </c>
      <c r="C828" s="190"/>
      <c r="D828" s="210" t="s">
        <v>5285</v>
      </c>
      <c r="E828" s="210"/>
      <c r="F828" s="210"/>
      <c r="G828" s="231" t="s">
        <v>3637</v>
      </c>
      <c r="H828" s="231" t="s">
        <v>5248</v>
      </c>
      <c r="K828" s="360" t="s">
        <v>4047</v>
      </c>
      <c r="L828" s="263">
        <v>41272</v>
      </c>
      <c r="M828" s="263" t="s">
        <v>3958</v>
      </c>
      <c r="N828" s="367"/>
      <c r="O828" s="367"/>
      <c r="P828" s="367"/>
      <c r="Q828" s="244"/>
      <c r="R828" s="245"/>
      <c r="T828" s="245"/>
      <c r="AB828" s="231"/>
      <c r="AC828" s="231"/>
      <c r="AD828" s="231"/>
    </row>
    <row r="829" spans="1:30" x14ac:dyDescent="0.25">
      <c r="A829" s="190">
        <v>636</v>
      </c>
      <c r="B829" s="186" t="s">
        <v>5286</v>
      </c>
      <c r="C829" s="186"/>
      <c r="D829" s="210" t="s">
        <v>5287</v>
      </c>
      <c r="E829" s="209"/>
      <c r="F829" s="209"/>
      <c r="G829" s="231" t="s">
        <v>3637</v>
      </c>
      <c r="H829" s="231"/>
      <c r="I829" s="186"/>
      <c r="K829" s="402"/>
      <c r="L829" s="402"/>
      <c r="M829" s="402"/>
      <c r="N829" s="242"/>
      <c r="Q829" s="244"/>
      <c r="R829" s="245"/>
      <c r="T829" s="245"/>
      <c r="AB829" s="231"/>
      <c r="AC829" s="231"/>
      <c r="AD829" s="231"/>
    </row>
    <row r="830" spans="1:30" x14ac:dyDescent="0.25">
      <c r="A830" s="190">
        <v>637</v>
      </c>
      <c r="B830" s="186" t="s">
        <v>5286</v>
      </c>
      <c r="C830" s="186"/>
      <c r="D830" s="210" t="s">
        <v>5288</v>
      </c>
      <c r="E830" s="209"/>
      <c r="F830" s="209"/>
      <c r="G830" s="231" t="s">
        <v>3637</v>
      </c>
      <c r="H830" s="231"/>
      <c r="I830" s="186"/>
      <c r="K830" s="402"/>
      <c r="L830" s="402"/>
      <c r="M830" s="402"/>
      <c r="N830" s="242"/>
      <c r="Q830" s="244"/>
      <c r="R830" s="245"/>
      <c r="T830" s="245"/>
      <c r="AB830" s="231"/>
      <c r="AC830" s="231"/>
      <c r="AD830" s="231"/>
    </row>
    <row r="831" spans="1:30" x14ac:dyDescent="0.25">
      <c r="A831" s="190">
        <v>638</v>
      </c>
      <c r="B831" s="186" t="s">
        <v>5289</v>
      </c>
      <c r="C831" s="186"/>
      <c r="D831" s="210" t="s">
        <v>5290</v>
      </c>
      <c r="E831" s="209"/>
      <c r="F831" s="209"/>
      <c r="G831" s="231" t="s">
        <v>3637</v>
      </c>
      <c r="H831" s="231"/>
      <c r="I831" s="186"/>
      <c r="K831" s="402"/>
      <c r="L831" s="402"/>
      <c r="M831" s="402"/>
      <c r="N831" s="242"/>
      <c r="Q831" s="244"/>
      <c r="R831" s="245"/>
      <c r="T831" s="245"/>
      <c r="AB831" s="231"/>
      <c r="AC831" s="231"/>
      <c r="AD831" s="231"/>
    </row>
    <row r="832" spans="1:30" x14ac:dyDescent="0.25">
      <c r="A832" s="190">
        <v>639</v>
      </c>
      <c r="B832" s="186" t="s">
        <v>5289</v>
      </c>
      <c r="C832" s="186"/>
      <c r="D832" s="210" t="s">
        <v>5291</v>
      </c>
      <c r="E832" s="209"/>
      <c r="F832" s="209"/>
      <c r="G832" s="231" t="s">
        <v>3637</v>
      </c>
      <c r="H832" s="231"/>
      <c r="I832" s="186"/>
      <c r="K832" s="402"/>
      <c r="L832" s="402"/>
      <c r="M832" s="402"/>
      <c r="N832" s="242"/>
      <c r="Q832" s="244"/>
      <c r="R832" s="245"/>
      <c r="T832" s="245"/>
      <c r="AB832" s="231"/>
      <c r="AC832" s="231"/>
      <c r="AD832" s="231"/>
    </row>
    <row r="833" spans="1:30" x14ac:dyDescent="0.25">
      <c r="A833" s="190">
        <v>640</v>
      </c>
      <c r="B833" s="186" t="s">
        <v>5289</v>
      </c>
      <c r="C833" s="186"/>
      <c r="D833" s="210" t="s">
        <v>5292</v>
      </c>
      <c r="E833" s="209"/>
      <c r="F833" s="209"/>
      <c r="G833" s="231" t="s">
        <v>3637</v>
      </c>
      <c r="H833" s="231"/>
      <c r="I833" s="186"/>
      <c r="K833" s="402"/>
      <c r="L833" s="402"/>
      <c r="M833" s="402"/>
      <c r="N833" s="242"/>
      <c r="Q833" s="244"/>
      <c r="R833" s="245"/>
      <c r="T833" s="245"/>
      <c r="AB833" s="231"/>
      <c r="AC833" s="231"/>
      <c r="AD833" s="231"/>
    </row>
    <row r="834" spans="1:30" x14ac:dyDescent="0.25">
      <c r="A834" s="190">
        <v>641</v>
      </c>
      <c r="B834" s="186" t="s">
        <v>5289</v>
      </c>
      <c r="C834" s="186"/>
      <c r="D834" s="210" t="s">
        <v>5293</v>
      </c>
      <c r="E834" s="209"/>
      <c r="F834" s="209"/>
      <c r="G834" s="231" t="s">
        <v>3637</v>
      </c>
      <c r="H834" s="231"/>
      <c r="I834" s="186"/>
      <c r="K834" s="402"/>
      <c r="L834" s="402"/>
      <c r="M834" s="402"/>
      <c r="N834" s="242"/>
      <c r="Q834" s="244"/>
      <c r="R834" s="245"/>
      <c r="T834" s="245"/>
      <c r="AB834" s="231"/>
      <c r="AC834" s="231"/>
      <c r="AD834" s="231"/>
    </row>
    <row r="835" spans="1:30" x14ac:dyDescent="0.25">
      <c r="A835" s="190">
        <v>642</v>
      </c>
      <c r="B835" s="186" t="s">
        <v>5289</v>
      </c>
      <c r="C835" s="186"/>
      <c r="D835" s="210" t="s">
        <v>5294</v>
      </c>
      <c r="E835" s="209"/>
      <c r="F835" s="209"/>
      <c r="G835" s="231" t="s">
        <v>3637</v>
      </c>
      <c r="H835" s="231"/>
      <c r="I835" s="186"/>
      <c r="K835" s="402"/>
      <c r="L835" s="402"/>
      <c r="M835" s="402"/>
      <c r="N835" s="242"/>
      <c r="Q835" s="244"/>
      <c r="R835" s="245"/>
      <c r="T835" s="245"/>
      <c r="AB835" s="231"/>
      <c r="AC835" s="231"/>
      <c r="AD835" s="231"/>
    </row>
    <row r="836" spans="1:30" x14ac:dyDescent="0.25">
      <c r="A836" s="190">
        <v>633</v>
      </c>
      <c r="B836" s="186" t="s">
        <v>5295</v>
      </c>
      <c r="C836" s="186"/>
      <c r="D836" s="210">
        <v>4700245</v>
      </c>
      <c r="E836" s="209"/>
      <c r="F836" s="209"/>
      <c r="G836" s="231" t="s">
        <v>3637</v>
      </c>
      <c r="H836" s="231"/>
      <c r="I836" s="186"/>
      <c r="K836" s="360"/>
      <c r="L836" s="360"/>
      <c r="M836" s="360"/>
      <c r="N836" s="242"/>
      <c r="Q836" s="244"/>
      <c r="R836" s="245"/>
      <c r="T836" s="245"/>
      <c r="AB836" s="231"/>
      <c r="AC836" s="231"/>
      <c r="AD836" s="231"/>
    </row>
    <row r="837" spans="1:30" x14ac:dyDescent="0.25">
      <c r="A837" s="190">
        <v>634</v>
      </c>
      <c r="B837" s="186" t="s">
        <v>5295</v>
      </c>
      <c r="C837" s="186"/>
      <c r="D837" s="210">
        <v>4700246</v>
      </c>
      <c r="E837" s="209"/>
      <c r="F837" s="209"/>
      <c r="G837" s="231" t="s">
        <v>3637</v>
      </c>
      <c r="H837" s="231"/>
      <c r="I837" s="186"/>
      <c r="K837" s="360"/>
      <c r="L837" s="360"/>
      <c r="M837" s="360"/>
      <c r="N837" s="242"/>
      <c r="Q837" s="244"/>
      <c r="R837" s="245"/>
      <c r="T837" s="245"/>
      <c r="AB837" s="231"/>
      <c r="AC837" s="231"/>
      <c r="AD837" s="231"/>
    </row>
    <row r="838" spans="1:30" x14ac:dyDescent="0.25">
      <c r="A838" s="190">
        <v>635</v>
      </c>
      <c r="B838" s="186" t="s">
        <v>5295</v>
      </c>
      <c r="C838" s="186"/>
      <c r="D838" s="210">
        <v>4700247</v>
      </c>
      <c r="E838" s="209"/>
      <c r="F838" s="209"/>
      <c r="G838" s="231" t="s">
        <v>3637</v>
      </c>
      <c r="H838" s="231"/>
      <c r="I838" s="186"/>
      <c r="K838" s="360"/>
      <c r="L838" s="360"/>
      <c r="M838" s="360"/>
      <c r="N838" s="242"/>
      <c r="Q838" s="244"/>
      <c r="R838" s="245"/>
      <c r="T838" s="245"/>
      <c r="AB838" s="231"/>
      <c r="AC838" s="231"/>
      <c r="AD838" s="231"/>
    </row>
    <row r="839" spans="1:30" x14ac:dyDescent="0.25">
      <c r="A839" s="190">
        <v>658</v>
      </c>
      <c r="B839" s="370" t="s">
        <v>5296</v>
      </c>
      <c r="C839" s="370"/>
      <c r="D839" s="407">
        <v>4700243</v>
      </c>
      <c r="E839" s="293"/>
      <c r="F839" s="293"/>
      <c r="G839" s="231" t="s">
        <v>3637</v>
      </c>
      <c r="H839" s="231" t="s">
        <v>5297</v>
      </c>
      <c r="I839" s="370"/>
      <c r="L839" s="231"/>
      <c r="M839" s="231"/>
      <c r="N839" s="367"/>
      <c r="O839" s="367"/>
      <c r="P839" s="367"/>
      <c r="Q839" s="244"/>
      <c r="R839" s="245"/>
      <c r="T839" s="245"/>
      <c r="AB839" s="231"/>
      <c r="AC839" s="231"/>
      <c r="AD839" s="231"/>
    </row>
    <row r="840" spans="1:30" x14ac:dyDescent="0.25">
      <c r="A840" s="190">
        <v>659</v>
      </c>
      <c r="B840" s="370" t="s">
        <v>5298</v>
      </c>
      <c r="C840" s="370"/>
      <c r="D840" s="407">
        <v>4700244</v>
      </c>
      <c r="E840" s="293"/>
      <c r="F840" s="293"/>
      <c r="G840" s="231" t="s">
        <v>3637</v>
      </c>
      <c r="H840" s="231" t="s">
        <v>5297</v>
      </c>
      <c r="I840" s="370"/>
      <c r="L840" s="231"/>
      <c r="M840" s="231"/>
      <c r="N840" s="367"/>
      <c r="O840" s="367"/>
      <c r="P840" s="367"/>
      <c r="Q840" s="244"/>
      <c r="R840" s="245"/>
      <c r="T840" s="245"/>
      <c r="AB840" s="231"/>
      <c r="AC840" s="231"/>
      <c r="AD840" s="231"/>
    </row>
    <row r="841" spans="1:30" x14ac:dyDescent="0.25">
      <c r="A841" s="190">
        <v>643</v>
      </c>
      <c r="B841" s="186" t="s">
        <v>5299</v>
      </c>
      <c r="C841" s="186"/>
      <c r="D841" s="210" t="s">
        <v>5300</v>
      </c>
      <c r="E841" s="210"/>
      <c r="F841" s="210"/>
      <c r="G841" s="231" t="s">
        <v>3637</v>
      </c>
      <c r="H841" s="231"/>
      <c r="I841" s="186"/>
      <c r="K841" s="360"/>
      <c r="L841" s="360"/>
      <c r="M841" s="360"/>
      <c r="N841" s="367"/>
      <c r="O841" s="367"/>
      <c r="P841" s="367"/>
      <c r="Q841" s="244"/>
      <c r="R841" s="245"/>
      <c r="T841" s="245"/>
      <c r="AB841" s="231"/>
      <c r="AC841" s="231"/>
      <c r="AD841" s="231"/>
    </row>
    <row r="842" spans="1:30" x14ac:dyDescent="0.25">
      <c r="A842" s="190">
        <v>644</v>
      </c>
      <c r="B842" s="186" t="s">
        <v>5299</v>
      </c>
      <c r="C842" s="186"/>
      <c r="D842" s="210" t="s">
        <v>5301</v>
      </c>
      <c r="E842" s="210"/>
      <c r="F842" s="210"/>
      <c r="G842" s="231" t="s">
        <v>3637</v>
      </c>
      <c r="H842" s="231"/>
      <c r="I842" s="186"/>
      <c r="K842" s="360"/>
      <c r="L842" s="360"/>
      <c r="M842" s="360"/>
      <c r="N842" s="367"/>
      <c r="O842" s="367"/>
      <c r="P842" s="367"/>
      <c r="Q842" s="244"/>
      <c r="R842" s="245"/>
      <c r="T842" s="245"/>
      <c r="AB842" s="231"/>
      <c r="AC842" s="231"/>
      <c r="AD842" s="231"/>
    </row>
    <row r="843" spans="1:30" x14ac:dyDescent="0.25">
      <c r="A843" s="190">
        <v>645</v>
      </c>
      <c r="B843" s="186" t="s">
        <v>5302</v>
      </c>
      <c r="C843" s="186"/>
      <c r="D843" s="210" t="s">
        <v>1540</v>
      </c>
      <c r="E843" s="210"/>
      <c r="F843" s="210"/>
      <c r="G843" s="231" t="s">
        <v>3637</v>
      </c>
      <c r="H843" s="231"/>
      <c r="I843" s="186"/>
      <c r="K843" s="360"/>
      <c r="L843" s="360"/>
      <c r="M843" s="360"/>
      <c r="N843" s="367"/>
      <c r="O843" s="367"/>
      <c r="P843" s="367"/>
      <c r="Q843" s="244"/>
      <c r="R843" s="245"/>
      <c r="T843" s="245"/>
      <c r="AB843" s="231"/>
      <c r="AC843" s="231"/>
      <c r="AD843" s="231"/>
    </row>
    <row r="844" spans="1:30" x14ac:dyDescent="0.25">
      <c r="A844" s="190">
        <v>654</v>
      </c>
      <c r="B844" s="186" t="s">
        <v>5303</v>
      </c>
      <c r="C844" s="186"/>
      <c r="D844" s="210">
        <v>4700326</v>
      </c>
      <c r="E844" s="210"/>
      <c r="F844" s="210"/>
      <c r="G844" s="231" t="s">
        <v>3637</v>
      </c>
      <c r="H844" s="231"/>
      <c r="I844" s="186"/>
      <c r="K844" s="360"/>
      <c r="L844" s="360"/>
      <c r="M844" s="360"/>
      <c r="N844" s="367"/>
      <c r="O844" s="367"/>
      <c r="P844" s="367"/>
      <c r="Q844" s="244"/>
      <c r="R844" s="245"/>
      <c r="T844" s="245"/>
      <c r="AB844" s="231"/>
      <c r="AC844" s="231"/>
      <c r="AD844" s="231"/>
    </row>
    <row r="845" spans="1:30" x14ac:dyDescent="0.25">
      <c r="A845" s="190">
        <v>655</v>
      </c>
      <c r="B845" s="186" t="s">
        <v>5304</v>
      </c>
      <c r="C845" s="186"/>
      <c r="D845" s="210">
        <v>1370263</v>
      </c>
      <c r="E845" s="210"/>
      <c r="F845" s="210"/>
      <c r="G845" s="231" t="s">
        <v>3637</v>
      </c>
      <c r="H845" s="231"/>
      <c r="I845" s="186"/>
      <c r="K845" s="360"/>
      <c r="L845" s="360"/>
      <c r="M845" s="360"/>
      <c r="N845" s="367"/>
      <c r="O845" s="367"/>
      <c r="P845" s="367"/>
      <c r="Q845" s="244"/>
      <c r="R845" s="245"/>
      <c r="T845" s="245"/>
      <c r="AB845" s="231"/>
      <c r="AC845" s="231"/>
      <c r="AD845" s="231"/>
    </row>
    <row r="846" spans="1:30" x14ac:dyDescent="0.25">
      <c r="A846" s="190">
        <v>661</v>
      </c>
      <c r="B846" s="190" t="s">
        <v>4181</v>
      </c>
      <c r="C846" s="190"/>
      <c r="E846" s="210"/>
      <c r="F846" s="210"/>
      <c r="G846" s="231" t="s">
        <v>3563</v>
      </c>
      <c r="H846" s="231"/>
      <c r="K846" s="402"/>
      <c r="L846" s="402"/>
      <c r="M846" s="402"/>
      <c r="N846" s="367"/>
      <c r="O846" s="367"/>
      <c r="P846" s="367"/>
      <c r="Q846" s="244">
        <v>12</v>
      </c>
      <c r="R846" s="245">
        <v>42248</v>
      </c>
      <c r="S846" s="311" t="s">
        <v>4177</v>
      </c>
      <c r="T846" s="245">
        <v>41161</v>
      </c>
      <c r="U846" s="231" t="s">
        <v>4179</v>
      </c>
      <c r="Z846" s="231">
        <v>1</v>
      </c>
      <c r="AA846" s="231" t="s">
        <v>4179</v>
      </c>
      <c r="AB846" s="231"/>
      <c r="AC846" s="231"/>
      <c r="AD846" s="231"/>
    </row>
    <row r="847" spans="1:30" x14ac:dyDescent="0.25">
      <c r="A847" s="190">
        <v>662</v>
      </c>
      <c r="B847" s="190" t="s">
        <v>4181</v>
      </c>
      <c r="C847" s="190"/>
      <c r="E847" s="210"/>
      <c r="F847" s="210"/>
      <c r="G847" s="231" t="s">
        <v>3563</v>
      </c>
      <c r="H847" s="231"/>
      <c r="K847" s="402"/>
      <c r="L847" s="402"/>
      <c r="M847" s="402"/>
      <c r="N847" s="367"/>
      <c r="O847" s="367"/>
      <c r="P847" s="367"/>
      <c r="Q847" s="244">
        <v>12</v>
      </c>
      <c r="R847" s="245">
        <v>42248</v>
      </c>
      <c r="S847" s="311" t="s">
        <v>4177</v>
      </c>
      <c r="T847" s="245">
        <v>41162</v>
      </c>
      <c r="U847" s="231" t="s">
        <v>4179</v>
      </c>
      <c r="Z847" s="231">
        <v>1</v>
      </c>
      <c r="AA847" s="231" t="s">
        <v>4179</v>
      </c>
      <c r="AB847" s="231"/>
      <c r="AC847" s="231"/>
      <c r="AD847" s="231"/>
    </row>
    <row r="848" spans="1:30" x14ac:dyDescent="0.25">
      <c r="A848" s="190">
        <v>663</v>
      </c>
      <c r="B848" s="190" t="s">
        <v>5305</v>
      </c>
      <c r="C848" s="190"/>
      <c r="E848" s="210" t="s">
        <v>5306</v>
      </c>
      <c r="F848" s="210"/>
      <c r="G848" s="231" t="s">
        <v>3563</v>
      </c>
      <c r="H848" s="231"/>
      <c r="L848" s="263"/>
      <c r="M848" s="231"/>
      <c r="N848" s="367"/>
      <c r="O848" s="367"/>
      <c r="P848" s="367"/>
      <c r="Q848" s="244">
        <v>12</v>
      </c>
      <c r="R848" s="245">
        <v>42248</v>
      </c>
      <c r="S848" s="311" t="s">
        <v>4177</v>
      </c>
      <c r="T848" s="245">
        <v>41161</v>
      </c>
      <c r="U848" s="231" t="s">
        <v>4179</v>
      </c>
      <c r="Z848" s="231">
        <v>1</v>
      </c>
      <c r="AA848" s="231" t="s">
        <v>4179</v>
      </c>
      <c r="AB848" s="231"/>
      <c r="AC848" s="231"/>
      <c r="AD848" s="231"/>
    </row>
    <row r="849" spans="1:30" x14ac:dyDescent="0.25">
      <c r="A849" s="190">
        <v>664</v>
      </c>
      <c r="B849" s="190" t="s">
        <v>5307</v>
      </c>
      <c r="C849" s="190"/>
      <c r="E849" s="210"/>
      <c r="F849" s="210"/>
      <c r="G849" s="231" t="s">
        <v>3563</v>
      </c>
      <c r="H849" s="231"/>
      <c r="K849" s="402"/>
      <c r="L849" s="402"/>
      <c r="M849" s="402"/>
      <c r="N849" s="367"/>
      <c r="O849" s="367"/>
      <c r="P849" s="367"/>
      <c r="Q849" s="244">
        <v>12</v>
      </c>
      <c r="R849" s="245">
        <v>42248</v>
      </c>
      <c r="S849" s="311" t="s">
        <v>4177</v>
      </c>
      <c r="T849" s="245">
        <v>41161</v>
      </c>
      <c r="U849" s="231" t="s">
        <v>4179</v>
      </c>
      <c r="Z849" s="231">
        <v>1</v>
      </c>
      <c r="AA849" s="231" t="s">
        <v>4179</v>
      </c>
      <c r="AB849" s="231"/>
      <c r="AC849" s="231"/>
      <c r="AD849" s="231"/>
    </row>
    <row r="850" spans="1:30" x14ac:dyDescent="0.25">
      <c r="A850" s="190">
        <v>665</v>
      </c>
      <c r="B850" s="190" t="s">
        <v>5308</v>
      </c>
      <c r="C850" s="190"/>
      <c r="E850" s="210" t="s">
        <v>653</v>
      </c>
      <c r="F850" s="210"/>
      <c r="G850" s="231" t="s">
        <v>3563</v>
      </c>
      <c r="H850" s="231"/>
      <c r="K850" s="402"/>
      <c r="L850" s="402"/>
      <c r="M850" s="402"/>
      <c r="N850" s="367"/>
      <c r="O850" s="367"/>
      <c r="P850" s="367"/>
      <c r="Q850" s="244">
        <v>12</v>
      </c>
      <c r="R850" s="245">
        <v>42248</v>
      </c>
      <c r="S850" s="311" t="s">
        <v>4177</v>
      </c>
      <c r="T850" s="245">
        <v>41161</v>
      </c>
      <c r="U850" s="231" t="s">
        <v>4179</v>
      </c>
      <c r="Z850" s="231">
        <v>1</v>
      </c>
      <c r="AA850" s="231" t="s">
        <v>4179</v>
      </c>
      <c r="AB850" s="231"/>
      <c r="AC850" s="231"/>
      <c r="AD850" s="231"/>
    </row>
    <row r="851" spans="1:30" x14ac:dyDescent="0.25">
      <c r="A851" s="190">
        <v>666</v>
      </c>
      <c r="B851" s="190" t="s">
        <v>4900</v>
      </c>
      <c r="C851" s="190"/>
      <c r="E851" s="210"/>
      <c r="F851" s="210"/>
      <c r="G851" s="231" t="s">
        <v>3563</v>
      </c>
      <c r="H851" s="231"/>
      <c r="K851" s="402"/>
      <c r="L851" s="402"/>
      <c r="M851" s="402"/>
      <c r="N851" s="367"/>
      <c r="O851" s="367"/>
      <c r="P851" s="367"/>
      <c r="Q851" s="244"/>
      <c r="R851" s="245"/>
      <c r="S851" s="311" t="s">
        <v>4192</v>
      </c>
      <c r="T851" s="245"/>
      <c r="U851" s="231" t="s">
        <v>4193</v>
      </c>
      <c r="Z851" s="231">
        <v>2</v>
      </c>
      <c r="AA851" s="231" t="s">
        <v>4179</v>
      </c>
      <c r="AB851" s="231"/>
      <c r="AC851" s="231"/>
      <c r="AD851" s="231"/>
    </row>
    <row r="852" spans="1:30" x14ac:dyDescent="0.25">
      <c r="A852" s="190">
        <v>667</v>
      </c>
      <c r="B852" s="190" t="s">
        <v>4567</v>
      </c>
      <c r="C852" s="190"/>
      <c r="E852" s="210"/>
      <c r="F852" s="210"/>
      <c r="G852" s="231" t="s">
        <v>3563</v>
      </c>
      <c r="H852" s="231"/>
      <c r="K852" s="402"/>
      <c r="L852" s="402"/>
      <c r="M852" s="402"/>
      <c r="N852" s="367"/>
      <c r="O852" s="367"/>
      <c r="P852" s="367"/>
      <c r="Q852" s="244">
        <v>12</v>
      </c>
      <c r="R852" s="245">
        <v>40796</v>
      </c>
      <c r="S852" s="311" t="s">
        <v>4177</v>
      </c>
      <c r="T852" s="245">
        <v>41162</v>
      </c>
      <c r="U852" s="231" t="s">
        <v>4193</v>
      </c>
      <c r="Z852" s="231">
        <v>1</v>
      </c>
      <c r="AA852" s="231" t="s">
        <v>4179</v>
      </c>
      <c r="AB852" s="231"/>
      <c r="AC852" s="231"/>
      <c r="AD852" s="231"/>
    </row>
    <row r="853" spans="1:30" x14ac:dyDescent="0.25">
      <c r="A853" s="190">
        <v>668</v>
      </c>
      <c r="B853" s="329" t="s">
        <v>4900</v>
      </c>
      <c r="C853" s="329"/>
      <c r="E853" s="408"/>
      <c r="F853" s="366"/>
      <c r="G853" s="342" t="s">
        <v>5309</v>
      </c>
      <c r="H853" s="342"/>
      <c r="K853" s="360"/>
      <c r="L853" s="360"/>
      <c r="M853" s="360"/>
      <c r="N853" s="409"/>
      <c r="O853" s="367"/>
      <c r="P853" s="367"/>
      <c r="Q853" s="244">
        <v>12</v>
      </c>
      <c r="R853" s="245">
        <v>40701</v>
      </c>
      <c r="S853" s="311" t="s">
        <v>4192</v>
      </c>
      <c r="T853" s="245">
        <v>41067</v>
      </c>
      <c r="U853" s="231" t="s">
        <v>4193</v>
      </c>
      <c r="Z853" s="231">
        <v>1</v>
      </c>
      <c r="AA853" s="231" t="s">
        <v>4179</v>
      </c>
      <c r="AB853" s="231"/>
      <c r="AC853" s="231"/>
      <c r="AD853" s="231"/>
    </row>
    <row r="854" spans="1:30" x14ac:dyDescent="0.25">
      <c r="A854" s="211">
        <v>669</v>
      </c>
      <c r="B854" s="211" t="s">
        <v>4173</v>
      </c>
      <c r="C854" s="211">
        <v>1</v>
      </c>
      <c r="D854" s="345"/>
      <c r="E854" s="350"/>
      <c r="F854" s="410"/>
      <c r="G854" s="229" t="s">
        <v>5309</v>
      </c>
      <c r="H854" s="229" t="s">
        <v>5310</v>
      </c>
      <c r="I854" s="371"/>
      <c r="K854" s="262" t="s">
        <v>4176</v>
      </c>
      <c r="L854" s="310">
        <v>38128</v>
      </c>
      <c r="M854" s="263">
        <v>41780</v>
      </c>
      <c r="N854" s="411">
        <v>2003</v>
      </c>
      <c r="O854" s="412"/>
      <c r="P854" s="412"/>
      <c r="Q854" s="253">
        <v>12</v>
      </c>
      <c r="R854" s="254">
        <v>41556</v>
      </c>
      <c r="S854" s="311" t="s">
        <v>4177</v>
      </c>
      <c r="T854" s="245">
        <v>41921</v>
      </c>
      <c r="U854" s="231" t="s">
        <v>4178</v>
      </c>
      <c r="Z854" s="231">
        <v>1</v>
      </c>
      <c r="AA854" s="231" t="s">
        <v>4179</v>
      </c>
    </row>
    <row r="855" spans="1:30" x14ac:dyDescent="0.25">
      <c r="A855" s="190">
        <v>670</v>
      </c>
      <c r="B855" s="373" t="s">
        <v>5311</v>
      </c>
      <c r="C855" s="373"/>
      <c r="E855" s="337"/>
      <c r="F855" s="210"/>
      <c r="G855" s="340" t="s">
        <v>5309</v>
      </c>
      <c r="H855" s="340"/>
      <c r="K855" s="360"/>
      <c r="L855" s="360"/>
      <c r="M855" s="360"/>
      <c r="N855" s="413"/>
      <c r="O855" s="367"/>
      <c r="P855" s="367"/>
      <c r="Q855" s="244">
        <v>36</v>
      </c>
      <c r="R855" s="245">
        <v>40817</v>
      </c>
      <c r="S855" s="311" t="s">
        <v>4177</v>
      </c>
      <c r="T855" s="245">
        <v>41913</v>
      </c>
      <c r="U855" s="231" t="s">
        <v>4193</v>
      </c>
      <c r="Z855" s="231">
        <v>1</v>
      </c>
      <c r="AA855" s="231" t="s">
        <v>4179</v>
      </c>
      <c r="AB855" s="231"/>
      <c r="AC855" s="231"/>
      <c r="AD855" s="231"/>
    </row>
    <row r="856" spans="1:30" x14ac:dyDescent="0.25">
      <c r="A856" s="190">
        <v>671</v>
      </c>
      <c r="B856" s="190" t="s">
        <v>5312</v>
      </c>
      <c r="C856" s="190"/>
      <c r="E856" s="210"/>
      <c r="F856" s="210"/>
      <c r="G856" s="231" t="s">
        <v>5309</v>
      </c>
      <c r="H856" s="231"/>
      <c r="K856" s="360"/>
      <c r="L856" s="360"/>
      <c r="M856" s="360"/>
      <c r="N856" s="367"/>
      <c r="O856" s="367"/>
      <c r="P856" s="367"/>
      <c r="Q856" s="244">
        <v>36</v>
      </c>
      <c r="R856" s="245"/>
      <c r="S856" s="311" t="s">
        <v>4177</v>
      </c>
      <c r="T856" s="245"/>
      <c r="U856" s="231" t="s">
        <v>4193</v>
      </c>
      <c r="Z856" s="231">
        <v>1</v>
      </c>
      <c r="AA856" s="231" t="s">
        <v>4179</v>
      </c>
      <c r="AB856" s="231"/>
      <c r="AC856" s="231"/>
      <c r="AD856" s="231"/>
    </row>
    <row r="857" spans="1:30" x14ac:dyDescent="0.25">
      <c r="A857" s="190">
        <v>672</v>
      </c>
      <c r="B857" s="190" t="s">
        <v>5313</v>
      </c>
      <c r="C857" s="190"/>
      <c r="E857" s="366"/>
      <c r="F857" s="366"/>
      <c r="G857" s="231" t="s">
        <v>5309</v>
      </c>
      <c r="H857" s="231"/>
      <c r="K857" s="360"/>
      <c r="L857" s="360"/>
      <c r="M857" s="360"/>
      <c r="N857" s="351"/>
      <c r="O857" s="351"/>
      <c r="P857" s="351"/>
      <c r="Q857" s="244">
        <v>36</v>
      </c>
      <c r="R857" s="245" t="s">
        <v>4972</v>
      </c>
      <c r="S857" s="311" t="s">
        <v>4177</v>
      </c>
      <c r="T857" s="245">
        <v>41191</v>
      </c>
      <c r="U857" s="231" t="s">
        <v>4193</v>
      </c>
      <c r="Z857" s="231">
        <v>1</v>
      </c>
      <c r="AA857" s="231" t="s">
        <v>4179</v>
      </c>
      <c r="AB857" s="231"/>
      <c r="AC857" s="231"/>
      <c r="AD857" s="231"/>
    </row>
    <row r="858" spans="1:30" x14ac:dyDescent="0.25">
      <c r="A858" s="190">
        <v>673</v>
      </c>
      <c r="B858" s="190" t="s">
        <v>4566</v>
      </c>
      <c r="C858" s="190"/>
      <c r="E858" s="210"/>
      <c r="F858" s="210"/>
      <c r="G858" s="231" t="s">
        <v>5309</v>
      </c>
      <c r="H858" s="231"/>
      <c r="K858" s="402"/>
      <c r="L858" s="402"/>
      <c r="M858" s="402"/>
      <c r="N858" s="367"/>
      <c r="O858" s="367"/>
      <c r="P858" s="367"/>
      <c r="Q858" s="244">
        <v>12</v>
      </c>
      <c r="R858" s="245">
        <v>40694</v>
      </c>
      <c r="S858" s="311" t="s">
        <v>4177</v>
      </c>
      <c r="T858" s="245">
        <v>41060</v>
      </c>
      <c r="U858" s="231" t="s">
        <v>4193</v>
      </c>
      <c r="Z858" s="231">
        <v>1</v>
      </c>
      <c r="AA858" s="231" t="s">
        <v>4179</v>
      </c>
      <c r="AB858" s="231"/>
      <c r="AC858" s="231"/>
      <c r="AD858" s="231"/>
    </row>
    <row r="859" spans="1:30" x14ac:dyDescent="0.25">
      <c r="A859" s="190">
        <v>674</v>
      </c>
      <c r="B859" s="190" t="s">
        <v>4567</v>
      </c>
      <c r="C859" s="190"/>
      <c r="E859" s="210"/>
      <c r="F859" s="210"/>
      <c r="G859" s="231" t="s">
        <v>5309</v>
      </c>
      <c r="H859" s="231"/>
      <c r="K859" s="360"/>
      <c r="L859" s="360"/>
      <c r="M859" s="360"/>
      <c r="N859" s="367"/>
      <c r="O859" s="367"/>
      <c r="P859" s="367"/>
      <c r="Q859" s="244">
        <v>12</v>
      </c>
      <c r="R859" s="245">
        <v>40694</v>
      </c>
      <c r="S859" s="311" t="s">
        <v>4177</v>
      </c>
      <c r="T859" s="245">
        <v>41060</v>
      </c>
      <c r="U859" s="231" t="s">
        <v>4193</v>
      </c>
      <c r="Z859" s="231">
        <v>1</v>
      </c>
      <c r="AA859" s="231" t="s">
        <v>4179</v>
      </c>
      <c r="AB859" s="231"/>
      <c r="AC859" s="231"/>
      <c r="AD859" s="231"/>
    </row>
    <row r="860" spans="1:30" x14ac:dyDescent="0.25">
      <c r="A860" s="190">
        <v>675</v>
      </c>
      <c r="B860" s="190" t="s">
        <v>4181</v>
      </c>
      <c r="C860" s="190"/>
      <c r="E860" s="209" t="s">
        <v>2897</v>
      </c>
      <c r="F860" s="209"/>
      <c r="G860" s="231" t="s">
        <v>5309</v>
      </c>
      <c r="H860" s="231" t="s">
        <v>4270</v>
      </c>
      <c r="K860" s="360"/>
      <c r="L860" s="360"/>
      <c r="M860" s="360"/>
      <c r="N860" s="242"/>
      <c r="Q860" s="244">
        <v>12</v>
      </c>
      <c r="R860" s="245">
        <v>42248</v>
      </c>
      <c r="S860" s="311" t="s">
        <v>4177</v>
      </c>
      <c r="T860" s="245">
        <v>41187</v>
      </c>
      <c r="U860" s="231" t="s">
        <v>4179</v>
      </c>
      <c r="Z860" s="231">
        <v>1</v>
      </c>
      <c r="AA860" s="231" t="s">
        <v>4179</v>
      </c>
      <c r="AB860" s="231"/>
      <c r="AC860" s="231"/>
      <c r="AD860" s="231"/>
    </row>
    <row r="861" spans="1:30" x14ac:dyDescent="0.25">
      <c r="A861" s="190">
        <v>676</v>
      </c>
      <c r="B861" s="329" t="s">
        <v>4184</v>
      </c>
      <c r="C861" s="329"/>
      <c r="E861" s="330" t="s">
        <v>2869</v>
      </c>
      <c r="F861" s="209"/>
      <c r="G861" s="342" t="s">
        <v>5309</v>
      </c>
      <c r="H861" s="342" t="s">
        <v>4458</v>
      </c>
      <c r="K861" s="402"/>
      <c r="L861" s="402"/>
      <c r="M861" s="402"/>
      <c r="N861" s="333"/>
      <c r="Q861" s="244">
        <v>12</v>
      </c>
      <c r="R861" s="245">
        <v>42248</v>
      </c>
      <c r="S861" s="311" t="s">
        <v>4177</v>
      </c>
      <c r="T861" s="245">
        <v>41187</v>
      </c>
      <c r="U861" s="231" t="s">
        <v>4179</v>
      </c>
      <c r="Z861" s="231">
        <v>1</v>
      </c>
      <c r="AA861" s="231" t="s">
        <v>4179</v>
      </c>
      <c r="AB861" s="231"/>
      <c r="AC861" s="231"/>
      <c r="AD861" s="231"/>
    </row>
    <row r="862" spans="1:30" x14ac:dyDescent="0.25">
      <c r="A862" s="211">
        <v>677</v>
      </c>
      <c r="B862" s="211" t="s">
        <v>5314</v>
      </c>
      <c r="C862" s="211">
        <v>1</v>
      </c>
      <c r="D862" s="414" t="s">
        <v>5315</v>
      </c>
      <c r="F862" s="345"/>
      <c r="G862" s="229" t="s">
        <v>5309</v>
      </c>
      <c r="H862" s="229" t="s">
        <v>4304</v>
      </c>
      <c r="I862" s="415"/>
      <c r="K862" s="360" t="s">
        <v>5316</v>
      </c>
      <c r="L862" s="368">
        <v>38568</v>
      </c>
      <c r="M862" s="368">
        <v>42220</v>
      </c>
      <c r="N862" s="255"/>
      <c r="O862" s="372"/>
      <c r="P862" s="372"/>
      <c r="Q862" s="253">
        <v>12</v>
      </c>
      <c r="R862" s="254">
        <v>40820</v>
      </c>
      <c r="S862" s="311" t="s">
        <v>4177</v>
      </c>
      <c r="T862" s="245">
        <v>41186</v>
      </c>
      <c r="U862" s="231" t="s">
        <v>4178</v>
      </c>
      <c r="Z862" s="231">
        <v>1</v>
      </c>
      <c r="AA862" s="231" t="s">
        <v>4179</v>
      </c>
    </row>
    <row r="863" spans="1:30" x14ac:dyDescent="0.25">
      <c r="A863" s="190">
        <v>678</v>
      </c>
      <c r="B863" s="373" t="s">
        <v>5317</v>
      </c>
      <c r="C863" s="373"/>
      <c r="E863" s="337"/>
      <c r="F863" s="210"/>
      <c r="G863" s="340" t="s">
        <v>5309</v>
      </c>
      <c r="H863" s="340"/>
      <c r="K863" s="402"/>
      <c r="L863" s="402"/>
      <c r="M863" s="402"/>
      <c r="N863" s="413"/>
      <c r="O863" s="367"/>
      <c r="P863" s="367"/>
      <c r="Q863" s="244"/>
      <c r="R863" s="245"/>
      <c r="T863" s="245"/>
      <c r="U863" s="231" t="s">
        <v>4178</v>
      </c>
      <c r="Z863" s="231">
        <v>1</v>
      </c>
      <c r="AA863" s="231" t="s">
        <v>4179</v>
      </c>
      <c r="AB863" s="231"/>
      <c r="AC863" s="231"/>
      <c r="AD863" s="231"/>
    </row>
    <row r="864" spans="1:30" x14ac:dyDescent="0.25">
      <c r="A864" s="190">
        <v>679</v>
      </c>
      <c r="B864" s="190" t="s">
        <v>5318</v>
      </c>
      <c r="C864" s="190"/>
      <c r="E864" s="210"/>
      <c r="F864" s="210"/>
      <c r="G864" s="231" t="s">
        <v>5309</v>
      </c>
      <c r="H864" s="231"/>
      <c r="K864" s="360"/>
      <c r="L864" s="360"/>
      <c r="M864" s="360"/>
      <c r="N864" s="367"/>
      <c r="O864" s="367"/>
      <c r="P864" s="367"/>
      <c r="Q864" s="244">
        <v>12</v>
      </c>
      <c r="R864" s="245">
        <v>40820</v>
      </c>
      <c r="S864" s="311" t="s">
        <v>4177</v>
      </c>
      <c r="T864" s="245">
        <v>41186</v>
      </c>
      <c r="U864" s="231" t="s">
        <v>4179</v>
      </c>
      <c r="Z864" s="231">
        <v>1</v>
      </c>
      <c r="AA864" s="231" t="s">
        <v>4179</v>
      </c>
      <c r="AB864" s="231"/>
      <c r="AC864" s="231"/>
      <c r="AD864" s="231"/>
    </row>
    <row r="865" spans="1:30" x14ac:dyDescent="0.25">
      <c r="B865" s="416" t="s">
        <v>5319</v>
      </c>
      <c r="C865" s="416">
        <v>3</v>
      </c>
      <c r="D865" s="417">
        <v>8103930</v>
      </c>
      <c r="F865" s="209"/>
      <c r="G865" s="229" t="s">
        <v>5309</v>
      </c>
      <c r="H865" s="229" t="s">
        <v>4304</v>
      </c>
      <c r="I865" s="418"/>
      <c r="J865" s="242"/>
      <c r="K865" s="209"/>
      <c r="L865" s="209"/>
      <c r="M865" s="209"/>
      <c r="N865" s="292"/>
      <c r="O865" s="209"/>
      <c r="P865" s="209"/>
      <c r="Q865" s="229"/>
      <c r="R865" s="229"/>
      <c r="S865" s="244"/>
      <c r="T865" s="245"/>
      <c r="U865" s="311"/>
      <c r="V865" s="190"/>
    </row>
    <row r="866" spans="1:30" x14ac:dyDescent="0.25">
      <c r="A866" s="190"/>
      <c r="B866" s="419" t="s">
        <v>5320</v>
      </c>
      <c r="C866" s="419"/>
      <c r="D866" s="417">
        <v>4700280</v>
      </c>
      <c r="E866" s="330"/>
      <c r="F866" s="209"/>
      <c r="G866" s="342" t="s">
        <v>5309</v>
      </c>
      <c r="H866" s="333"/>
      <c r="I866" s="418"/>
      <c r="J866" s="242"/>
      <c r="K866" s="262" t="s">
        <v>5091</v>
      </c>
      <c r="L866" s="209" t="s">
        <v>5321</v>
      </c>
      <c r="M866" s="209" t="s">
        <v>5322</v>
      </c>
      <c r="N866" s="330"/>
      <c r="O866" s="209"/>
      <c r="P866" s="209"/>
      <c r="Q866" s="231"/>
      <c r="R866" s="231"/>
      <c r="S866" s="244"/>
      <c r="T866" s="245"/>
      <c r="U866" s="311"/>
      <c r="V866" s="190"/>
      <c r="AB866" s="231"/>
      <c r="AC866" s="231"/>
      <c r="AD866" s="231"/>
    </row>
    <row r="867" spans="1:30" x14ac:dyDescent="0.25">
      <c r="B867" s="194" t="s">
        <v>5323</v>
      </c>
      <c r="C867" s="194" t="s">
        <v>3778</v>
      </c>
      <c r="D867" s="414">
        <v>4101991</v>
      </c>
      <c r="E867" s="292" t="s">
        <v>5324</v>
      </c>
      <c r="F867" s="345"/>
      <c r="G867" s="229" t="s">
        <v>5309</v>
      </c>
      <c r="H867" s="229" t="s">
        <v>4304</v>
      </c>
      <c r="I867" s="169"/>
      <c r="J867" s="242"/>
      <c r="K867" s="262" t="s">
        <v>3971</v>
      </c>
      <c r="L867" s="263">
        <v>40525</v>
      </c>
      <c r="M867" s="231" t="s">
        <v>3958</v>
      </c>
      <c r="N867" s="292"/>
      <c r="O867" s="345"/>
      <c r="P867" s="345"/>
      <c r="Q867" s="229"/>
      <c r="R867" s="229"/>
      <c r="S867" s="244"/>
      <c r="T867" s="245"/>
      <c r="U867" s="311"/>
      <c r="V867" s="190"/>
    </row>
    <row r="868" spans="1:30" x14ac:dyDescent="0.25">
      <c r="B868" s="420" t="s">
        <v>5325</v>
      </c>
      <c r="C868" s="420">
        <v>3</v>
      </c>
      <c r="D868" s="417">
        <v>4700015</v>
      </c>
      <c r="E868" s="394"/>
      <c r="F868" s="209"/>
      <c r="G868" s="395" t="s">
        <v>5309</v>
      </c>
      <c r="H868" s="395" t="s">
        <v>4304</v>
      </c>
      <c r="I868" s="418"/>
      <c r="J868" s="242"/>
      <c r="K868" s="209"/>
      <c r="L868" s="209"/>
      <c r="M868" s="209"/>
      <c r="N868" s="394"/>
      <c r="O868" s="209"/>
      <c r="P868" s="209"/>
      <c r="Q868" s="229"/>
      <c r="R868" s="229"/>
      <c r="S868" s="244"/>
      <c r="T868" s="245"/>
      <c r="U868" s="311"/>
      <c r="V868" s="190"/>
    </row>
    <row r="869" spans="1:30" x14ac:dyDescent="0.25">
      <c r="B869" s="416" t="s">
        <v>5326</v>
      </c>
      <c r="C869" s="416">
        <v>3</v>
      </c>
      <c r="D869" s="417">
        <v>1370643</v>
      </c>
      <c r="F869" s="209"/>
      <c r="G869" s="229" t="s">
        <v>5309</v>
      </c>
      <c r="H869" s="255" t="s">
        <v>5310</v>
      </c>
      <c r="I869" s="418"/>
      <c r="J869" s="242"/>
      <c r="K869" s="209"/>
      <c r="L869" s="209"/>
      <c r="M869" s="209"/>
      <c r="N869" s="292"/>
      <c r="O869" s="209"/>
      <c r="P869" s="209"/>
      <c r="Q869" s="229"/>
      <c r="R869" s="229"/>
      <c r="S869" s="244"/>
      <c r="T869" s="245"/>
      <c r="U869" s="311"/>
      <c r="V869" s="190"/>
    </row>
    <row r="870" spans="1:30" x14ac:dyDescent="0.25">
      <c r="B870" s="416" t="s">
        <v>5327</v>
      </c>
      <c r="C870" s="416">
        <v>3</v>
      </c>
      <c r="D870" s="417">
        <v>4700189</v>
      </c>
      <c r="F870" s="209"/>
      <c r="G870" s="229" t="s">
        <v>5309</v>
      </c>
      <c r="H870" s="229" t="s">
        <v>4304</v>
      </c>
      <c r="I870" s="418"/>
      <c r="J870" s="242"/>
      <c r="K870" s="209"/>
      <c r="L870" s="209"/>
      <c r="M870" s="209"/>
      <c r="N870" s="292"/>
      <c r="O870" s="209"/>
      <c r="P870" s="209"/>
      <c r="Q870" s="229"/>
      <c r="R870" s="229"/>
      <c r="S870" s="244"/>
      <c r="T870" s="245"/>
      <c r="U870" s="311"/>
      <c r="V870" s="190"/>
    </row>
    <row r="871" spans="1:30" x14ac:dyDescent="0.25">
      <c r="B871" s="416" t="s">
        <v>5328</v>
      </c>
      <c r="C871" s="416">
        <v>3</v>
      </c>
      <c r="D871" s="417">
        <v>8104249</v>
      </c>
      <c r="F871" s="209"/>
      <c r="G871" s="229" t="s">
        <v>5309</v>
      </c>
      <c r="H871" s="255" t="s">
        <v>5310</v>
      </c>
      <c r="I871" s="418"/>
      <c r="J871" s="242"/>
      <c r="K871" s="209"/>
      <c r="L871" s="209"/>
      <c r="M871" s="209"/>
      <c r="N871" s="292"/>
      <c r="O871" s="209"/>
      <c r="P871" s="209"/>
      <c r="Q871" s="229"/>
      <c r="R871" s="229"/>
      <c r="S871" s="244"/>
      <c r="T871" s="245"/>
      <c r="U871" s="311"/>
      <c r="V871" s="190"/>
    </row>
    <row r="872" spans="1:30" x14ac:dyDescent="0.25">
      <c r="B872" s="416" t="s">
        <v>5329</v>
      </c>
      <c r="C872" s="416">
        <v>3</v>
      </c>
      <c r="D872" s="417" t="s">
        <v>5330</v>
      </c>
      <c r="F872" s="209"/>
      <c r="G872" s="229" t="s">
        <v>5309</v>
      </c>
      <c r="H872" s="229" t="s">
        <v>4304</v>
      </c>
      <c r="I872" s="418"/>
      <c r="J872" s="242"/>
      <c r="K872" s="209"/>
      <c r="L872" s="209"/>
      <c r="M872" s="209"/>
      <c r="N872" s="292"/>
      <c r="O872" s="209"/>
      <c r="P872" s="209"/>
      <c r="Q872" s="229"/>
      <c r="R872" s="229"/>
      <c r="S872" s="244"/>
      <c r="T872" s="245"/>
      <c r="U872" s="311"/>
      <c r="V872" s="190"/>
    </row>
    <row r="873" spans="1:30" x14ac:dyDescent="0.25">
      <c r="B873" s="416" t="s">
        <v>5331</v>
      </c>
      <c r="C873" s="416">
        <v>3</v>
      </c>
      <c r="D873" s="417" t="s">
        <v>5332</v>
      </c>
      <c r="F873" s="209"/>
      <c r="G873" s="229" t="s">
        <v>5309</v>
      </c>
      <c r="H873" s="255" t="s">
        <v>5310</v>
      </c>
      <c r="I873" s="418"/>
      <c r="J873" s="242"/>
      <c r="K873" s="209"/>
      <c r="L873" s="209"/>
      <c r="M873" s="209"/>
      <c r="N873" s="292"/>
      <c r="O873" s="209"/>
      <c r="P873" s="209"/>
      <c r="Q873" s="229"/>
      <c r="R873" s="229"/>
      <c r="S873" s="244"/>
      <c r="T873" s="245"/>
      <c r="U873" s="311"/>
      <c r="V873" s="190"/>
    </row>
    <row r="874" spans="1:30" x14ac:dyDescent="0.25">
      <c r="A874" s="190"/>
      <c r="B874" s="418" t="s">
        <v>5333</v>
      </c>
      <c r="C874" s="418"/>
      <c r="D874" s="417" t="s">
        <v>2764</v>
      </c>
      <c r="E874" s="209"/>
      <c r="F874" s="209"/>
      <c r="G874" s="231" t="s">
        <v>5309</v>
      </c>
      <c r="H874" s="242"/>
      <c r="I874" s="418"/>
      <c r="J874" s="242"/>
      <c r="K874" s="209"/>
      <c r="L874" s="209"/>
      <c r="M874" s="209"/>
      <c r="N874" s="209"/>
      <c r="O874" s="209"/>
      <c r="P874" s="209"/>
      <c r="Q874" s="231"/>
      <c r="R874" s="231"/>
      <c r="S874" s="244"/>
      <c r="T874" s="245"/>
      <c r="U874" s="311"/>
      <c r="V874" s="190"/>
      <c r="AB874" s="231"/>
      <c r="AC874" s="231"/>
      <c r="AD874" s="231"/>
    </row>
    <row r="875" spans="1:30" x14ac:dyDescent="0.25">
      <c r="A875" s="190"/>
      <c r="B875" s="418" t="s">
        <v>5334</v>
      </c>
      <c r="C875" s="418"/>
      <c r="D875" s="417">
        <v>4700165</v>
      </c>
      <c r="E875" s="209"/>
      <c r="F875" s="209"/>
      <c r="G875" s="231" t="s">
        <v>5309</v>
      </c>
      <c r="H875" s="242"/>
      <c r="I875" s="418"/>
      <c r="J875" s="242"/>
      <c r="K875" s="209"/>
      <c r="L875" s="209"/>
      <c r="M875" s="209"/>
      <c r="N875" s="209"/>
      <c r="O875" s="209"/>
      <c r="P875" s="209"/>
      <c r="Q875" s="231"/>
      <c r="R875" s="231"/>
      <c r="S875" s="244"/>
      <c r="T875" s="245"/>
      <c r="U875" s="311"/>
      <c r="V875" s="190"/>
      <c r="AB875" s="231"/>
      <c r="AC875" s="231"/>
      <c r="AD875" s="231"/>
    </row>
    <row r="876" spans="1:30" x14ac:dyDescent="0.25">
      <c r="A876" s="190"/>
      <c r="B876" s="418" t="s">
        <v>5335</v>
      </c>
      <c r="C876" s="418"/>
      <c r="D876" s="417">
        <v>8103933</v>
      </c>
      <c r="E876" s="209"/>
      <c r="F876" s="209"/>
      <c r="G876" s="231" t="s">
        <v>5309</v>
      </c>
      <c r="H876" s="242"/>
      <c r="I876" s="418"/>
      <c r="J876" s="242"/>
      <c r="K876" s="209"/>
      <c r="L876" s="209"/>
      <c r="M876" s="209"/>
      <c r="N876" s="209"/>
      <c r="O876" s="209"/>
      <c r="P876" s="209"/>
      <c r="Q876" s="231"/>
      <c r="R876" s="231"/>
      <c r="S876" s="244"/>
      <c r="T876" s="245"/>
      <c r="U876" s="311"/>
      <c r="V876" s="190"/>
      <c r="AB876" s="231"/>
      <c r="AC876" s="231"/>
      <c r="AD876" s="231"/>
    </row>
    <row r="877" spans="1:30" x14ac:dyDescent="0.25">
      <c r="A877" s="190"/>
      <c r="B877" s="418" t="s">
        <v>5335</v>
      </c>
      <c r="C877" s="418"/>
      <c r="D877" s="417">
        <v>8103934</v>
      </c>
      <c r="E877" s="209"/>
      <c r="F877" s="209"/>
      <c r="G877" s="231" t="s">
        <v>5309</v>
      </c>
      <c r="H877" s="242"/>
      <c r="I877" s="418"/>
      <c r="J877" s="242"/>
      <c r="K877" s="209"/>
      <c r="L877" s="209"/>
      <c r="M877" s="209"/>
      <c r="N877" s="209"/>
      <c r="O877" s="209"/>
      <c r="P877" s="209"/>
      <c r="Q877" s="231"/>
      <c r="R877" s="231"/>
      <c r="S877" s="244"/>
      <c r="T877" s="245"/>
      <c r="U877" s="311"/>
      <c r="V877" s="190"/>
      <c r="AB877" s="231"/>
      <c r="AC877" s="231"/>
      <c r="AD877" s="231"/>
    </row>
    <row r="878" spans="1:30" x14ac:dyDescent="0.25">
      <c r="A878" s="190"/>
      <c r="B878" s="418" t="s">
        <v>5335</v>
      </c>
      <c r="C878" s="418"/>
      <c r="D878" s="417">
        <v>8103939</v>
      </c>
      <c r="E878" s="209"/>
      <c r="F878" s="209"/>
      <c r="G878" s="231" t="s">
        <v>5309</v>
      </c>
      <c r="H878" s="242"/>
      <c r="I878" s="418"/>
      <c r="J878" s="242"/>
      <c r="K878" s="209"/>
      <c r="L878" s="209"/>
      <c r="M878" s="209"/>
      <c r="N878" s="209"/>
      <c r="O878" s="209"/>
      <c r="P878" s="209"/>
      <c r="Q878" s="231"/>
      <c r="R878" s="231"/>
      <c r="S878" s="244"/>
      <c r="T878" s="245"/>
      <c r="U878" s="311"/>
      <c r="V878" s="190"/>
      <c r="AB878" s="231"/>
      <c r="AC878" s="231"/>
      <c r="AD878" s="231"/>
    </row>
    <row r="879" spans="1:30" x14ac:dyDescent="0.25">
      <c r="A879" s="190"/>
      <c r="B879" s="418" t="s">
        <v>5336</v>
      </c>
      <c r="C879" s="418"/>
      <c r="D879" s="417">
        <v>4700163</v>
      </c>
      <c r="E879" s="209"/>
      <c r="F879" s="209"/>
      <c r="G879" s="231" t="s">
        <v>5309</v>
      </c>
      <c r="H879" s="242"/>
      <c r="I879" s="418"/>
      <c r="J879" s="242"/>
      <c r="K879" s="209"/>
      <c r="L879" s="209"/>
      <c r="M879" s="209"/>
      <c r="N879" s="209"/>
      <c r="O879" s="209"/>
      <c r="P879" s="209"/>
      <c r="Q879" s="231"/>
      <c r="R879" s="231"/>
      <c r="S879" s="244"/>
      <c r="T879" s="245"/>
      <c r="U879" s="311"/>
      <c r="V879" s="190"/>
      <c r="AB879" s="231"/>
      <c r="AC879" s="231"/>
      <c r="AD879" s="231"/>
    </row>
    <row r="880" spans="1:30" x14ac:dyDescent="0.25">
      <c r="B880" s="416" t="s">
        <v>5337</v>
      </c>
      <c r="C880" s="416">
        <v>3</v>
      </c>
      <c r="D880" s="417">
        <v>4700016</v>
      </c>
      <c r="F880" s="209"/>
      <c r="G880" s="229" t="s">
        <v>5309</v>
      </c>
      <c r="H880" s="255" t="s">
        <v>4304</v>
      </c>
      <c r="I880" s="418"/>
      <c r="J880" s="242"/>
      <c r="K880" s="209" t="s">
        <v>5338</v>
      </c>
      <c r="L880" s="209" t="s">
        <v>5339</v>
      </c>
      <c r="M880" s="209" t="s">
        <v>5340</v>
      </c>
      <c r="N880" s="292"/>
      <c r="O880" s="209"/>
      <c r="P880" s="209"/>
      <c r="Q880" s="229"/>
      <c r="R880" s="229"/>
      <c r="S880" s="244"/>
      <c r="T880" s="245"/>
      <c r="U880" s="311"/>
      <c r="V880" s="190"/>
    </row>
    <row r="881" spans="1:30" x14ac:dyDescent="0.25">
      <c r="A881" s="190"/>
      <c r="B881" s="419" t="s">
        <v>5341</v>
      </c>
      <c r="C881" s="419"/>
      <c r="D881" s="417">
        <v>1370670</v>
      </c>
      <c r="E881" s="330"/>
      <c r="F881" s="209"/>
      <c r="G881" s="342" t="s">
        <v>5309</v>
      </c>
      <c r="H881" s="333"/>
      <c r="I881" s="418"/>
      <c r="J881" s="242"/>
      <c r="K881" s="209"/>
      <c r="L881" s="209"/>
      <c r="M881" s="209"/>
      <c r="N881" s="330"/>
      <c r="O881" s="209"/>
      <c r="P881" s="209"/>
      <c r="Q881" s="231"/>
      <c r="R881" s="231"/>
      <c r="S881" s="244"/>
      <c r="T881" s="245"/>
      <c r="U881" s="311"/>
      <c r="V881" s="190"/>
      <c r="AB881" s="231"/>
      <c r="AC881" s="231"/>
      <c r="AD881" s="231"/>
    </row>
    <row r="882" spans="1:30" x14ac:dyDescent="0.25">
      <c r="B882" s="211" t="s">
        <v>4939</v>
      </c>
      <c r="C882" s="211">
        <v>1</v>
      </c>
      <c r="D882" s="414" t="s">
        <v>5342</v>
      </c>
      <c r="E882" s="292" t="s">
        <v>5343</v>
      </c>
      <c r="F882" s="345"/>
      <c r="G882" s="229" t="s">
        <v>5309</v>
      </c>
      <c r="H882" s="255" t="s">
        <v>4304</v>
      </c>
      <c r="I882" s="415"/>
      <c r="J882" s="242"/>
      <c r="K882" s="262" t="s">
        <v>3980</v>
      </c>
      <c r="L882" s="263">
        <v>38051</v>
      </c>
      <c r="M882" s="263">
        <v>41703</v>
      </c>
      <c r="N882" s="292" t="s">
        <v>79</v>
      </c>
      <c r="O882" s="345"/>
      <c r="P882" s="345"/>
      <c r="Q882" s="229"/>
      <c r="R882" s="229"/>
      <c r="S882" s="244"/>
      <c r="T882" s="245"/>
      <c r="U882" s="311"/>
      <c r="V882" s="190"/>
    </row>
    <row r="883" spans="1:30" x14ac:dyDescent="0.25">
      <c r="A883" s="190"/>
      <c r="B883" s="421" t="s">
        <v>5344</v>
      </c>
      <c r="C883" s="421"/>
      <c r="D883" s="417">
        <v>3101022</v>
      </c>
      <c r="E883" s="344"/>
      <c r="F883" s="209"/>
      <c r="G883" s="340" t="s">
        <v>5309</v>
      </c>
      <c r="H883" s="307"/>
      <c r="I883" s="418"/>
      <c r="J883" s="242"/>
      <c r="K883" s="209"/>
      <c r="L883" s="209"/>
      <c r="M883" s="209"/>
      <c r="N883" s="344"/>
      <c r="O883" s="209"/>
      <c r="P883" s="209"/>
      <c r="Q883" s="231"/>
      <c r="R883" s="231"/>
      <c r="S883" s="244"/>
      <c r="T883" s="245"/>
      <c r="U883" s="311"/>
      <c r="V883" s="190"/>
      <c r="AB883" s="231"/>
      <c r="AC883" s="231"/>
      <c r="AD883" s="231"/>
    </row>
    <row r="884" spans="1:30" x14ac:dyDescent="0.25">
      <c r="A884" s="190"/>
      <c r="B884" s="314" t="s">
        <v>4286</v>
      </c>
      <c r="C884" s="422"/>
      <c r="D884" s="417" t="s">
        <v>1853</v>
      </c>
      <c r="E884" s="209"/>
      <c r="F884" s="209"/>
      <c r="G884" s="231" t="s">
        <v>5309</v>
      </c>
      <c r="H884" s="242"/>
      <c r="I884" s="422"/>
      <c r="J884" s="242"/>
      <c r="K884" s="262" t="s">
        <v>3996</v>
      </c>
      <c r="L884" s="263">
        <v>40319</v>
      </c>
      <c r="M884" s="263" t="s">
        <v>3958</v>
      </c>
      <c r="N884" s="209"/>
      <c r="O884" s="209"/>
      <c r="P884" s="209"/>
      <c r="Q884" s="231"/>
      <c r="R884" s="231"/>
      <c r="S884" s="244"/>
      <c r="T884" s="245"/>
      <c r="U884" s="311"/>
      <c r="V884" s="190"/>
      <c r="AB884" s="231"/>
      <c r="AC884" s="231"/>
      <c r="AD884" s="231"/>
    </row>
    <row r="885" spans="1:30" x14ac:dyDescent="0.25">
      <c r="A885" s="190"/>
      <c r="B885" s="418" t="s">
        <v>5345</v>
      </c>
      <c r="C885" s="418"/>
      <c r="D885" s="417" t="s">
        <v>5346</v>
      </c>
      <c r="E885" s="209"/>
      <c r="F885" s="346"/>
      <c r="G885" s="231" t="s">
        <v>5309</v>
      </c>
      <c r="H885" s="242"/>
      <c r="I885" s="418"/>
      <c r="J885" s="242"/>
      <c r="K885" s="295" t="s">
        <v>4690</v>
      </c>
      <c r="L885" s="368">
        <v>37866</v>
      </c>
      <c r="M885" s="368">
        <v>41001</v>
      </c>
      <c r="N885" s="209"/>
      <c r="O885" s="209"/>
      <c r="P885" s="209"/>
      <c r="Q885" s="231"/>
      <c r="R885" s="231"/>
      <c r="S885" s="244"/>
      <c r="T885" s="245"/>
      <c r="U885" s="311"/>
      <c r="V885" s="190"/>
      <c r="AB885" s="231"/>
      <c r="AC885" s="231"/>
      <c r="AD885" s="231"/>
    </row>
    <row r="886" spans="1:30" x14ac:dyDescent="0.25">
      <c r="A886" s="190"/>
      <c r="B886" s="418" t="s">
        <v>5345</v>
      </c>
      <c r="C886" s="418"/>
      <c r="D886" s="417" t="s">
        <v>5347</v>
      </c>
      <c r="E886" s="209"/>
      <c r="F886" s="346"/>
      <c r="G886" s="231" t="s">
        <v>5309</v>
      </c>
      <c r="H886" s="242"/>
      <c r="I886" s="418"/>
      <c r="J886" s="242"/>
      <c r="K886" s="295" t="s">
        <v>4690</v>
      </c>
      <c r="L886" s="368">
        <v>37866</v>
      </c>
      <c r="M886" s="368">
        <v>41001</v>
      </c>
      <c r="N886" s="209"/>
      <c r="O886" s="209"/>
      <c r="P886" s="209"/>
      <c r="Q886" s="231"/>
      <c r="R886" s="231"/>
      <c r="S886" s="244"/>
      <c r="T886" s="245"/>
      <c r="U886" s="311"/>
      <c r="V886" s="190"/>
      <c r="AB886" s="231"/>
      <c r="AC886" s="231"/>
      <c r="AD886" s="231"/>
    </row>
    <row r="887" spans="1:30" x14ac:dyDescent="0.25">
      <c r="A887" s="190"/>
      <c r="B887" s="418" t="s">
        <v>5345</v>
      </c>
      <c r="C887" s="418"/>
      <c r="D887" s="417" t="s">
        <v>5348</v>
      </c>
      <c r="E887" s="209"/>
      <c r="F887" s="346"/>
      <c r="G887" s="231" t="s">
        <v>5309</v>
      </c>
      <c r="H887" s="242"/>
      <c r="I887" s="418"/>
      <c r="J887" s="242"/>
      <c r="K887" s="295" t="s">
        <v>4690</v>
      </c>
      <c r="L887" s="368">
        <v>37866</v>
      </c>
      <c r="M887" s="368">
        <v>41001</v>
      </c>
      <c r="N887" s="209"/>
      <c r="O887" s="209"/>
      <c r="P887" s="209"/>
      <c r="Q887" s="231"/>
      <c r="R887" s="231"/>
      <c r="S887" s="244"/>
      <c r="T887" s="245"/>
      <c r="U887" s="311"/>
      <c r="V887" s="190"/>
      <c r="AB887" s="231"/>
      <c r="AC887" s="231"/>
      <c r="AD887" s="231"/>
    </row>
    <row r="888" spans="1:30" x14ac:dyDescent="0.25">
      <c r="A888" s="190"/>
      <c r="B888" s="418" t="s">
        <v>5345</v>
      </c>
      <c r="C888" s="418"/>
      <c r="D888" s="417" t="s">
        <v>5349</v>
      </c>
      <c r="E888" s="209"/>
      <c r="F888" s="346"/>
      <c r="G888" s="231" t="s">
        <v>5309</v>
      </c>
      <c r="H888" s="242"/>
      <c r="I888" s="418"/>
      <c r="J888" s="242"/>
      <c r="K888" s="295" t="s">
        <v>4690</v>
      </c>
      <c r="L888" s="368">
        <v>37866</v>
      </c>
      <c r="M888" s="368">
        <v>41001</v>
      </c>
      <c r="N888" s="209"/>
      <c r="O888" s="209"/>
      <c r="P888" s="209"/>
      <c r="Q888" s="231"/>
      <c r="R888" s="231"/>
      <c r="S888" s="244"/>
      <c r="T888" s="245"/>
      <c r="U888" s="311"/>
      <c r="V888" s="190"/>
      <c r="AB888" s="231"/>
      <c r="AC888" s="231"/>
      <c r="AD888" s="231"/>
    </row>
    <row r="889" spans="1:30" x14ac:dyDescent="0.25">
      <c r="A889" s="190"/>
      <c r="B889" s="314" t="s">
        <v>4286</v>
      </c>
      <c r="C889" s="422"/>
      <c r="D889" s="417" t="s">
        <v>5350</v>
      </c>
      <c r="E889" s="209"/>
      <c r="F889" s="209"/>
      <c r="G889" s="231" t="s">
        <v>5309</v>
      </c>
      <c r="H889" s="242"/>
      <c r="I889" s="422"/>
      <c r="J889" s="242"/>
      <c r="K889" s="262" t="s">
        <v>3996</v>
      </c>
      <c r="L889" s="263">
        <v>40319</v>
      </c>
      <c r="M889" s="263" t="s">
        <v>3958</v>
      </c>
      <c r="N889" s="209"/>
      <c r="O889" s="209"/>
      <c r="P889" s="209"/>
      <c r="Q889" s="231"/>
      <c r="R889" s="231"/>
      <c r="S889" s="244"/>
      <c r="T889" s="245"/>
      <c r="U889" s="311"/>
      <c r="V889" s="190"/>
      <c r="AB889" s="231"/>
      <c r="AC889" s="231"/>
      <c r="AD889" s="231"/>
    </row>
    <row r="890" spans="1:30" x14ac:dyDescent="0.25">
      <c r="A890" s="190"/>
      <c r="B890" s="314" t="s">
        <v>4286</v>
      </c>
      <c r="C890" s="422"/>
      <c r="D890" s="417" t="s">
        <v>5351</v>
      </c>
      <c r="E890" s="209"/>
      <c r="F890" s="209"/>
      <c r="G890" s="231" t="s">
        <v>5309</v>
      </c>
      <c r="H890" s="242"/>
      <c r="I890" s="422"/>
      <c r="J890" s="242"/>
      <c r="K890" s="262" t="s">
        <v>3996</v>
      </c>
      <c r="L890" s="263">
        <v>40319</v>
      </c>
      <c r="M890" s="263" t="s">
        <v>3958</v>
      </c>
      <c r="N890" s="209"/>
      <c r="O890" s="209"/>
      <c r="P890" s="209"/>
      <c r="Q890" s="231"/>
      <c r="R890" s="231"/>
      <c r="S890" s="244"/>
      <c r="T890" s="245"/>
      <c r="U890" s="311"/>
      <c r="V890" s="190"/>
      <c r="AB890" s="231"/>
      <c r="AC890" s="231"/>
      <c r="AD890" s="231"/>
    </row>
    <row r="891" spans="1:30" x14ac:dyDescent="0.25">
      <c r="B891" s="416" t="s">
        <v>5352</v>
      </c>
      <c r="C891" s="416">
        <v>3</v>
      </c>
      <c r="D891" s="417">
        <v>8103546</v>
      </c>
      <c r="F891" s="209"/>
      <c r="G891" s="229" t="s">
        <v>5309</v>
      </c>
      <c r="H891" s="255" t="s">
        <v>4304</v>
      </c>
      <c r="I891" s="418"/>
      <c r="J891" s="242"/>
      <c r="K891" s="262" t="s">
        <v>4387</v>
      </c>
      <c r="L891" s="263">
        <v>40791</v>
      </c>
      <c r="M891" s="231" t="s">
        <v>3958</v>
      </c>
      <c r="N891" s="292"/>
      <c r="O891" s="209"/>
      <c r="P891" s="209"/>
      <c r="Q891" s="229"/>
      <c r="R891" s="229"/>
      <c r="S891" s="244"/>
      <c r="T891" s="245"/>
      <c r="U891" s="311"/>
      <c r="V891" s="190"/>
    </row>
    <row r="892" spans="1:30" x14ac:dyDescent="0.25">
      <c r="A892" s="190"/>
      <c r="B892" s="418" t="s">
        <v>5353</v>
      </c>
      <c r="C892" s="418"/>
      <c r="D892" s="417">
        <v>4700064</v>
      </c>
      <c r="E892" s="209"/>
      <c r="F892" s="209"/>
      <c r="G892" s="231" t="s">
        <v>5309</v>
      </c>
      <c r="H892" s="242"/>
      <c r="I892" s="418"/>
      <c r="J892" s="242"/>
      <c r="K892" s="209"/>
      <c r="L892" s="209"/>
      <c r="M892" s="209"/>
      <c r="N892" s="209"/>
      <c r="O892" s="209"/>
      <c r="P892" s="209"/>
      <c r="Q892" s="231"/>
      <c r="R892" s="231"/>
      <c r="S892" s="244"/>
      <c r="T892" s="245"/>
      <c r="U892" s="311"/>
      <c r="V892" s="190"/>
      <c r="AB892" s="231"/>
      <c r="AC892" s="231"/>
      <c r="AD892" s="231"/>
    </row>
    <row r="893" spans="1:30" x14ac:dyDescent="0.25">
      <c r="A893" s="190"/>
      <c r="B893" s="418" t="s">
        <v>5354</v>
      </c>
      <c r="C893" s="418"/>
      <c r="D893" s="417">
        <v>4700033</v>
      </c>
      <c r="E893" s="209"/>
      <c r="F893" s="209"/>
      <c r="G893" s="231" t="s">
        <v>5309</v>
      </c>
      <c r="H893" s="242"/>
      <c r="I893" s="418"/>
      <c r="J893" s="242"/>
      <c r="K893" s="209"/>
      <c r="L893" s="209"/>
      <c r="M893" s="209"/>
      <c r="N893" s="209"/>
      <c r="O893" s="209"/>
      <c r="P893" s="209"/>
      <c r="Q893" s="231"/>
      <c r="R893" s="231"/>
      <c r="S893" s="244"/>
      <c r="T893" s="245"/>
      <c r="U893" s="311"/>
      <c r="V893" s="190"/>
      <c r="AB893" s="231"/>
      <c r="AC893" s="231"/>
      <c r="AD893" s="231"/>
    </row>
    <row r="894" spans="1:30" x14ac:dyDescent="0.25">
      <c r="A894" s="190"/>
      <c r="B894" s="418" t="s">
        <v>5161</v>
      </c>
      <c r="C894" s="418"/>
      <c r="D894" s="417">
        <v>8104830</v>
      </c>
      <c r="E894" s="209"/>
      <c r="F894" s="209"/>
      <c r="G894" s="231" t="s">
        <v>5309</v>
      </c>
      <c r="H894" s="242"/>
      <c r="I894" s="418"/>
      <c r="J894" s="242"/>
      <c r="K894" s="209"/>
      <c r="L894" s="209"/>
      <c r="M894" s="209"/>
      <c r="N894" s="209"/>
      <c r="O894" s="209"/>
      <c r="P894" s="209"/>
      <c r="Q894" s="231"/>
      <c r="R894" s="231"/>
      <c r="S894" s="244"/>
      <c r="T894" s="245"/>
      <c r="U894" s="311"/>
      <c r="V894" s="190"/>
      <c r="AB894" s="231"/>
      <c r="AC894" s="231"/>
      <c r="AD894" s="231"/>
    </row>
    <row r="895" spans="1:30" x14ac:dyDescent="0.25">
      <c r="A895" s="190"/>
      <c r="B895" s="418" t="s">
        <v>5161</v>
      </c>
      <c r="C895" s="418"/>
      <c r="D895" s="417">
        <v>8104833</v>
      </c>
      <c r="E895" s="209"/>
      <c r="F895" s="209"/>
      <c r="G895" s="231" t="s">
        <v>5309</v>
      </c>
      <c r="H895" s="242"/>
      <c r="I895" s="418"/>
      <c r="J895" s="242"/>
      <c r="K895" s="209"/>
      <c r="L895" s="209"/>
      <c r="M895" s="209"/>
      <c r="N895" s="209"/>
      <c r="O895" s="209"/>
      <c r="P895" s="209"/>
      <c r="Q895" s="231"/>
      <c r="R895" s="231"/>
      <c r="S895" s="244"/>
      <c r="T895" s="245"/>
      <c r="U895" s="311"/>
      <c r="V895" s="190"/>
      <c r="AB895" s="231"/>
      <c r="AC895" s="231"/>
      <c r="AD895" s="231"/>
    </row>
    <row r="896" spans="1:30" x14ac:dyDescent="0.25">
      <c r="A896" s="190"/>
      <c r="B896" s="418" t="s">
        <v>5161</v>
      </c>
      <c r="C896" s="418"/>
      <c r="D896" s="417">
        <v>8104838</v>
      </c>
      <c r="E896" s="209"/>
      <c r="F896" s="209"/>
      <c r="G896" s="231" t="s">
        <v>5309</v>
      </c>
      <c r="H896" s="242"/>
      <c r="I896" s="418"/>
      <c r="J896" s="242"/>
      <c r="K896" s="209"/>
      <c r="L896" s="209"/>
      <c r="M896" s="209"/>
      <c r="N896" s="209"/>
      <c r="O896" s="209"/>
      <c r="P896" s="209"/>
      <c r="Q896" s="231"/>
      <c r="R896" s="231"/>
      <c r="S896" s="244"/>
      <c r="T896" s="245"/>
      <c r="U896" s="311"/>
      <c r="V896" s="190"/>
      <c r="AB896" s="231"/>
      <c r="AC896" s="231"/>
      <c r="AD896" s="231"/>
    </row>
    <row r="897" spans="1:30" x14ac:dyDescent="0.25">
      <c r="A897" s="190"/>
      <c r="B897" s="186" t="s">
        <v>4207</v>
      </c>
      <c r="C897" s="169"/>
      <c r="D897" s="417" t="s">
        <v>2800</v>
      </c>
      <c r="E897" s="209"/>
      <c r="F897" s="209"/>
      <c r="G897" s="231" t="s">
        <v>5309</v>
      </c>
      <c r="H897" s="242"/>
      <c r="I897" s="169"/>
      <c r="J897" s="242"/>
      <c r="K897" s="262" t="s">
        <v>4049</v>
      </c>
      <c r="L897" s="263">
        <v>38944</v>
      </c>
      <c r="M897" s="263">
        <v>40770</v>
      </c>
      <c r="N897" s="209"/>
      <c r="O897" s="209"/>
      <c r="P897" s="209"/>
      <c r="Q897" s="231"/>
      <c r="R897" s="231"/>
      <c r="S897" s="244"/>
      <c r="T897" s="245"/>
      <c r="U897" s="311"/>
      <c r="V897" s="190"/>
      <c r="AB897" s="231"/>
      <c r="AC897" s="231"/>
      <c r="AD897" s="231"/>
    </row>
    <row r="898" spans="1:30" x14ac:dyDescent="0.25">
      <c r="A898" s="190"/>
      <c r="B898" s="418" t="s">
        <v>4203</v>
      </c>
      <c r="C898" s="418"/>
      <c r="D898" s="417" t="s">
        <v>5355</v>
      </c>
      <c r="E898" s="209"/>
      <c r="F898" s="209"/>
      <c r="G898" s="231" t="s">
        <v>5309</v>
      </c>
      <c r="H898" s="242"/>
      <c r="I898" s="418"/>
      <c r="J898" s="242"/>
      <c r="K898" s="262" t="s">
        <v>4047</v>
      </c>
      <c r="L898" s="263">
        <v>41272</v>
      </c>
      <c r="M898" s="263" t="s">
        <v>3958</v>
      </c>
      <c r="N898" s="209"/>
      <c r="O898" s="209"/>
      <c r="P898" s="209"/>
      <c r="Q898" s="231"/>
      <c r="R898" s="231"/>
      <c r="S898" s="244"/>
      <c r="T898" s="245"/>
      <c r="U898" s="311"/>
      <c r="V898" s="190"/>
      <c r="AB898" s="231"/>
      <c r="AC898" s="231"/>
      <c r="AD898" s="231"/>
    </row>
    <row r="899" spans="1:30" x14ac:dyDescent="0.25">
      <c r="A899" s="190"/>
      <c r="B899" s="418" t="s">
        <v>4203</v>
      </c>
      <c r="C899" s="418"/>
      <c r="D899" s="417" t="s">
        <v>5356</v>
      </c>
      <c r="E899" s="209"/>
      <c r="F899" s="209"/>
      <c r="G899" s="231" t="s">
        <v>5309</v>
      </c>
      <c r="H899" s="242"/>
      <c r="I899" s="418"/>
      <c r="J899" s="242"/>
      <c r="K899" s="262" t="s">
        <v>4047</v>
      </c>
      <c r="L899" s="263">
        <v>41272</v>
      </c>
      <c r="M899" s="263" t="s">
        <v>3958</v>
      </c>
      <c r="N899" s="209"/>
      <c r="O899" s="209"/>
      <c r="P899" s="209"/>
      <c r="Q899" s="231"/>
      <c r="R899" s="231"/>
      <c r="S899" s="244"/>
      <c r="T899" s="245"/>
      <c r="U899" s="311"/>
      <c r="V899" s="190"/>
      <c r="AB899" s="231"/>
      <c r="AC899" s="231"/>
      <c r="AD899" s="231"/>
    </row>
    <row r="900" spans="1:30" x14ac:dyDescent="0.25">
      <c r="A900" s="190"/>
      <c r="B900" s="418" t="s">
        <v>4203</v>
      </c>
      <c r="C900" s="418"/>
      <c r="D900" s="417" t="s">
        <v>5357</v>
      </c>
      <c r="E900" s="209"/>
      <c r="F900" s="209"/>
      <c r="G900" s="231" t="s">
        <v>5309</v>
      </c>
      <c r="H900" s="242"/>
      <c r="I900" s="418"/>
      <c r="J900" s="242"/>
      <c r="K900" s="262" t="s">
        <v>4047</v>
      </c>
      <c r="L900" s="263">
        <v>41272</v>
      </c>
      <c r="M900" s="263" t="s">
        <v>3958</v>
      </c>
      <c r="N900" s="209"/>
      <c r="O900" s="209"/>
      <c r="P900" s="209"/>
      <c r="Q900" s="231"/>
      <c r="R900" s="231"/>
      <c r="S900" s="244"/>
      <c r="T900" s="245"/>
      <c r="U900" s="311"/>
      <c r="V900" s="190"/>
      <c r="AB900" s="231"/>
      <c r="AC900" s="231"/>
      <c r="AD900" s="231"/>
    </row>
    <row r="901" spans="1:30" x14ac:dyDescent="0.25">
      <c r="A901" s="190"/>
      <c r="B901" s="418" t="s">
        <v>4203</v>
      </c>
      <c r="C901" s="418"/>
      <c r="D901" s="417" t="s">
        <v>5358</v>
      </c>
      <c r="E901" s="209"/>
      <c r="F901" s="209"/>
      <c r="G901" s="231" t="s">
        <v>5309</v>
      </c>
      <c r="H901" s="242"/>
      <c r="I901" s="418"/>
      <c r="J901" s="242"/>
      <c r="K901" s="262" t="s">
        <v>4047</v>
      </c>
      <c r="L901" s="263">
        <v>41272</v>
      </c>
      <c r="M901" s="263" t="s">
        <v>3958</v>
      </c>
      <c r="N901" s="209"/>
      <c r="O901" s="209"/>
      <c r="P901" s="209"/>
      <c r="Q901" s="231"/>
      <c r="R901" s="231"/>
      <c r="S901" s="244"/>
      <c r="T901" s="245"/>
      <c r="U901" s="311"/>
      <c r="V901" s="190"/>
      <c r="AB901" s="231"/>
      <c r="AC901" s="231"/>
      <c r="AD901" s="231"/>
    </row>
    <row r="902" spans="1:30" x14ac:dyDescent="0.25">
      <c r="A902" s="190"/>
      <c r="B902" s="418" t="s">
        <v>4203</v>
      </c>
      <c r="C902" s="418"/>
      <c r="D902" s="417" t="s">
        <v>5359</v>
      </c>
      <c r="E902" s="209"/>
      <c r="F902" s="209"/>
      <c r="G902" s="231" t="s">
        <v>5309</v>
      </c>
      <c r="H902" s="242"/>
      <c r="I902" s="418"/>
      <c r="J902" s="242"/>
      <c r="K902" s="262" t="s">
        <v>4047</v>
      </c>
      <c r="L902" s="263">
        <v>41272</v>
      </c>
      <c r="M902" s="263" t="s">
        <v>3958</v>
      </c>
      <c r="N902" s="209"/>
      <c r="O902" s="209"/>
      <c r="P902" s="209"/>
      <c r="Q902" s="231"/>
      <c r="R902" s="231"/>
      <c r="S902" s="244"/>
      <c r="T902" s="245"/>
      <c r="U902" s="311"/>
      <c r="V902" s="190"/>
      <c r="AB902" s="231"/>
      <c r="AC902" s="231"/>
      <c r="AD902" s="231"/>
    </row>
    <row r="903" spans="1:30" x14ac:dyDescent="0.25">
      <c r="A903" s="190"/>
      <c r="B903" s="419" t="s">
        <v>4203</v>
      </c>
      <c r="C903" s="419"/>
      <c r="D903" s="417" t="s">
        <v>2803</v>
      </c>
      <c r="E903" s="330"/>
      <c r="F903" s="209"/>
      <c r="G903" s="342" t="s">
        <v>5309</v>
      </c>
      <c r="H903" s="333"/>
      <c r="I903" s="418"/>
      <c r="J903" s="242"/>
      <c r="K903" s="262" t="s">
        <v>4047</v>
      </c>
      <c r="L903" s="263">
        <v>41272</v>
      </c>
      <c r="M903" s="263" t="s">
        <v>3958</v>
      </c>
      <c r="N903" s="330"/>
      <c r="O903" s="209"/>
      <c r="P903" s="209"/>
      <c r="Q903" s="231"/>
      <c r="R903" s="231"/>
      <c r="S903" s="244"/>
      <c r="T903" s="245"/>
      <c r="U903" s="311"/>
      <c r="V903" s="190"/>
      <c r="AB903" s="231"/>
      <c r="AC903" s="231"/>
      <c r="AD903" s="231"/>
    </row>
    <row r="904" spans="1:30" x14ac:dyDescent="0.25">
      <c r="B904" s="194" t="s">
        <v>4337</v>
      </c>
      <c r="C904" s="194">
        <v>1</v>
      </c>
      <c r="D904" s="414">
        <v>4700254</v>
      </c>
      <c r="F904" s="345"/>
      <c r="G904" s="229" t="s">
        <v>5309</v>
      </c>
      <c r="H904" s="255" t="s">
        <v>4304</v>
      </c>
      <c r="I904" s="169"/>
      <c r="J904" s="242"/>
      <c r="K904" s="262" t="s">
        <v>4338</v>
      </c>
      <c r="L904" s="263">
        <v>38909</v>
      </c>
      <c r="M904" s="263">
        <v>40735</v>
      </c>
      <c r="N904" s="292"/>
      <c r="O904" s="345"/>
      <c r="P904" s="345"/>
      <c r="Q904" s="229"/>
      <c r="R904" s="229"/>
      <c r="S904" s="244"/>
      <c r="T904" s="245"/>
      <c r="U904" s="311"/>
      <c r="V904" s="190"/>
    </row>
    <row r="905" spans="1:30" x14ac:dyDescent="0.25">
      <c r="A905" s="309">
        <v>680</v>
      </c>
      <c r="B905" s="373" t="s">
        <v>4900</v>
      </c>
      <c r="C905" s="373"/>
      <c r="E905" s="337"/>
      <c r="F905" s="210"/>
      <c r="G905" s="340" t="s">
        <v>5360</v>
      </c>
      <c r="H905" s="340"/>
      <c r="K905" s="402"/>
      <c r="L905" s="402"/>
      <c r="M905" s="402"/>
      <c r="N905" s="413"/>
      <c r="O905" s="367"/>
      <c r="P905" s="367"/>
      <c r="Q905" s="244">
        <v>12</v>
      </c>
      <c r="R905" s="245">
        <v>40701</v>
      </c>
      <c r="S905" s="311" t="s">
        <v>4192</v>
      </c>
      <c r="T905" s="245">
        <v>41067</v>
      </c>
      <c r="U905" s="231" t="s">
        <v>4193</v>
      </c>
      <c r="Z905" s="231">
        <v>1</v>
      </c>
      <c r="AA905" s="231" t="s">
        <v>4179</v>
      </c>
      <c r="AB905" s="231"/>
      <c r="AC905" s="231"/>
      <c r="AD905" s="231"/>
    </row>
    <row r="906" spans="1:30" x14ac:dyDescent="0.25">
      <c r="A906" s="190">
        <v>681</v>
      </c>
      <c r="B906" s="190" t="s">
        <v>5361</v>
      </c>
      <c r="C906" s="190"/>
      <c r="E906" s="366"/>
      <c r="F906" s="366"/>
      <c r="G906" s="231" t="s">
        <v>5360</v>
      </c>
      <c r="H906" s="231"/>
      <c r="K906" s="360"/>
      <c r="L906" s="360"/>
      <c r="M906" s="360"/>
      <c r="N906" s="351"/>
      <c r="O906" s="351"/>
      <c r="P906" s="351"/>
      <c r="Q906" s="244">
        <v>12</v>
      </c>
      <c r="R906" s="245">
        <v>40827</v>
      </c>
      <c r="S906" s="311" t="s">
        <v>4177</v>
      </c>
      <c r="T906" s="245">
        <v>41193</v>
      </c>
      <c r="U906" s="231" t="s">
        <v>4193</v>
      </c>
      <c r="Z906" s="231">
        <v>1</v>
      </c>
      <c r="AA906" s="231" t="s">
        <v>4179</v>
      </c>
      <c r="AB906" s="231"/>
      <c r="AC906" s="231"/>
      <c r="AD906" s="231"/>
    </row>
    <row r="907" spans="1:30" x14ac:dyDescent="0.25">
      <c r="A907" s="190">
        <v>682</v>
      </c>
      <c r="B907" s="190" t="s">
        <v>5362</v>
      </c>
      <c r="C907" s="190"/>
      <c r="E907" s="366"/>
      <c r="F907" s="366"/>
      <c r="G907" s="231" t="s">
        <v>5360</v>
      </c>
      <c r="H907" s="231"/>
      <c r="K907" s="360"/>
      <c r="L907" s="360"/>
      <c r="M907" s="360"/>
      <c r="N907" s="351"/>
      <c r="O907" s="351"/>
      <c r="P907" s="351"/>
      <c r="Q907" s="244">
        <v>12</v>
      </c>
      <c r="R907" s="245">
        <v>40827</v>
      </c>
      <c r="S907" s="311" t="s">
        <v>4177</v>
      </c>
      <c r="T907" s="245">
        <v>41193</v>
      </c>
      <c r="U907" s="231" t="s">
        <v>4193</v>
      </c>
      <c r="Z907" s="231">
        <v>1</v>
      </c>
      <c r="AA907" s="231" t="s">
        <v>4179</v>
      </c>
      <c r="AB907" s="231"/>
      <c r="AC907" s="231"/>
      <c r="AD907" s="231"/>
    </row>
    <row r="908" spans="1:30" x14ac:dyDescent="0.25">
      <c r="A908" s="190"/>
      <c r="B908" s="423" t="s">
        <v>5363</v>
      </c>
      <c r="C908" s="423"/>
      <c r="D908" s="424" t="s">
        <v>5364</v>
      </c>
      <c r="E908" s="366"/>
      <c r="F908" s="366"/>
      <c r="G908" s="231" t="s">
        <v>5360</v>
      </c>
      <c r="H908" s="231"/>
      <c r="I908" s="423"/>
      <c r="K908" s="360"/>
      <c r="L908" s="360"/>
      <c r="M908" s="360"/>
      <c r="N908" s="351"/>
      <c r="O908" s="351"/>
      <c r="P908" s="351"/>
      <c r="Q908" s="244"/>
      <c r="R908" s="245"/>
      <c r="T908" s="245"/>
      <c r="AB908" s="231"/>
      <c r="AC908" s="231"/>
      <c r="AD908" s="231"/>
    </row>
    <row r="909" spans="1:30" x14ac:dyDescent="0.25">
      <c r="A909" s="190"/>
      <c r="B909" s="423" t="s">
        <v>5365</v>
      </c>
      <c r="C909" s="423"/>
      <c r="D909" s="424" t="s">
        <v>5366</v>
      </c>
      <c r="E909" s="366"/>
      <c r="F909" s="366"/>
      <c r="G909" s="231" t="s">
        <v>5360</v>
      </c>
      <c r="H909" s="231"/>
      <c r="I909" s="423"/>
      <c r="K909" s="360"/>
      <c r="L909" s="360"/>
      <c r="M909" s="360"/>
      <c r="N909" s="351"/>
      <c r="O909" s="351"/>
      <c r="P909" s="351"/>
      <c r="Q909" s="244"/>
      <c r="R909" s="245"/>
      <c r="T909" s="245"/>
      <c r="AB909" s="231"/>
      <c r="AC909" s="231"/>
      <c r="AD909" s="231"/>
    </row>
    <row r="910" spans="1:30" x14ac:dyDescent="0.25">
      <c r="A910" s="190"/>
      <c r="B910" s="423" t="s">
        <v>5367</v>
      </c>
      <c r="C910" s="423"/>
      <c r="D910" s="424" t="s">
        <v>5368</v>
      </c>
      <c r="E910" s="366"/>
      <c r="F910" s="366"/>
      <c r="G910" s="231" t="s">
        <v>5360</v>
      </c>
      <c r="H910" s="231"/>
      <c r="I910" s="423"/>
      <c r="K910" s="360"/>
      <c r="L910" s="360"/>
      <c r="M910" s="360"/>
      <c r="N910" s="351"/>
      <c r="O910" s="351"/>
      <c r="P910" s="351"/>
      <c r="Q910" s="244"/>
      <c r="R910" s="245"/>
      <c r="T910" s="245"/>
      <c r="AB910" s="231"/>
      <c r="AC910" s="231"/>
      <c r="AD910" s="231"/>
    </row>
    <row r="911" spans="1:30" x14ac:dyDescent="0.25">
      <c r="A911" s="190"/>
      <c r="B911" s="423" t="s">
        <v>5367</v>
      </c>
      <c r="C911" s="423"/>
      <c r="D911" s="424" t="s">
        <v>5369</v>
      </c>
      <c r="E911" s="366"/>
      <c r="F911" s="366"/>
      <c r="G911" s="231" t="s">
        <v>5360</v>
      </c>
      <c r="H911" s="231"/>
      <c r="I911" s="423"/>
      <c r="K911" s="360"/>
      <c r="L911" s="360"/>
      <c r="M911" s="360"/>
      <c r="N911" s="351"/>
      <c r="O911" s="351"/>
      <c r="P911" s="351"/>
      <c r="Q911" s="244"/>
      <c r="R911" s="245"/>
      <c r="T911" s="245"/>
      <c r="AB911" s="231"/>
      <c r="AC911" s="231"/>
      <c r="AD911" s="231"/>
    </row>
    <row r="912" spans="1:30" x14ac:dyDescent="0.25">
      <c r="A912" s="190"/>
      <c r="B912" s="423" t="s">
        <v>5367</v>
      </c>
      <c r="C912" s="423"/>
      <c r="D912" s="424" t="s">
        <v>5370</v>
      </c>
      <c r="E912" s="366"/>
      <c r="F912" s="366"/>
      <c r="G912" s="231" t="s">
        <v>5360</v>
      </c>
      <c r="H912" s="231"/>
      <c r="I912" s="423"/>
      <c r="K912" s="360"/>
      <c r="L912" s="360"/>
      <c r="M912" s="360"/>
      <c r="N912" s="351"/>
      <c r="O912" s="351"/>
      <c r="P912" s="351"/>
      <c r="Q912" s="244"/>
      <c r="R912" s="245"/>
      <c r="T912" s="245"/>
      <c r="AB912" s="231"/>
      <c r="AC912" s="231"/>
      <c r="AD912" s="231"/>
    </row>
    <row r="913" spans="1:30" x14ac:dyDescent="0.25">
      <c r="A913" s="190"/>
      <c r="B913" s="423" t="s">
        <v>5371</v>
      </c>
      <c r="C913" s="423"/>
      <c r="D913" s="424" t="s">
        <v>5372</v>
      </c>
      <c r="E913" s="366"/>
      <c r="F913" s="366"/>
      <c r="G913" s="231" t="s">
        <v>5360</v>
      </c>
      <c r="H913" s="231"/>
      <c r="I913" s="423"/>
      <c r="K913" s="360"/>
      <c r="L913" s="360"/>
      <c r="M913" s="360"/>
      <c r="N913" s="351"/>
      <c r="O913" s="351"/>
      <c r="P913" s="351"/>
      <c r="Q913" s="244"/>
      <c r="R913" s="245"/>
      <c r="T913" s="245"/>
      <c r="AB913" s="231"/>
      <c r="AC913" s="231"/>
      <c r="AD913" s="231"/>
    </row>
    <row r="914" spans="1:30" x14ac:dyDescent="0.25">
      <c r="A914" s="190"/>
      <c r="B914" s="423" t="s">
        <v>5373</v>
      </c>
      <c r="C914" s="423"/>
      <c r="D914" s="424" t="s">
        <v>5374</v>
      </c>
      <c r="E914" s="366"/>
      <c r="F914" s="366"/>
      <c r="G914" s="231" t="s">
        <v>5360</v>
      </c>
      <c r="H914" s="231"/>
      <c r="I914" s="423"/>
      <c r="K914" s="360"/>
      <c r="L914" s="360"/>
      <c r="M914" s="360"/>
      <c r="N914" s="351"/>
      <c r="O914" s="351"/>
      <c r="P914" s="351"/>
      <c r="Q914" s="244"/>
      <c r="R914" s="245"/>
      <c r="T914" s="245"/>
      <c r="AB914" s="231"/>
      <c r="AC914" s="231"/>
      <c r="AD914" s="231"/>
    </row>
    <row r="915" spans="1:30" x14ac:dyDescent="0.25">
      <c r="A915" s="190"/>
      <c r="B915" s="314" t="s">
        <v>4286</v>
      </c>
      <c r="C915" s="422"/>
      <c r="D915" s="425" t="s">
        <v>5375</v>
      </c>
      <c r="E915" s="366"/>
      <c r="F915" s="366"/>
      <c r="G915" s="231" t="s">
        <v>5360</v>
      </c>
      <c r="H915" s="231"/>
      <c r="I915" s="422"/>
      <c r="K915" s="262" t="s">
        <v>3996</v>
      </c>
      <c r="L915" s="263">
        <v>40319</v>
      </c>
      <c r="M915" s="263" t="s">
        <v>3958</v>
      </c>
      <c r="N915" s="351"/>
      <c r="O915" s="351"/>
      <c r="P915" s="351"/>
      <c r="Q915" s="244"/>
      <c r="R915" s="245"/>
      <c r="T915" s="245"/>
      <c r="AB915" s="231"/>
      <c r="AC915" s="231"/>
      <c r="AD915" s="231"/>
    </row>
    <row r="916" spans="1:30" x14ac:dyDescent="0.25">
      <c r="A916" s="190"/>
      <c r="B916" s="423" t="s">
        <v>5376</v>
      </c>
      <c r="C916" s="423"/>
      <c r="D916" s="424" t="s">
        <v>5377</v>
      </c>
      <c r="E916" s="366"/>
      <c r="F916" s="366"/>
      <c r="G916" s="231" t="s">
        <v>5360</v>
      </c>
      <c r="H916" s="231"/>
      <c r="I916" s="423"/>
      <c r="K916" s="360"/>
      <c r="L916" s="360"/>
      <c r="M916" s="360"/>
      <c r="N916" s="351"/>
      <c r="O916" s="351"/>
      <c r="P916" s="351"/>
      <c r="Q916" s="244"/>
      <c r="R916" s="245"/>
      <c r="T916" s="245"/>
      <c r="AB916" s="231"/>
      <c r="AC916" s="231"/>
      <c r="AD916" s="231"/>
    </row>
    <row r="917" spans="1:30" x14ac:dyDescent="0.25">
      <c r="A917" s="190"/>
      <c r="B917" s="314" t="s">
        <v>4286</v>
      </c>
      <c r="C917" s="422"/>
      <c r="D917" s="424" t="s">
        <v>5378</v>
      </c>
      <c r="E917" s="366"/>
      <c r="F917" s="366"/>
      <c r="G917" s="231" t="s">
        <v>5360</v>
      </c>
      <c r="H917" s="231"/>
      <c r="I917" s="422"/>
      <c r="K917" s="262" t="s">
        <v>3996</v>
      </c>
      <c r="L917" s="263">
        <v>40319</v>
      </c>
      <c r="M917" s="263" t="s">
        <v>3958</v>
      </c>
      <c r="N917" s="351"/>
      <c r="O917" s="351"/>
      <c r="P917" s="351"/>
      <c r="Q917" s="244"/>
      <c r="R917" s="245"/>
      <c r="T917" s="245"/>
      <c r="AB917" s="231"/>
      <c r="AC917" s="231"/>
      <c r="AD917" s="231"/>
    </row>
    <row r="918" spans="1:30" x14ac:dyDescent="0.25">
      <c r="A918" s="190"/>
      <c r="B918" s="423" t="s">
        <v>5379</v>
      </c>
      <c r="C918" s="423"/>
      <c r="D918" s="425" t="s">
        <v>5380</v>
      </c>
      <c r="E918" s="366"/>
      <c r="F918" s="426"/>
      <c r="G918" s="231" t="s">
        <v>5360</v>
      </c>
      <c r="H918" s="231"/>
      <c r="I918" s="423"/>
      <c r="K918" s="295" t="s">
        <v>4690</v>
      </c>
      <c r="L918" s="368">
        <v>37866</v>
      </c>
      <c r="M918" s="368">
        <v>41001</v>
      </c>
      <c r="N918" s="351"/>
      <c r="O918" s="351"/>
      <c r="P918" s="351"/>
      <c r="Q918" s="244"/>
      <c r="R918" s="245"/>
      <c r="T918" s="245"/>
      <c r="AB918" s="231"/>
      <c r="AC918" s="231"/>
      <c r="AD918" s="231"/>
    </row>
    <row r="919" spans="1:30" x14ac:dyDescent="0.25">
      <c r="A919" s="190"/>
      <c r="B919" s="423" t="s">
        <v>5381</v>
      </c>
      <c r="C919" s="423"/>
      <c r="D919" s="425" t="s">
        <v>5382</v>
      </c>
      <c r="E919" s="366"/>
      <c r="F919" s="426"/>
      <c r="G919" s="231" t="s">
        <v>5360</v>
      </c>
      <c r="H919" s="231"/>
      <c r="I919" s="423"/>
      <c r="K919" s="295" t="s">
        <v>4690</v>
      </c>
      <c r="L919" s="368">
        <v>37866</v>
      </c>
      <c r="M919" s="368">
        <v>41001</v>
      </c>
      <c r="N919" s="351"/>
      <c r="O919" s="351"/>
      <c r="P919" s="351"/>
      <c r="Q919" s="244"/>
      <c r="R919" s="245"/>
      <c r="T919" s="245"/>
      <c r="AB919" s="231"/>
      <c r="AC919" s="231"/>
      <c r="AD919" s="231"/>
    </row>
    <row r="920" spans="1:30" x14ac:dyDescent="0.25">
      <c r="A920" s="190"/>
      <c r="B920" s="423" t="s">
        <v>5383</v>
      </c>
      <c r="C920" s="423"/>
      <c r="D920" s="424" t="s">
        <v>5384</v>
      </c>
      <c r="E920" s="366"/>
      <c r="F920" s="366"/>
      <c r="G920" s="231" t="s">
        <v>5360</v>
      </c>
      <c r="H920" s="231"/>
      <c r="I920" s="423"/>
      <c r="K920" s="360" t="s">
        <v>5385</v>
      </c>
      <c r="L920" s="368">
        <v>37236</v>
      </c>
      <c r="M920" s="360" t="s">
        <v>3958</v>
      </c>
      <c r="N920" s="351"/>
      <c r="O920" s="351"/>
      <c r="P920" s="351"/>
      <c r="Q920" s="244"/>
      <c r="R920" s="245"/>
      <c r="T920" s="245"/>
      <c r="AB920" s="231"/>
      <c r="AC920" s="231"/>
      <c r="AD920" s="231"/>
    </row>
    <row r="921" spans="1:30" x14ac:dyDescent="0.25">
      <c r="A921" s="190"/>
      <c r="B921" s="423" t="s">
        <v>5383</v>
      </c>
      <c r="C921" s="423"/>
      <c r="D921" s="424" t="s">
        <v>5386</v>
      </c>
      <c r="E921" s="366"/>
      <c r="F921" s="366"/>
      <c r="G921" s="231" t="s">
        <v>5360</v>
      </c>
      <c r="H921" s="231"/>
      <c r="I921" s="423"/>
      <c r="K921" s="360" t="s">
        <v>5385</v>
      </c>
      <c r="L921" s="368">
        <v>37236</v>
      </c>
      <c r="M921" s="360" t="s">
        <v>3958</v>
      </c>
      <c r="N921" s="351"/>
      <c r="O921" s="351"/>
      <c r="P921" s="351"/>
      <c r="Q921" s="244"/>
      <c r="R921" s="245"/>
      <c r="T921" s="245"/>
      <c r="AB921" s="231"/>
      <c r="AC921" s="231"/>
      <c r="AD921" s="231"/>
    </row>
    <row r="922" spans="1:30" x14ac:dyDescent="0.25">
      <c r="A922" s="190"/>
      <c r="B922" s="423" t="s">
        <v>5387</v>
      </c>
      <c r="C922" s="423"/>
      <c r="D922" s="424" t="s">
        <v>5388</v>
      </c>
      <c r="E922" s="366"/>
      <c r="F922" s="366"/>
      <c r="G922" s="231" t="s">
        <v>5360</v>
      </c>
      <c r="H922" s="231"/>
      <c r="I922" s="423"/>
      <c r="K922" s="360"/>
      <c r="L922" s="360"/>
      <c r="M922" s="360"/>
      <c r="N922" s="351"/>
      <c r="O922" s="351"/>
      <c r="P922" s="351"/>
      <c r="Q922" s="244"/>
      <c r="R922" s="245"/>
      <c r="T922" s="245"/>
      <c r="AB922" s="231"/>
      <c r="AC922" s="231"/>
      <c r="AD922" s="231"/>
    </row>
    <row r="923" spans="1:30" x14ac:dyDescent="0.25">
      <c r="A923" s="190"/>
      <c r="B923" s="423" t="s">
        <v>5389</v>
      </c>
      <c r="C923" s="423"/>
      <c r="D923" s="424" t="s">
        <v>5390</v>
      </c>
      <c r="E923" s="366"/>
      <c r="F923" s="366"/>
      <c r="G923" s="231" t="s">
        <v>5360</v>
      </c>
      <c r="H923" s="231"/>
      <c r="I923" s="423"/>
      <c r="K923" s="360"/>
      <c r="L923" s="360"/>
      <c r="M923" s="360"/>
      <c r="N923" s="351"/>
      <c r="O923" s="351"/>
      <c r="P923" s="351"/>
      <c r="Q923" s="244"/>
      <c r="R923" s="245"/>
      <c r="T923" s="245"/>
      <c r="AB923" s="231"/>
      <c r="AC923" s="231"/>
      <c r="AD923" s="231"/>
    </row>
    <row r="924" spans="1:30" x14ac:dyDescent="0.25">
      <c r="A924" s="190"/>
      <c r="B924" s="423" t="s">
        <v>981</v>
      </c>
      <c r="C924" s="423"/>
      <c r="D924" s="424" t="s">
        <v>5391</v>
      </c>
      <c r="E924" s="366"/>
      <c r="F924" s="366"/>
      <c r="G924" s="231" t="s">
        <v>5360</v>
      </c>
      <c r="H924" s="231"/>
      <c r="I924" s="423"/>
      <c r="K924" s="360"/>
      <c r="L924" s="360"/>
      <c r="M924" s="360"/>
      <c r="N924" s="351"/>
      <c r="O924" s="351"/>
      <c r="P924" s="351"/>
      <c r="Q924" s="244"/>
      <c r="R924" s="245"/>
      <c r="T924" s="245"/>
      <c r="AB924" s="231"/>
      <c r="AC924" s="231"/>
      <c r="AD924" s="231"/>
    </row>
    <row r="925" spans="1:30" x14ac:dyDescent="0.25">
      <c r="A925" s="190"/>
      <c r="B925" s="423" t="s">
        <v>981</v>
      </c>
      <c r="C925" s="423"/>
      <c r="D925" s="424" t="s">
        <v>5392</v>
      </c>
      <c r="E925" s="366"/>
      <c r="F925" s="366"/>
      <c r="G925" s="231" t="s">
        <v>5360</v>
      </c>
      <c r="H925" s="231"/>
      <c r="I925" s="423"/>
      <c r="K925" s="360"/>
      <c r="L925" s="360"/>
      <c r="M925" s="360"/>
      <c r="N925" s="351"/>
      <c r="O925" s="351"/>
      <c r="P925" s="351"/>
      <c r="Q925" s="244"/>
      <c r="R925" s="245"/>
      <c r="T925" s="245"/>
      <c r="AB925" s="231"/>
      <c r="AC925" s="231"/>
      <c r="AD925" s="231"/>
    </row>
    <row r="926" spans="1:30" x14ac:dyDescent="0.25">
      <c r="A926" s="190"/>
      <c r="B926" s="423" t="s">
        <v>5393</v>
      </c>
      <c r="C926" s="423"/>
      <c r="D926" s="424" t="s">
        <v>5394</v>
      </c>
      <c r="E926" s="366"/>
      <c r="F926" s="366"/>
      <c r="G926" s="231" t="s">
        <v>5360</v>
      </c>
      <c r="H926" s="231"/>
      <c r="I926" s="423"/>
      <c r="K926" s="360"/>
      <c r="L926" s="360"/>
      <c r="M926" s="360"/>
      <c r="N926" s="351"/>
      <c r="O926" s="351"/>
      <c r="P926" s="351"/>
      <c r="Q926" s="244"/>
      <c r="R926" s="245"/>
      <c r="T926" s="245"/>
      <c r="AB926" s="231"/>
      <c r="AC926" s="231"/>
      <c r="AD926" s="231"/>
    </row>
    <row r="927" spans="1:30" x14ac:dyDescent="0.25">
      <c r="A927" s="190"/>
      <c r="B927" s="423" t="s">
        <v>5393</v>
      </c>
      <c r="C927" s="423"/>
      <c r="D927" s="424" t="s">
        <v>5395</v>
      </c>
      <c r="E927" s="366"/>
      <c r="F927" s="366"/>
      <c r="G927" s="231" t="s">
        <v>5360</v>
      </c>
      <c r="H927" s="231"/>
      <c r="I927" s="423"/>
      <c r="K927" s="360"/>
      <c r="L927" s="360"/>
      <c r="M927" s="360"/>
      <c r="N927" s="351"/>
      <c r="O927" s="351"/>
      <c r="P927" s="351"/>
      <c r="Q927" s="244"/>
      <c r="R927" s="245"/>
      <c r="T927" s="245"/>
      <c r="AB927" s="231"/>
      <c r="AC927" s="231"/>
      <c r="AD927" s="231"/>
    </row>
    <row r="928" spans="1:30" x14ac:dyDescent="0.25">
      <c r="A928" s="190"/>
      <c r="B928" s="423" t="s">
        <v>5393</v>
      </c>
      <c r="C928" s="423"/>
      <c r="D928" s="424" t="s">
        <v>5396</v>
      </c>
      <c r="E928" s="366"/>
      <c r="F928" s="366"/>
      <c r="G928" s="231" t="s">
        <v>5360</v>
      </c>
      <c r="H928" s="231"/>
      <c r="I928" s="423"/>
      <c r="K928" s="360"/>
      <c r="L928" s="360"/>
      <c r="M928" s="360"/>
      <c r="N928" s="351"/>
      <c r="O928" s="351"/>
      <c r="P928" s="351"/>
      <c r="Q928" s="244"/>
      <c r="R928" s="245"/>
      <c r="T928" s="245"/>
      <c r="AB928" s="231"/>
      <c r="AC928" s="231"/>
      <c r="AD928" s="231"/>
    </row>
    <row r="929" spans="1:30" x14ac:dyDescent="0.25">
      <c r="A929" s="190"/>
      <c r="B929" s="423" t="s">
        <v>5393</v>
      </c>
      <c r="C929" s="423"/>
      <c r="D929" s="424" t="s">
        <v>5397</v>
      </c>
      <c r="E929" s="366"/>
      <c r="F929" s="366"/>
      <c r="G929" s="231" t="s">
        <v>5360</v>
      </c>
      <c r="H929" s="231"/>
      <c r="I929" s="423"/>
      <c r="K929" s="360"/>
      <c r="L929" s="360"/>
      <c r="M929" s="360"/>
      <c r="N929" s="351"/>
      <c r="O929" s="351"/>
      <c r="P929" s="351"/>
      <c r="Q929" s="244"/>
      <c r="R929" s="245"/>
      <c r="T929" s="245"/>
      <c r="AB929" s="231"/>
      <c r="AC929" s="231"/>
      <c r="AD929" s="231"/>
    </row>
    <row r="930" spans="1:30" x14ac:dyDescent="0.25">
      <c r="A930" s="190"/>
      <c r="B930" s="423" t="s">
        <v>5398</v>
      </c>
      <c r="C930" s="423"/>
      <c r="D930" s="424" t="s">
        <v>5399</v>
      </c>
      <c r="E930" s="366"/>
      <c r="F930" s="366"/>
      <c r="G930" s="231" t="s">
        <v>5360</v>
      </c>
      <c r="H930" s="231"/>
      <c r="I930" s="423"/>
      <c r="K930" s="360"/>
      <c r="L930" s="360"/>
      <c r="M930" s="360"/>
      <c r="N930" s="351"/>
      <c r="O930" s="351"/>
      <c r="P930" s="351"/>
      <c r="Q930" s="244"/>
      <c r="R930" s="245"/>
      <c r="T930" s="245"/>
      <c r="AB930" s="231"/>
      <c r="AC930" s="231"/>
      <c r="AD930" s="231"/>
    </row>
    <row r="931" spans="1:30" x14ac:dyDescent="0.25">
      <c r="A931" s="190"/>
      <c r="B931" s="423" t="s">
        <v>5398</v>
      </c>
      <c r="C931" s="423"/>
      <c r="D931" s="424" t="s">
        <v>5400</v>
      </c>
      <c r="E931" s="366"/>
      <c r="F931" s="366"/>
      <c r="G931" s="231" t="s">
        <v>5360</v>
      </c>
      <c r="H931" s="231"/>
      <c r="I931" s="423"/>
      <c r="K931" s="360"/>
      <c r="L931" s="360"/>
      <c r="M931" s="360"/>
      <c r="N931" s="351"/>
      <c r="O931" s="351"/>
      <c r="P931" s="351"/>
      <c r="Q931" s="244"/>
      <c r="R931" s="245"/>
      <c r="T931" s="245"/>
      <c r="AB931" s="231"/>
      <c r="AC931" s="231"/>
      <c r="AD931" s="231"/>
    </row>
    <row r="932" spans="1:30" x14ac:dyDescent="0.25">
      <c r="A932" s="190"/>
      <c r="B932" s="423" t="s">
        <v>5401</v>
      </c>
      <c r="C932" s="423"/>
      <c r="D932" s="424" t="s">
        <v>5402</v>
      </c>
      <c r="E932" s="366"/>
      <c r="F932" s="366"/>
      <c r="G932" s="231" t="s">
        <v>5360</v>
      </c>
      <c r="H932" s="231"/>
      <c r="I932" s="423"/>
      <c r="K932" s="262" t="s">
        <v>4049</v>
      </c>
      <c r="L932" s="263">
        <v>38944</v>
      </c>
      <c r="M932" s="263">
        <v>40770</v>
      </c>
      <c r="N932" s="351"/>
      <c r="O932" s="351"/>
      <c r="P932" s="351"/>
      <c r="Q932" s="244"/>
      <c r="R932" s="245"/>
      <c r="T932" s="245"/>
      <c r="AB932" s="231"/>
      <c r="AC932" s="231"/>
      <c r="AD932" s="231"/>
    </row>
    <row r="933" spans="1:30" x14ac:dyDescent="0.25">
      <c r="A933" s="190"/>
      <c r="B933" s="186" t="s">
        <v>4277</v>
      </c>
      <c r="C933" s="169"/>
      <c r="D933" s="424" t="s">
        <v>5403</v>
      </c>
      <c r="E933" s="366"/>
      <c r="F933" s="366"/>
      <c r="G933" s="231" t="s">
        <v>5360</v>
      </c>
      <c r="H933" s="231"/>
      <c r="I933" s="169"/>
      <c r="K933" s="262" t="s">
        <v>4049</v>
      </c>
      <c r="L933" s="263">
        <v>38944</v>
      </c>
      <c r="M933" s="263">
        <v>40770</v>
      </c>
      <c r="N933" s="351"/>
      <c r="O933" s="351"/>
      <c r="P933" s="351"/>
      <c r="Q933" s="244"/>
      <c r="R933" s="245"/>
      <c r="T933" s="245"/>
      <c r="AB933" s="231"/>
      <c r="AC933" s="231"/>
      <c r="AD933" s="231"/>
    </row>
    <row r="934" spans="1:30" x14ac:dyDescent="0.25">
      <c r="A934" s="190"/>
      <c r="B934" s="186" t="s">
        <v>4277</v>
      </c>
      <c r="C934" s="169"/>
      <c r="D934" s="424" t="s">
        <v>5404</v>
      </c>
      <c r="E934" s="366"/>
      <c r="F934" s="366"/>
      <c r="G934" s="231" t="s">
        <v>5360</v>
      </c>
      <c r="H934" s="231"/>
      <c r="I934" s="169"/>
      <c r="K934" s="262" t="s">
        <v>4049</v>
      </c>
      <c r="L934" s="263">
        <v>38944</v>
      </c>
      <c r="M934" s="263">
        <v>40770</v>
      </c>
      <c r="N934" s="351"/>
      <c r="O934" s="351"/>
      <c r="P934" s="351"/>
      <c r="Q934" s="244"/>
      <c r="R934" s="245"/>
      <c r="T934" s="245"/>
      <c r="AB934" s="231"/>
      <c r="AC934" s="231"/>
      <c r="AD934" s="231"/>
    </row>
    <row r="935" spans="1:30" x14ac:dyDescent="0.25">
      <c r="A935" s="190"/>
      <c r="B935" s="423" t="s">
        <v>5401</v>
      </c>
      <c r="C935" s="423"/>
      <c r="D935" s="424" t="s">
        <v>5405</v>
      </c>
      <c r="E935" s="366"/>
      <c r="F935" s="366"/>
      <c r="G935" s="231" t="s">
        <v>5360</v>
      </c>
      <c r="H935" s="231"/>
      <c r="I935" s="423"/>
      <c r="K935" s="262" t="s">
        <v>4049</v>
      </c>
      <c r="L935" s="263">
        <v>38944</v>
      </c>
      <c r="M935" s="263">
        <v>40770</v>
      </c>
      <c r="N935" s="351"/>
      <c r="O935" s="351"/>
      <c r="P935" s="351"/>
      <c r="Q935" s="244"/>
      <c r="R935" s="245"/>
      <c r="T935" s="245"/>
      <c r="AB935" s="231"/>
      <c r="AC935" s="231"/>
      <c r="AD935" s="231"/>
    </row>
    <row r="936" spans="1:30" x14ac:dyDescent="0.25">
      <c r="A936" s="190"/>
      <c r="B936" s="423" t="s">
        <v>5401</v>
      </c>
      <c r="C936" s="423"/>
      <c r="D936" s="424" t="s">
        <v>5406</v>
      </c>
      <c r="E936" s="366"/>
      <c r="F936" s="366"/>
      <c r="G936" s="231" t="s">
        <v>5360</v>
      </c>
      <c r="H936" s="231"/>
      <c r="I936" s="423"/>
      <c r="K936" s="262" t="s">
        <v>4049</v>
      </c>
      <c r="L936" s="263">
        <v>38944</v>
      </c>
      <c r="M936" s="263">
        <v>40770</v>
      </c>
      <c r="N936" s="351"/>
      <c r="O936" s="351"/>
      <c r="P936" s="351"/>
      <c r="Q936" s="244"/>
      <c r="R936" s="245"/>
      <c r="T936" s="245"/>
      <c r="AB936" s="231"/>
      <c r="AC936" s="231"/>
      <c r="AD936" s="231"/>
    </row>
    <row r="937" spans="1:30" x14ac:dyDescent="0.25">
      <c r="A937" s="190"/>
      <c r="B937" s="423" t="s">
        <v>5401</v>
      </c>
      <c r="C937" s="423"/>
      <c r="D937" s="424" t="s">
        <v>5407</v>
      </c>
      <c r="E937" s="366"/>
      <c r="F937" s="366"/>
      <c r="G937" s="231" t="s">
        <v>5360</v>
      </c>
      <c r="H937" s="231"/>
      <c r="I937" s="423"/>
      <c r="K937" s="262" t="s">
        <v>4049</v>
      </c>
      <c r="L937" s="263">
        <v>38944</v>
      </c>
      <c r="M937" s="263">
        <v>40770</v>
      </c>
      <c r="N937" s="351"/>
      <c r="O937" s="351"/>
      <c r="P937" s="351"/>
      <c r="Q937" s="244"/>
      <c r="R937" s="245"/>
      <c r="T937" s="245"/>
      <c r="AB937" s="231"/>
      <c r="AC937" s="231"/>
      <c r="AD937" s="231"/>
    </row>
    <row r="938" spans="1:30" x14ac:dyDescent="0.25">
      <c r="A938" s="190"/>
      <c r="B938" s="423" t="s">
        <v>5401</v>
      </c>
      <c r="C938" s="423"/>
      <c r="D938" s="424" t="s">
        <v>5408</v>
      </c>
      <c r="E938" s="366"/>
      <c r="F938" s="366"/>
      <c r="G938" s="231" t="s">
        <v>5360</v>
      </c>
      <c r="H938" s="231"/>
      <c r="I938" s="423"/>
      <c r="K938" s="262" t="s">
        <v>4049</v>
      </c>
      <c r="L938" s="263">
        <v>38944</v>
      </c>
      <c r="M938" s="263">
        <v>40770</v>
      </c>
      <c r="N938" s="351"/>
      <c r="O938" s="351"/>
      <c r="P938" s="351"/>
      <c r="Q938" s="244"/>
      <c r="R938" s="245"/>
      <c r="T938" s="245"/>
      <c r="AB938" s="231"/>
      <c r="AC938" s="231"/>
      <c r="AD938" s="231"/>
    </row>
    <row r="939" spans="1:30" x14ac:dyDescent="0.25">
      <c r="A939" s="190"/>
      <c r="B939" s="427" t="s">
        <v>5409</v>
      </c>
      <c r="C939" s="427"/>
      <c r="D939" s="425" t="s">
        <v>5410</v>
      </c>
      <c r="E939" s="366"/>
      <c r="F939" s="366"/>
      <c r="G939" s="231" t="s">
        <v>5360</v>
      </c>
      <c r="H939" s="231"/>
      <c r="I939" s="427"/>
      <c r="K939" s="360"/>
      <c r="L939" s="360"/>
      <c r="M939" s="360"/>
      <c r="N939" s="351"/>
      <c r="O939" s="351"/>
      <c r="P939" s="351"/>
      <c r="Q939" s="244"/>
      <c r="R939" s="245"/>
      <c r="T939" s="245"/>
      <c r="AB939" s="231"/>
      <c r="AC939" s="231"/>
      <c r="AD939" s="231"/>
    </row>
    <row r="940" spans="1:30" x14ac:dyDescent="0.25">
      <c r="A940" s="190"/>
      <c r="B940" s="427" t="s">
        <v>5409</v>
      </c>
      <c r="C940" s="427"/>
      <c r="D940" s="425" t="s">
        <v>5411</v>
      </c>
      <c r="E940" s="366"/>
      <c r="F940" s="366"/>
      <c r="G940" s="231" t="s">
        <v>5360</v>
      </c>
      <c r="H940" s="231"/>
      <c r="I940" s="427"/>
      <c r="K940" s="360"/>
      <c r="L940" s="360"/>
      <c r="M940" s="360"/>
      <c r="N940" s="351"/>
      <c r="O940" s="351"/>
      <c r="P940" s="351"/>
      <c r="Q940" s="244"/>
      <c r="R940" s="245"/>
      <c r="T940" s="245"/>
      <c r="AB940" s="231"/>
      <c r="AC940" s="231"/>
      <c r="AD940" s="231"/>
    </row>
    <row r="941" spans="1:30" x14ac:dyDescent="0.25">
      <c r="A941" s="190"/>
      <c r="B941" s="427" t="s">
        <v>5412</v>
      </c>
      <c r="C941" s="427"/>
      <c r="D941" s="425" t="s">
        <v>5413</v>
      </c>
      <c r="E941" s="366"/>
      <c r="F941" s="366"/>
      <c r="G941" s="231" t="s">
        <v>5360</v>
      </c>
      <c r="H941" s="231"/>
      <c r="I941" s="427"/>
      <c r="K941" s="360"/>
      <c r="L941" s="360"/>
      <c r="M941" s="360"/>
      <c r="N941" s="351"/>
      <c r="O941" s="351"/>
      <c r="P941" s="351"/>
      <c r="Q941" s="244"/>
      <c r="R941" s="245"/>
      <c r="T941" s="245"/>
      <c r="AB941" s="231"/>
      <c r="AC941" s="231"/>
      <c r="AD941" s="231"/>
    </row>
    <row r="942" spans="1:30" x14ac:dyDescent="0.25">
      <c r="A942" s="190"/>
      <c r="B942" s="427" t="s">
        <v>5414</v>
      </c>
      <c r="C942" s="427"/>
      <c r="D942" s="425" t="s">
        <v>5415</v>
      </c>
      <c r="E942" s="366"/>
      <c r="F942" s="366"/>
      <c r="G942" s="231" t="s">
        <v>5360</v>
      </c>
      <c r="H942" s="231"/>
      <c r="I942" s="427"/>
      <c r="K942" s="360"/>
      <c r="L942" s="360"/>
      <c r="M942" s="360"/>
      <c r="N942" s="351"/>
      <c r="O942" s="351"/>
      <c r="P942" s="351"/>
      <c r="Q942" s="244"/>
      <c r="R942" s="245"/>
      <c r="T942" s="245"/>
      <c r="AB942" s="231"/>
      <c r="AC942" s="231"/>
      <c r="AD942" s="231"/>
    </row>
    <row r="943" spans="1:30" x14ac:dyDescent="0.25">
      <c r="A943" s="190"/>
      <c r="B943" s="427" t="s">
        <v>5416</v>
      </c>
      <c r="C943" s="427"/>
      <c r="D943" s="425" t="s">
        <v>5417</v>
      </c>
      <c r="E943" s="366"/>
      <c r="F943" s="366"/>
      <c r="G943" s="231" t="s">
        <v>5360</v>
      </c>
      <c r="H943" s="231"/>
      <c r="I943" s="427"/>
      <c r="K943" s="360"/>
      <c r="L943" s="360"/>
      <c r="M943" s="360"/>
      <c r="N943" s="351"/>
      <c r="O943" s="351"/>
      <c r="P943" s="351"/>
      <c r="Q943" s="244"/>
      <c r="R943" s="245"/>
      <c r="T943" s="245"/>
      <c r="AB943" s="231"/>
      <c r="AC943" s="231"/>
      <c r="AD943" s="231"/>
    </row>
    <row r="944" spans="1:30" x14ac:dyDescent="0.25">
      <c r="A944" s="190"/>
      <c r="B944" s="427" t="s">
        <v>5418</v>
      </c>
      <c r="C944" s="427"/>
      <c r="D944" s="424" t="s">
        <v>5419</v>
      </c>
      <c r="E944" s="366"/>
      <c r="F944" s="366"/>
      <c r="G944" s="231" t="s">
        <v>5360</v>
      </c>
      <c r="H944" s="231"/>
      <c r="I944" s="427"/>
      <c r="K944" s="360"/>
      <c r="L944" s="360"/>
      <c r="M944" s="360"/>
      <c r="N944" s="351"/>
      <c r="O944" s="351"/>
      <c r="P944" s="351"/>
      <c r="Q944" s="244"/>
      <c r="R944" s="245"/>
      <c r="T944" s="245"/>
      <c r="AB944" s="231"/>
      <c r="AC944" s="231"/>
      <c r="AD944" s="231"/>
    </row>
    <row r="945" spans="1:30" x14ac:dyDescent="0.25">
      <c r="A945" s="190"/>
      <c r="B945" s="427" t="s">
        <v>5420</v>
      </c>
      <c r="C945" s="427"/>
      <c r="D945" s="424" t="s">
        <v>5421</v>
      </c>
      <c r="E945" s="366"/>
      <c r="F945" s="366"/>
      <c r="G945" s="231" t="s">
        <v>5360</v>
      </c>
      <c r="H945" s="231"/>
      <c r="I945" s="427"/>
      <c r="K945" s="360"/>
      <c r="L945" s="360"/>
      <c r="M945" s="360"/>
      <c r="N945" s="351"/>
      <c r="O945" s="351"/>
      <c r="P945" s="351"/>
      <c r="Q945" s="244"/>
      <c r="R945" s="245"/>
      <c r="T945" s="245"/>
      <c r="AB945" s="231"/>
      <c r="AC945" s="231"/>
      <c r="AD945" s="231"/>
    </row>
    <row r="946" spans="1:30" x14ac:dyDescent="0.25">
      <c r="A946" s="190"/>
      <c r="B946" s="427" t="s">
        <v>5422</v>
      </c>
      <c r="C946" s="427"/>
      <c r="D946" s="424" t="s">
        <v>5423</v>
      </c>
      <c r="E946" s="366"/>
      <c r="F946" s="366"/>
      <c r="G946" s="231" t="s">
        <v>5360</v>
      </c>
      <c r="H946" s="231"/>
      <c r="I946" s="427"/>
      <c r="K946" s="360"/>
      <c r="L946" s="360"/>
      <c r="M946" s="360"/>
      <c r="N946" s="351"/>
      <c r="O946" s="351"/>
      <c r="P946" s="351"/>
      <c r="Q946" s="244"/>
      <c r="R946" s="245"/>
      <c r="T946" s="245"/>
      <c r="AB946" s="231"/>
      <c r="AC946" s="231"/>
      <c r="AD946" s="231"/>
    </row>
    <row r="947" spans="1:30" x14ac:dyDescent="0.25">
      <c r="A947" s="309">
        <v>687</v>
      </c>
      <c r="B947" s="190" t="s">
        <v>4900</v>
      </c>
      <c r="C947" s="190"/>
      <c r="E947" s="366" t="s">
        <v>5424</v>
      </c>
      <c r="F947" s="366"/>
      <c r="G947" s="231" t="s">
        <v>5425</v>
      </c>
      <c r="H947" s="231" t="s">
        <v>5426</v>
      </c>
      <c r="J947" s="172"/>
      <c r="K947" s="402" t="s">
        <v>4856</v>
      </c>
      <c r="L947" s="402"/>
      <c r="M947" s="402"/>
      <c r="N947" s="351">
        <v>2008</v>
      </c>
      <c r="O947" s="351"/>
      <c r="P947" s="176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  <c r="AA947" s="172"/>
      <c r="AB947" s="172"/>
      <c r="AC947" s="172"/>
      <c r="AD947" s="172"/>
    </row>
    <row r="948" spans="1:30" x14ac:dyDescent="0.25">
      <c r="A948" s="190">
        <v>688</v>
      </c>
      <c r="B948" s="190" t="s">
        <v>4181</v>
      </c>
      <c r="C948" s="190"/>
      <c r="D948" s="209" t="s">
        <v>2899</v>
      </c>
      <c r="E948" s="366" t="s">
        <v>3325</v>
      </c>
      <c r="F948" s="366"/>
      <c r="G948" s="231" t="s">
        <v>5425</v>
      </c>
      <c r="H948" s="231" t="s">
        <v>4270</v>
      </c>
      <c r="J948" s="172"/>
      <c r="K948" s="402" t="s">
        <v>4856</v>
      </c>
      <c r="L948" s="402"/>
      <c r="M948" s="402"/>
      <c r="N948" s="351">
        <v>2009</v>
      </c>
      <c r="O948" s="351"/>
      <c r="P948" s="351"/>
      <c r="Q948" s="244">
        <v>12</v>
      </c>
      <c r="R948" s="245">
        <v>42248</v>
      </c>
      <c r="S948" s="172"/>
      <c r="T948" s="172"/>
      <c r="U948" s="172"/>
      <c r="V948" s="172"/>
      <c r="W948" s="172"/>
      <c r="X948" s="172"/>
      <c r="Y948" s="172"/>
      <c r="Z948" s="172"/>
      <c r="AA948" s="172"/>
      <c r="AB948" s="172"/>
      <c r="AC948" s="172"/>
      <c r="AD948" s="172"/>
    </row>
    <row r="949" spans="1:30" x14ac:dyDescent="0.25">
      <c r="A949" s="190"/>
      <c r="B949" s="190" t="s">
        <v>4184</v>
      </c>
      <c r="C949" s="190"/>
      <c r="E949" s="366" t="s">
        <v>3317</v>
      </c>
      <c r="F949" s="366"/>
      <c r="G949" s="231" t="s">
        <v>5425</v>
      </c>
      <c r="H949" s="231" t="s">
        <v>4458</v>
      </c>
      <c r="J949" s="172"/>
      <c r="K949" s="402"/>
      <c r="L949" s="402"/>
      <c r="M949" s="402"/>
      <c r="N949" s="351"/>
      <c r="O949" s="351"/>
      <c r="P949" s="351"/>
      <c r="Q949" s="244">
        <v>12</v>
      </c>
      <c r="R949" s="245">
        <v>42248</v>
      </c>
      <c r="S949" s="172"/>
      <c r="T949" s="172"/>
      <c r="U949" s="172"/>
      <c r="V949" s="172"/>
      <c r="W949" s="172"/>
      <c r="X949" s="172"/>
      <c r="Y949" s="172"/>
      <c r="Z949" s="172"/>
      <c r="AA949" s="172"/>
      <c r="AB949" s="172"/>
      <c r="AC949" s="172"/>
      <c r="AD949" s="172"/>
    </row>
    <row r="950" spans="1:30" x14ac:dyDescent="0.25">
      <c r="A950" s="190"/>
      <c r="B950" s="190" t="s">
        <v>5427</v>
      </c>
      <c r="C950" s="190"/>
      <c r="E950" s="366"/>
      <c r="F950" s="366"/>
      <c r="G950" s="231" t="s">
        <v>5425</v>
      </c>
      <c r="H950" s="231" t="s">
        <v>5428</v>
      </c>
      <c r="J950" s="172"/>
      <c r="K950" s="402"/>
      <c r="L950" s="402"/>
      <c r="M950" s="402"/>
      <c r="N950" s="351"/>
      <c r="O950" s="351"/>
      <c r="P950" s="351"/>
      <c r="Q950" s="244">
        <v>12</v>
      </c>
      <c r="R950" s="245">
        <v>42248</v>
      </c>
      <c r="S950" s="172"/>
      <c r="T950" s="172"/>
      <c r="U950" s="172"/>
      <c r="V950" s="172"/>
      <c r="W950" s="172"/>
      <c r="X950" s="172"/>
      <c r="Y950" s="172"/>
      <c r="Z950" s="172"/>
      <c r="AA950" s="172"/>
      <c r="AB950" s="172"/>
      <c r="AC950" s="172"/>
      <c r="AD950" s="172"/>
    </row>
    <row r="951" spans="1:30" x14ac:dyDescent="0.25">
      <c r="A951" s="190">
        <v>689</v>
      </c>
      <c r="B951" s="186" t="s">
        <v>5429</v>
      </c>
      <c r="C951" s="186">
        <v>1</v>
      </c>
      <c r="D951" s="360" t="s">
        <v>3373</v>
      </c>
      <c r="E951" s="366" t="s">
        <v>3372</v>
      </c>
      <c r="F951" s="366"/>
      <c r="G951" s="231" t="s">
        <v>5425</v>
      </c>
      <c r="H951" s="231" t="s">
        <v>5310</v>
      </c>
      <c r="I951" s="186"/>
      <c r="J951" s="172"/>
      <c r="K951" s="402" t="s">
        <v>5430</v>
      </c>
      <c r="L951" s="402"/>
      <c r="M951" s="402"/>
      <c r="N951" s="351">
        <v>1992</v>
      </c>
      <c r="O951" s="351"/>
      <c r="P951" s="176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  <c r="AA951" s="172"/>
      <c r="AB951" s="172"/>
      <c r="AC951" s="172"/>
      <c r="AD951" s="172"/>
    </row>
    <row r="952" spans="1:30" x14ac:dyDescent="0.25">
      <c r="A952" s="309">
        <v>690</v>
      </c>
      <c r="B952" s="186" t="s">
        <v>5431</v>
      </c>
      <c r="C952" s="186">
        <v>1</v>
      </c>
      <c r="D952" s="402">
        <v>1370642</v>
      </c>
      <c r="E952" s="366" t="s">
        <v>5432</v>
      </c>
      <c r="F952" s="366"/>
      <c r="G952" s="231" t="s">
        <v>5425</v>
      </c>
      <c r="H952" s="231" t="s">
        <v>5310</v>
      </c>
      <c r="I952" s="186"/>
      <c r="J952" s="172"/>
      <c r="K952" s="402" t="s">
        <v>5433</v>
      </c>
      <c r="L952" s="402"/>
      <c r="M952" s="402"/>
      <c r="N952" s="351">
        <v>2003</v>
      </c>
      <c r="O952" s="351"/>
      <c r="P952" s="176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  <c r="AA952" s="172"/>
      <c r="AB952" s="172"/>
      <c r="AC952" s="172"/>
      <c r="AD952" s="172"/>
    </row>
    <row r="953" spans="1:30" x14ac:dyDescent="0.25">
      <c r="A953" s="190">
        <v>691</v>
      </c>
      <c r="B953" s="186" t="s">
        <v>5434</v>
      </c>
      <c r="C953" s="186"/>
      <c r="D953" s="360" t="s">
        <v>5435</v>
      </c>
      <c r="E953" s="366" t="s">
        <v>5436</v>
      </c>
      <c r="F953" s="366"/>
      <c r="G953" s="231" t="s">
        <v>5425</v>
      </c>
      <c r="H953" s="231" t="s">
        <v>5436</v>
      </c>
      <c r="I953" s="186"/>
      <c r="J953" s="172"/>
      <c r="K953" s="402"/>
      <c r="L953" s="402"/>
      <c r="M953" s="402"/>
      <c r="N953" s="351"/>
      <c r="O953" s="351"/>
      <c r="P953" s="176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  <c r="AA953" s="172"/>
      <c r="AB953" s="172"/>
      <c r="AC953" s="172"/>
      <c r="AD953" s="172"/>
    </row>
    <row r="954" spans="1:30" x14ac:dyDescent="0.25">
      <c r="A954" s="190">
        <v>692</v>
      </c>
      <c r="B954" s="186" t="s">
        <v>5437</v>
      </c>
      <c r="C954" s="186">
        <v>1</v>
      </c>
      <c r="D954" s="402">
        <v>1370847</v>
      </c>
      <c r="E954" s="366" t="s">
        <v>3360</v>
      </c>
      <c r="F954" s="366"/>
      <c r="G954" s="231" t="s">
        <v>5425</v>
      </c>
      <c r="H954" s="231" t="s">
        <v>5310</v>
      </c>
      <c r="I954" s="186"/>
      <c r="J954" s="172"/>
      <c r="K954" s="402" t="s">
        <v>5438</v>
      </c>
      <c r="L954" s="402"/>
      <c r="M954" s="402"/>
      <c r="N954" s="351">
        <v>1993</v>
      </c>
      <c r="O954" s="351"/>
      <c r="P954" s="176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  <c r="AA954" s="172"/>
      <c r="AB954" s="172"/>
      <c r="AC954" s="172"/>
      <c r="AD954" s="172"/>
    </row>
    <row r="955" spans="1:30" x14ac:dyDescent="0.25">
      <c r="A955" s="309">
        <v>693</v>
      </c>
      <c r="B955" s="186" t="s">
        <v>5439</v>
      </c>
      <c r="C955" s="186">
        <v>1</v>
      </c>
      <c r="D955" s="402">
        <v>8104049</v>
      </c>
      <c r="E955" s="366" t="s">
        <v>3367</v>
      </c>
      <c r="F955" s="366"/>
      <c r="G955" s="231" t="s">
        <v>5425</v>
      </c>
      <c r="H955" s="231" t="s">
        <v>5310</v>
      </c>
      <c r="I955" s="186"/>
      <c r="J955" s="172"/>
      <c r="K955" s="402" t="s">
        <v>5440</v>
      </c>
      <c r="L955" s="402"/>
      <c r="M955" s="402"/>
      <c r="N955" s="351">
        <v>2012</v>
      </c>
      <c r="O955" s="351"/>
      <c r="P955" s="176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  <c r="AA955" s="172"/>
      <c r="AB955" s="172"/>
      <c r="AC955" s="172"/>
      <c r="AD955" s="172"/>
    </row>
    <row r="956" spans="1:30" x14ac:dyDescent="0.25">
      <c r="A956" s="190">
        <v>694</v>
      </c>
      <c r="B956" s="186" t="s">
        <v>5441</v>
      </c>
      <c r="C956" s="186"/>
      <c r="D956" s="402">
        <v>1370273</v>
      </c>
      <c r="E956" s="366" t="s">
        <v>5442</v>
      </c>
      <c r="F956" s="366"/>
      <c r="G956" s="231" t="s">
        <v>5425</v>
      </c>
      <c r="H956" s="231" t="s">
        <v>5436</v>
      </c>
      <c r="I956" s="186"/>
      <c r="J956" s="172"/>
      <c r="K956" s="402"/>
      <c r="L956" s="402"/>
      <c r="M956" s="402"/>
      <c r="N956" s="351">
        <v>1969</v>
      </c>
      <c r="O956" s="351"/>
      <c r="P956" s="176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  <c r="AA956" s="172"/>
      <c r="AB956" s="172"/>
      <c r="AC956" s="172"/>
      <c r="AD956" s="172"/>
    </row>
    <row r="957" spans="1:30" x14ac:dyDescent="0.25">
      <c r="A957" s="190">
        <v>695</v>
      </c>
      <c r="B957" s="186" t="s">
        <v>5443</v>
      </c>
      <c r="C957" s="186">
        <v>1</v>
      </c>
      <c r="D957" s="402">
        <v>3101132</v>
      </c>
      <c r="E957" s="366" t="s">
        <v>3377</v>
      </c>
      <c r="F957" s="366"/>
      <c r="G957" s="231" t="s">
        <v>5425</v>
      </c>
      <c r="H957" s="231" t="s">
        <v>5310</v>
      </c>
      <c r="I957" s="186"/>
      <c r="J957" s="172"/>
      <c r="K957" s="402" t="s">
        <v>5444</v>
      </c>
      <c r="L957" s="402"/>
      <c r="M957" s="402"/>
      <c r="N957" s="351">
        <v>2003</v>
      </c>
      <c r="O957" s="351"/>
      <c r="P957" s="176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  <c r="AA957" s="172"/>
      <c r="AB957" s="172"/>
      <c r="AC957" s="172"/>
      <c r="AD957" s="172"/>
    </row>
    <row r="958" spans="1:30" x14ac:dyDescent="0.25">
      <c r="A958" s="309">
        <v>696</v>
      </c>
      <c r="B958" s="186" t="s">
        <v>5445</v>
      </c>
      <c r="C958" s="186"/>
      <c r="D958" s="360" t="s">
        <v>5446</v>
      </c>
      <c r="E958" s="366" t="s">
        <v>5447</v>
      </c>
      <c r="F958" s="366"/>
      <c r="G958" s="231" t="s">
        <v>5425</v>
      </c>
      <c r="H958" s="231"/>
      <c r="I958" s="186"/>
      <c r="J958" s="172"/>
      <c r="K958" s="402"/>
      <c r="L958" s="402"/>
      <c r="M958" s="402"/>
      <c r="N958" s="351"/>
      <c r="O958" s="351"/>
      <c r="P958" s="176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  <c r="AA958" s="172"/>
      <c r="AB958" s="172"/>
      <c r="AC958" s="172"/>
      <c r="AD958" s="172"/>
    </row>
    <row r="959" spans="1:30" x14ac:dyDescent="0.25">
      <c r="A959" s="190">
        <v>697</v>
      </c>
      <c r="B959" s="186" t="s">
        <v>5448</v>
      </c>
      <c r="C959" s="186">
        <v>1</v>
      </c>
      <c r="D959" s="360" t="s">
        <v>3363</v>
      </c>
      <c r="E959" s="366" t="s">
        <v>3362</v>
      </c>
      <c r="F959" s="366"/>
      <c r="G959" s="231" t="s">
        <v>5425</v>
      </c>
      <c r="H959" s="231" t="s">
        <v>5310</v>
      </c>
      <c r="I959" s="186"/>
      <c r="J959" s="172"/>
      <c r="K959" s="402" t="s">
        <v>5438</v>
      </c>
      <c r="L959" s="402"/>
      <c r="M959" s="402"/>
      <c r="N959" s="351">
        <v>2009</v>
      </c>
      <c r="O959" s="351"/>
      <c r="P959" s="176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  <c r="AA959" s="172"/>
      <c r="AB959" s="172"/>
      <c r="AC959" s="172"/>
      <c r="AD959" s="172"/>
    </row>
    <row r="960" spans="1:30" x14ac:dyDescent="0.25">
      <c r="A960" s="190">
        <v>700</v>
      </c>
      <c r="B960" s="418" t="s">
        <v>4203</v>
      </c>
      <c r="C960" s="169"/>
      <c r="D960" s="360" t="s">
        <v>3311</v>
      </c>
      <c r="E960" s="366" t="s">
        <v>3323</v>
      </c>
      <c r="F960" s="366"/>
      <c r="G960" s="231" t="s">
        <v>5425</v>
      </c>
      <c r="H960" s="231" t="s">
        <v>5449</v>
      </c>
      <c r="I960" s="169"/>
      <c r="J960" s="172"/>
      <c r="K960" s="262" t="s">
        <v>4047</v>
      </c>
      <c r="L960" s="263">
        <v>41272</v>
      </c>
      <c r="M960" s="263" t="s">
        <v>3958</v>
      </c>
      <c r="N960" s="351">
        <v>2011</v>
      </c>
      <c r="O960" s="351"/>
      <c r="P960" s="176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  <c r="AA960" s="172"/>
      <c r="AB960" s="172"/>
      <c r="AC960" s="172"/>
      <c r="AD960" s="172"/>
    </row>
    <row r="961" spans="1:30" x14ac:dyDescent="0.25">
      <c r="A961" s="190">
        <v>701</v>
      </c>
      <c r="B961" s="418" t="s">
        <v>4203</v>
      </c>
      <c r="C961" s="169"/>
      <c r="D961" s="360" t="s">
        <v>5450</v>
      </c>
      <c r="E961" s="366" t="s">
        <v>3310</v>
      </c>
      <c r="F961" s="366"/>
      <c r="G961" s="231" t="s">
        <v>5425</v>
      </c>
      <c r="H961" s="231" t="s">
        <v>5451</v>
      </c>
      <c r="I961" s="169"/>
      <c r="J961" s="172"/>
      <c r="K961" s="262" t="s">
        <v>4047</v>
      </c>
      <c r="L961" s="263">
        <v>41272</v>
      </c>
      <c r="M961" s="263" t="s">
        <v>3958</v>
      </c>
      <c r="N961" s="351">
        <v>2011</v>
      </c>
      <c r="O961" s="351"/>
      <c r="P961" s="176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  <c r="AA961" s="172"/>
      <c r="AB961" s="172"/>
      <c r="AC961" s="172"/>
      <c r="AD961" s="172"/>
    </row>
    <row r="962" spans="1:30" x14ac:dyDescent="0.25">
      <c r="A962" s="309">
        <v>702</v>
      </c>
      <c r="B962" s="186" t="s">
        <v>5452</v>
      </c>
      <c r="C962" s="186">
        <v>1</v>
      </c>
      <c r="D962" s="360" t="s">
        <v>5453</v>
      </c>
      <c r="E962" s="366" t="s">
        <v>3379</v>
      </c>
      <c r="F962" s="366"/>
      <c r="G962" s="231" t="s">
        <v>5425</v>
      </c>
      <c r="H962" s="231" t="s">
        <v>5310</v>
      </c>
      <c r="I962" s="186"/>
      <c r="J962" s="172"/>
      <c r="K962" s="402" t="s">
        <v>5454</v>
      </c>
      <c r="L962" s="402"/>
      <c r="M962" s="402"/>
      <c r="N962" s="351">
        <v>2009</v>
      </c>
      <c r="O962" s="351"/>
      <c r="P962" s="176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  <c r="AA962" s="172"/>
      <c r="AB962" s="172"/>
      <c r="AC962" s="172"/>
      <c r="AD962" s="172"/>
    </row>
    <row r="963" spans="1:30" x14ac:dyDescent="0.25">
      <c r="A963" s="190">
        <v>703</v>
      </c>
      <c r="B963" s="186" t="s">
        <v>5455</v>
      </c>
      <c r="C963" s="186"/>
      <c r="D963" s="360" t="s">
        <v>5456</v>
      </c>
      <c r="E963" s="366" t="s">
        <v>3382</v>
      </c>
      <c r="F963" s="366"/>
      <c r="G963" s="231" t="s">
        <v>5425</v>
      </c>
      <c r="H963" s="231" t="s">
        <v>5428</v>
      </c>
      <c r="I963" s="186"/>
      <c r="J963" s="172"/>
      <c r="K963" s="402" t="s">
        <v>5454</v>
      </c>
      <c r="L963" s="402"/>
      <c r="M963" s="402"/>
      <c r="N963" s="351">
        <v>2009</v>
      </c>
      <c r="O963" s="351"/>
      <c r="P963" s="176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  <c r="AA963" s="172"/>
      <c r="AB963" s="172"/>
      <c r="AC963" s="172"/>
      <c r="AD963" s="172"/>
    </row>
    <row r="964" spans="1:30" x14ac:dyDescent="0.25">
      <c r="A964" s="190">
        <v>704</v>
      </c>
      <c r="B964" s="186" t="s">
        <v>5457</v>
      </c>
      <c r="C964" s="186"/>
      <c r="D964" s="360" t="s">
        <v>5458</v>
      </c>
      <c r="E964" s="366" t="s">
        <v>4856</v>
      </c>
      <c r="F964" s="366"/>
      <c r="G964" s="231" t="s">
        <v>5425</v>
      </c>
      <c r="H964" s="231" t="s">
        <v>5436</v>
      </c>
      <c r="I964" s="186"/>
      <c r="J964" s="172"/>
      <c r="K964" s="402" t="s">
        <v>5459</v>
      </c>
      <c r="L964" s="402"/>
      <c r="M964" s="402"/>
      <c r="N964" s="351" t="s">
        <v>4856</v>
      </c>
      <c r="O964" s="351"/>
      <c r="P964" s="176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  <c r="AA964" s="172"/>
      <c r="AB964" s="172"/>
      <c r="AC964" s="172"/>
      <c r="AD964" s="172"/>
    </row>
    <row r="965" spans="1:30" x14ac:dyDescent="0.25">
      <c r="A965" s="309">
        <v>705</v>
      </c>
      <c r="B965" s="186" t="s">
        <v>5457</v>
      </c>
      <c r="C965" s="186"/>
      <c r="D965" s="360" t="s">
        <v>5460</v>
      </c>
      <c r="E965" s="366" t="s">
        <v>4856</v>
      </c>
      <c r="F965" s="366"/>
      <c r="G965" s="231" t="s">
        <v>5425</v>
      </c>
      <c r="H965" s="231" t="s">
        <v>5436</v>
      </c>
      <c r="I965" s="186"/>
      <c r="J965" s="172"/>
      <c r="K965" s="402" t="s">
        <v>5459</v>
      </c>
      <c r="L965" s="402"/>
      <c r="M965" s="402"/>
      <c r="N965" s="351" t="s">
        <v>4856</v>
      </c>
      <c r="O965" s="351"/>
      <c r="P965" s="176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  <c r="AA965" s="172"/>
      <c r="AB965" s="172"/>
      <c r="AC965" s="172"/>
      <c r="AD965" s="172"/>
    </row>
    <row r="966" spans="1:30" x14ac:dyDescent="0.25">
      <c r="A966" s="190">
        <v>706</v>
      </c>
      <c r="B966" s="186" t="s">
        <v>5461</v>
      </c>
      <c r="C966" s="186"/>
      <c r="D966" s="360" t="s">
        <v>5462</v>
      </c>
      <c r="E966" s="366" t="s">
        <v>4856</v>
      </c>
      <c r="F966" s="366"/>
      <c r="G966" s="231" t="s">
        <v>5425</v>
      </c>
      <c r="H966" s="231" t="s">
        <v>5463</v>
      </c>
      <c r="I966" s="186"/>
      <c r="J966" s="172"/>
      <c r="K966" s="402" t="s">
        <v>5464</v>
      </c>
      <c r="L966" s="402"/>
      <c r="M966" s="402"/>
      <c r="N966" s="351">
        <v>2007</v>
      </c>
      <c r="O966" s="351"/>
      <c r="P966" s="176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  <c r="AA966" s="172"/>
      <c r="AB966" s="172"/>
      <c r="AC966" s="172"/>
      <c r="AD966" s="172"/>
    </row>
    <row r="967" spans="1:30" x14ac:dyDescent="0.25">
      <c r="A967" s="190">
        <v>707</v>
      </c>
      <c r="B967" s="186" t="s">
        <v>4207</v>
      </c>
      <c r="C967" s="186"/>
      <c r="D967" s="360" t="s">
        <v>5465</v>
      </c>
      <c r="E967" s="366" t="s">
        <v>3864</v>
      </c>
      <c r="F967" s="366"/>
      <c r="G967" s="231" t="s">
        <v>5425</v>
      </c>
      <c r="H967" s="231" t="s">
        <v>5466</v>
      </c>
      <c r="I967" s="186"/>
      <c r="J967" s="172"/>
      <c r="K967" s="402" t="s">
        <v>5467</v>
      </c>
      <c r="L967" s="368">
        <v>37651</v>
      </c>
      <c r="M967" s="368">
        <v>41218</v>
      </c>
      <c r="N967" s="351">
        <v>2008</v>
      </c>
      <c r="O967" s="351"/>
      <c r="P967" s="176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  <c r="AA967" s="172"/>
      <c r="AB967" s="172"/>
      <c r="AC967" s="172"/>
      <c r="AD967" s="172"/>
    </row>
    <row r="968" spans="1:30" x14ac:dyDescent="0.25">
      <c r="A968" s="309">
        <v>711</v>
      </c>
      <c r="B968" s="186" t="s">
        <v>5468</v>
      </c>
      <c r="C968" s="186"/>
      <c r="D968" s="402">
        <v>1370515</v>
      </c>
      <c r="E968" s="366" t="s">
        <v>5469</v>
      </c>
      <c r="F968" s="366"/>
      <c r="G968" s="231" t="s">
        <v>5425</v>
      </c>
      <c r="H968" s="231" t="s">
        <v>5428</v>
      </c>
      <c r="I968" s="186"/>
      <c r="J968" s="172"/>
      <c r="K968" s="402" t="s">
        <v>4856</v>
      </c>
      <c r="L968" s="310"/>
      <c r="M968" s="263"/>
      <c r="N968" s="231" t="s">
        <v>4856</v>
      </c>
      <c r="O968" s="351"/>
      <c r="P968" s="351"/>
      <c r="Q968" s="244">
        <v>12</v>
      </c>
      <c r="R968" s="245">
        <v>41556</v>
      </c>
      <c r="S968" s="311" t="s">
        <v>4177</v>
      </c>
      <c r="T968" s="245">
        <v>41921</v>
      </c>
      <c r="U968" s="231" t="s">
        <v>4178</v>
      </c>
      <c r="V968" s="172"/>
      <c r="W968" s="172"/>
      <c r="X968" s="172"/>
      <c r="Y968" s="172"/>
      <c r="Z968" s="231">
        <v>1</v>
      </c>
      <c r="AA968" s="231" t="s">
        <v>4179</v>
      </c>
      <c r="AB968" s="172"/>
      <c r="AC968" s="172"/>
      <c r="AD968" s="172"/>
    </row>
    <row r="969" spans="1:30" x14ac:dyDescent="0.25">
      <c r="A969" s="190">
        <v>712</v>
      </c>
      <c r="B969" s="190" t="s">
        <v>4173</v>
      </c>
      <c r="C969" s="190"/>
      <c r="D969" s="402">
        <v>4700327</v>
      </c>
      <c r="E969" s="366" t="s">
        <v>5470</v>
      </c>
      <c r="F969" s="366"/>
      <c r="G969" s="231" t="s">
        <v>5425</v>
      </c>
      <c r="H969" s="231" t="s">
        <v>5428</v>
      </c>
      <c r="J969" s="172"/>
      <c r="K969" s="262" t="s">
        <v>4176</v>
      </c>
      <c r="L969" s="310">
        <v>38128</v>
      </c>
      <c r="M969" s="263">
        <v>41780</v>
      </c>
      <c r="N969" s="231">
        <v>2007</v>
      </c>
      <c r="O969" s="351"/>
      <c r="P969" s="351"/>
      <c r="Q969" s="244">
        <v>12</v>
      </c>
      <c r="R969" s="245">
        <v>41556</v>
      </c>
      <c r="S969" s="311" t="s">
        <v>4177</v>
      </c>
      <c r="T969" s="245">
        <v>41921</v>
      </c>
      <c r="U969" s="231" t="s">
        <v>4178</v>
      </c>
      <c r="V969" s="172"/>
      <c r="W969" s="172"/>
      <c r="X969" s="172"/>
      <c r="Y969" s="172"/>
      <c r="Z969" s="231">
        <v>1</v>
      </c>
      <c r="AA969" s="231" t="s">
        <v>4179</v>
      </c>
      <c r="AB969" s="172"/>
      <c r="AC969" s="172"/>
      <c r="AD969" s="172"/>
    </row>
    <row r="970" spans="1:30" x14ac:dyDescent="0.25">
      <c r="A970" s="190">
        <v>713</v>
      </c>
      <c r="B970" s="186" t="s">
        <v>5461</v>
      </c>
      <c r="C970" s="186"/>
      <c r="D970" s="360" t="s">
        <v>5462</v>
      </c>
      <c r="E970" s="366" t="s">
        <v>4856</v>
      </c>
      <c r="F970" s="366"/>
      <c r="G970" s="231" t="s">
        <v>5425</v>
      </c>
      <c r="H970" s="231" t="s">
        <v>4270</v>
      </c>
      <c r="I970" s="186"/>
      <c r="J970" s="172"/>
      <c r="K970" s="402" t="s">
        <v>5464</v>
      </c>
      <c r="L970" s="402"/>
      <c r="M970" s="402"/>
      <c r="N970" s="351">
        <v>2007</v>
      </c>
      <c r="O970" s="351"/>
      <c r="P970" s="176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  <c r="AA970" s="172"/>
      <c r="AB970" s="172"/>
      <c r="AC970" s="172"/>
      <c r="AD970" s="172"/>
    </row>
    <row r="971" spans="1:30" x14ac:dyDescent="0.25">
      <c r="A971" s="190">
        <v>714</v>
      </c>
      <c r="B971" s="186" t="s">
        <v>5461</v>
      </c>
      <c r="C971" s="186"/>
      <c r="D971" s="360" t="s">
        <v>5462</v>
      </c>
      <c r="E971" s="366" t="s">
        <v>4856</v>
      </c>
      <c r="F971" s="366"/>
      <c r="G971" s="231" t="s">
        <v>5425</v>
      </c>
      <c r="H971" s="231" t="s">
        <v>5471</v>
      </c>
      <c r="I971" s="186"/>
      <c r="J971" s="172"/>
      <c r="K971" s="402" t="s">
        <v>5464</v>
      </c>
      <c r="L971" s="402"/>
      <c r="M971" s="402"/>
      <c r="N971" s="351">
        <v>2007</v>
      </c>
      <c r="O971" s="351"/>
      <c r="P971" s="176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  <c r="AA971" s="172"/>
      <c r="AB971" s="172"/>
      <c r="AC971" s="172"/>
      <c r="AD971" s="172"/>
    </row>
    <row r="972" spans="1:30" x14ac:dyDescent="0.25">
      <c r="A972" s="190">
        <v>715</v>
      </c>
      <c r="B972" s="186" t="s">
        <v>5443</v>
      </c>
      <c r="C972" s="186">
        <v>1</v>
      </c>
      <c r="D972" s="360" t="s">
        <v>4856</v>
      </c>
      <c r="E972" s="366" t="s">
        <v>3374</v>
      </c>
      <c r="F972" s="366"/>
      <c r="G972" s="231" t="s">
        <v>5425</v>
      </c>
      <c r="H972" s="231" t="s">
        <v>5310</v>
      </c>
      <c r="I972" s="186"/>
      <c r="J972" s="172"/>
      <c r="K972" s="402" t="s">
        <v>4856</v>
      </c>
      <c r="L972" s="402"/>
      <c r="M972" s="402"/>
      <c r="N972" s="351">
        <v>1988</v>
      </c>
      <c r="O972" s="351"/>
      <c r="P972" s="176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  <c r="AA972" s="172"/>
      <c r="AB972" s="172"/>
      <c r="AC972" s="172"/>
      <c r="AD972" s="172"/>
    </row>
    <row r="973" spans="1:30" x14ac:dyDescent="0.25">
      <c r="A973" s="190">
        <v>716</v>
      </c>
      <c r="B973" s="186" t="s">
        <v>5445</v>
      </c>
      <c r="C973" s="186">
        <v>1</v>
      </c>
      <c r="D973" s="360">
        <v>1370153</v>
      </c>
      <c r="E973" s="366" t="s">
        <v>5472</v>
      </c>
      <c r="F973" s="366"/>
      <c r="G973" s="231" t="s">
        <v>5425</v>
      </c>
      <c r="H973" s="231" t="s">
        <v>5310</v>
      </c>
      <c r="I973" s="186"/>
      <c r="J973" s="172"/>
      <c r="K973" s="402" t="s">
        <v>5438</v>
      </c>
      <c r="L973" s="402"/>
      <c r="M973" s="402"/>
      <c r="N973" s="351">
        <v>1994</v>
      </c>
      <c r="O973" s="351"/>
      <c r="P973" s="176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  <c r="AA973" s="172"/>
      <c r="AB973" s="172"/>
      <c r="AC973" s="172"/>
      <c r="AD973" s="172"/>
    </row>
    <row r="974" spans="1:30" x14ac:dyDescent="0.25">
      <c r="A974" s="190">
        <v>717</v>
      </c>
      <c r="B974" s="186" t="s">
        <v>5443</v>
      </c>
      <c r="C974" s="186">
        <v>1</v>
      </c>
      <c r="D974" s="360">
        <v>61310151</v>
      </c>
      <c r="E974" s="366" t="s">
        <v>5473</v>
      </c>
      <c r="F974" s="366"/>
      <c r="G974" s="231" t="s">
        <v>5425</v>
      </c>
      <c r="H974" s="231" t="s">
        <v>5310</v>
      </c>
      <c r="I974" s="186"/>
      <c r="J974" s="172"/>
      <c r="K974" s="402" t="s">
        <v>4856</v>
      </c>
      <c r="L974" s="402"/>
      <c r="M974" s="402"/>
      <c r="N974" s="351">
        <v>1988</v>
      </c>
      <c r="O974" s="351"/>
      <c r="P974" s="176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  <c r="AA974" s="172"/>
      <c r="AB974" s="172"/>
      <c r="AC974" s="172"/>
      <c r="AD974" s="172"/>
    </row>
    <row r="975" spans="1:30" x14ac:dyDescent="0.25">
      <c r="A975" s="190">
        <v>718</v>
      </c>
      <c r="B975" s="186" t="s">
        <v>5474</v>
      </c>
      <c r="C975" s="186">
        <v>1</v>
      </c>
      <c r="D975" s="360" t="s">
        <v>4856</v>
      </c>
      <c r="E975" s="366" t="s">
        <v>3356</v>
      </c>
      <c r="F975" s="366"/>
      <c r="G975" s="231" t="s">
        <v>5425</v>
      </c>
      <c r="H975" s="231" t="s">
        <v>5310</v>
      </c>
      <c r="I975" s="186"/>
      <c r="J975" s="172"/>
      <c r="K975" s="402" t="s">
        <v>5475</v>
      </c>
      <c r="L975" s="402"/>
      <c r="M975" s="402"/>
      <c r="N975" s="351">
        <v>2009</v>
      </c>
      <c r="O975" s="351"/>
      <c r="P975" s="176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  <c r="AA975" s="172"/>
      <c r="AB975" s="172"/>
      <c r="AC975" s="172"/>
      <c r="AD975" s="172"/>
    </row>
    <row r="976" spans="1:30" x14ac:dyDescent="0.25">
      <c r="A976" s="190">
        <v>719</v>
      </c>
      <c r="B976" s="186" t="s">
        <v>5476</v>
      </c>
      <c r="C976" s="186">
        <v>1</v>
      </c>
      <c r="D976" s="360" t="s">
        <v>4856</v>
      </c>
      <c r="E976" s="366" t="s">
        <v>5477</v>
      </c>
      <c r="F976" s="366"/>
      <c r="G976" s="231" t="s">
        <v>5425</v>
      </c>
      <c r="H976" s="231" t="s">
        <v>5310</v>
      </c>
      <c r="I976" s="186"/>
      <c r="J976" s="172"/>
      <c r="K976" s="402" t="s">
        <v>4856</v>
      </c>
      <c r="L976" s="402"/>
      <c r="M976" s="402"/>
      <c r="N976" s="351">
        <v>1995</v>
      </c>
      <c r="O976" s="351"/>
      <c r="P976" s="176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  <c r="AA976" s="172"/>
      <c r="AB976" s="172"/>
      <c r="AC976" s="172"/>
      <c r="AD976" s="172"/>
    </row>
    <row r="977" spans="1:30" x14ac:dyDescent="0.25">
      <c r="A977" s="428">
        <v>720</v>
      </c>
      <c r="B977" s="190" t="s">
        <v>4900</v>
      </c>
      <c r="C977" s="428"/>
      <c r="D977" s="387" t="s">
        <v>4856</v>
      </c>
      <c r="E977" s="295">
        <v>8102980</v>
      </c>
      <c r="F977" s="295"/>
      <c r="G977" s="231" t="s">
        <v>5425</v>
      </c>
      <c r="H977" s="429" t="s">
        <v>5478</v>
      </c>
      <c r="I977" s="428"/>
      <c r="J977" s="172"/>
      <c r="K977" s="430" t="s">
        <v>4856</v>
      </c>
      <c r="L977" s="430"/>
      <c r="M977" s="430"/>
      <c r="N977" s="431">
        <v>2010</v>
      </c>
      <c r="O977" s="431"/>
      <c r="P977" s="176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  <c r="AA977" s="172"/>
      <c r="AB977" s="172"/>
      <c r="AC977" s="172"/>
      <c r="AD977" s="172"/>
    </row>
    <row r="978" spans="1:30" x14ac:dyDescent="0.25">
      <c r="A978" s="428">
        <v>721</v>
      </c>
      <c r="B978" s="190" t="s">
        <v>4900</v>
      </c>
      <c r="C978" s="428"/>
      <c r="D978" s="387" t="s">
        <v>4856</v>
      </c>
      <c r="E978" s="295" t="s">
        <v>5479</v>
      </c>
      <c r="F978" s="295"/>
      <c r="G978" s="231" t="s">
        <v>5425</v>
      </c>
      <c r="H978" s="429" t="s">
        <v>5426</v>
      </c>
      <c r="I978" s="428"/>
      <c r="J978" s="172"/>
      <c r="K978" s="430" t="s">
        <v>4856</v>
      </c>
      <c r="L978" s="430"/>
      <c r="M978" s="430"/>
      <c r="N978" s="431">
        <v>2010</v>
      </c>
      <c r="O978" s="431"/>
      <c r="P978" s="176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  <c r="AA978" s="172"/>
      <c r="AB978" s="172"/>
      <c r="AC978" s="172"/>
      <c r="AD978" s="172"/>
    </row>
    <row r="979" spans="1:30" x14ac:dyDescent="0.25">
      <c r="A979" s="190">
        <v>689</v>
      </c>
      <c r="B979" s="190" t="s">
        <v>5480</v>
      </c>
      <c r="C979" s="190"/>
      <c r="E979" s="366"/>
      <c r="F979" s="366"/>
      <c r="G979" s="231" t="s">
        <v>132</v>
      </c>
      <c r="H979" s="231"/>
      <c r="K979" s="402"/>
      <c r="L979" s="402"/>
      <c r="M979" s="402"/>
      <c r="N979" s="351"/>
      <c r="O979" s="351"/>
      <c r="P979" s="351"/>
      <c r="Q979" s="244">
        <v>24</v>
      </c>
      <c r="R979" s="245">
        <v>40717</v>
      </c>
      <c r="S979" s="311" t="s">
        <v>5481</v>
      </c>
      <c r="T979" s="245">
        <f>R979+Q979*30.42</f>
        <v>41447.08</v>
      </c>
      <c r="U979" s="231" t="s">
        <v>5482</v>
      </c>
      <c r="Z979" s="231">
        <v>1</v>
      </c>
      <c r="AA979" s="231" t="s">
        <v>4179</v>
      </c>
      <c r="AB979" s="231"/>
      <c r="AC979" s="231"/>
      <c r="AD979" s="231"/>
    </row>
    <row r="980" spans="1:30" x14ac:dyDescent="0.25">
      <c r="A980" s="190">
        <v>690</v>
      </c>
      <c r="B980" s="190" t="s">
        <v>5483</v>
      </c>
      <c r="C980" s="190"/>
      <c r="E980" s="210"/>
      <c r="F980" s="210"/>
      <c r="G980" s="231" t="s">
        <v>132</v>
      </c>
      <c r="H980" s="231"/>
      <c r="K980" s="402"/>
      <c r="L980" s="402"/>
      <c r="M980" s="402"/>
      <c r="N980" s="367"/>
      <c r="O980" s="367"/>
      <c r="P980" s="367"/>
      <c r="Q980" s="244">
        <v>24</v>
      </c>
      <c r="R980" s="245">
        <v>40717</v>
      </c>
      <c r="S980" s="311" t="s">
        <v>5481</v>
      </c>
      <c r="T980" s="245">
        <f>R980+Q980*30.42</f>
        <v>41447.08</v>
      </c>
      <c r="U980" s="231" t="s">
        <v>5482</v>
      </c>
      <c r="Z980" s="231">
        <v>1</v>
      </c>
      <c r="AA980" s="231" t="s">
        <v>4179</v>
      </c>
      <c r="AB980" s="231"/>
      <c r="AC980" s="231"/>
      <c r="AD980" s="231"/>
    </row>
    <row r="981" spans="1:30" x14ac:dyDescent="0.25">
      <c r="A981" s="190">
        <v>691</v>
      </c>
      <c r="B981" s="190" t="s">
        <v>5484</v>
      </c>
      <c r="C981" s="190"/>
      <c r="E981" s="210"/>
      <c r="F981" s="210"/>
      <c r="G981" s="231" t="s">
        <v>132</v>
      </c>
      <c r="H981" s="231"/>
      <c r="K981" s="402"/>
      <c r="L981" s="402"/>
      <c r="M981" s="402"/>
      <c r="N981" s="367"/>
      <c r="O981" s="367"/>
      <c r="P981" s="367"/>
      <c r="Q981" s="244">
        <v>24</v>
      </c>
      <c r="R981" s="245">
        <v>40717</v>
      </c>
      <c r="S981" s="311" t="s">
        <v>5481</v>
      </c>
      <c r="T981" s="245">
        <f>R981+Q981*30.42</f>
        <v>41447.08</v>
      </c>
      <c r="U981" s="231" t="s">
        <v>5482</v>
      </c>
      <c r="Z981" s="231">
        <v>1</v>
      </c>
      <c r="AA981" s="231" t="s">
        <v>4179</v>
      </c>
      <c r="AB981" s="231"/>
      <c r="AC981" s="231"/>
      <c r="AD981" s="231"/>
    </row>
    <row r="982" spans="1:30" x14ac:dyDescent="0.25">
      <c r="A982" s="190">
        <v>692</v>
      </c>
      <c r="B982" s="190" t="s">
        <v>5485</v>
      </c>
      <c r="C982" s="190"/>
      <c r="E982" s="210"/>
      <c r="F982" s="210"/>
      <c r="G982" s="231" t="s">
        <v>132</v>
      </c>
      <c r="H982" s="231"/>
      <c r="K982" s="360"/>
      <c r="L982" s="360"/>
      <c r="M982" s="360"/>
      <c r="N982" s="367"/>
      <c r="O982" s="367"/>
      <c r="P982" s="367"/>
      <c r="Q982" s="244">
        <v>24</v>
      </c>
      <c r="R982" s="245">
        <v>40717</v>
      </c>
      <c r="S982" s="311" t="s">
        <v>5481</v>
      </c>
      <c r="T982" s="245">
        <f>R982+Q982*30.42</f>
        <v>41447.08</v>
      </c>
      <c r="U982" s="231" t="s">
        <v>5482</v>
      </c>
      <c r="Z982" s="231">
        <v>1</v>
      </c>
      <c r="AA982" s="231" t="s">
        <v>4179</v>
      </c>
      <c r="AB982" s="231"/>
      <c r="AC982" s="231"/>
      <c r="AD982" s="231"/>
    </row>
    <row r="983" spans="1:30" x14ac:dyDescent="0.25">
      <c r="A983" s="190">
        <v>693</v>
      </c>
      <c r="B983" s="190" t="s">
        <v>5486</v>
      </c>
      <c r="C983" s="190"/>
      <c r="E983" s="210"/>
      <c r="F983" s="210"/>
      <c r="G983" s="231" t="s">
        <v>132</v>
      </c>
      <c r="H983" s="231"/>
      <c r="K983" s="402"/>
      <c r="L983" s="402"/>
      <c r="M983" s="402"/>
      <c r="N983" s="367"/>
      <c r="O983" s="367"/>
      <c r="P983" s="367"/>
      <c r="Q983" s="244">
        <v>24</v>
      </c>
      <c r="R983" s="245">
        <v>40717</v>
      </c>
      <c r="S983" s="311" t="s">
        <v>5481</v>
      </c>
      <c r="T983" s="245">
        <f>R983+Q983*30.42</f>
        <v>41447.08</v>
      </c>
      <c r="U983" s="231" t="s">
        <v>5482</v>
      </c>
      <c r="Z983" s="231">
        <v>1</v>
      </c>
      <c r="AA983" s="231" t="s">
        <v>4179</v>
      </c>
      <c r="AB983" s="231"/>
      <c r="AC983" s="231"/>
      <c r="AD983" s="231"/>
    </row>
    <row r="984" spans="1:30" ht="15.75" x14ac:dyDescent="0.25">
      <c r="A984" s="309">
        <v>694</v>
      </c>
      <c r="B984" s="432" t="s">
        <v>5487</v>
      </c>
      <c r="C984" s="433">
        <v>1</v>
      </c>
      <c r="E984" s="210"/>
      <c r="F984" s="210"/>
      <c r="G984" s="231" t="s">
        <v>132</v>
      </c>
      <c r="H984" s="231"/>
      <c r="I984" s="433"/>
      <c r="K984" s="301" t="s">
        <v>5488</v>
      </c>
      <c r="L984" s="210" t="s">
        <v>5489</v>
      </c>
      <c r="M984" s="210" t="s">
        <v>3958</v>
      </c>
      <c r="N984" s="434"/>
      <c r="O984" s="434"/>
      <c r="P984" s="434"/>
      <c r="Q984" s="244"/>
      <c r="R984" s="245"/>
      <c r="AB984" s="231"/>
      <c r="AC984" s="231"/>
      <c r="AD984" s="231"/>
    </row>
    <row r="985" spans="1:30" ht="15.75" x14ac:dyDescent="0.25">
      <c r="A985" s="190"/>
      <c r="B985" s="432" t="s">
        <v>5490</v>
      </c>
      <c r="C985" s="433">
        <v>1</v>
      </c>
      <c r="E985" s="209"/>
      <c r="F985" s="346"/>
      <c r="G985" s="231" t="s">
        <v>132</v>
      </c>
      <c r="H985" s="231"/>
      <c r="I985" s="433"/>
      <c r="K985" s="435" t="s">
        <v>5491</v>
      </c>
      <c r="L985" s="406">
        <v>37909</v>
      </c>
      <c r="M985" s="436" t="s">
        <v>5492</v>
      </c>
      <c r="N985" s="437"/>
      <c r="O985" s="437"/>
      <c r="P985" s="437"/>
      <c r="Q985" s="244"/>
      <c r="R985" s="245"/>
      <c r="AB985" s="231"/>
      <c r="AC985" s="231"/>
      <c r="AD985" s="231"/>
    </row>
    <row r="986" spans="1:30" ht="15.75" x14ac:dyDescent="0.25">
      <c r="A986" s="190"/>
      <c r="B986" s="432" t="s">
        <v>5493</v>
      </c>
      <c r="C986" s="433">
        <v>1</v>
      </c>
      <c r="E986" s="209"/>
      <c r="F986" s="209"/>
      <c r="G986" s="231" t="s">
        <v>132</v>
      </c>
      <c r="H986" s="231"/>
      <c r="I986" s="433"/>
      <c r="K986" s="301" t="s">
        <v>5494</v>
      </c>
      <c r="L986" s="436" t="s">
        <v>5495</v>
      </c>
      <c r="M986" s="436" t="s">
        <v>3958</v>
      </c>
      <c r="N986" s="437"/>
      <c r="O986" s="437"/>
      <c r="P986" s="437"/>
      <c r="Q986" s="244"/>
      <c r="R986" s="245"/>
      <c r="AB986" s="231"/>
      <c r="AC986" s="231"/>
      <c r="AD986" s="231"/>
    </row>
    <row r="987" spans="1:30" ht="15.75" x14ac:dyDescent="0.25">
      <c r="A987" s="190"/>
      <c r="B987" s="432" t="s">
        <v>5496</v>
      </c>
      <c r="C987" s="433">
        <v>1</v>
      </c>
      <c r="E987" s="209"/>
      <c r="F987" s="209"/>
      <c r="G987" s="231" t="s">
        <v>132</v>
      </c>
      <c r="H987" s="231"/>
      <c r="I987" s="433"/>
      <c r="K987" s="301"/>
      <c r="L987" s="436"/>
      <c r="M987" s="436"/>
      <c r="N987" s="437"/>
      <c r="O987" s="437"/>
      <c r="P987" s="437"/>
      <c r="Q987" s="244"/>
      <c r="R987" s="245"/>
      <c r="AB987" s="231"/>
      <c r="AC987" s="231"/>
      <c r="AD987" s="231"/>
    </row>
    <row r="988" spans="1:30" ht="15.75" x14ac:dyDescent="0.25">
      <c r="A988" s="190"/>
      <c r="B988" s="432" t="s">
        <v>5497</v>
      </c>
      <c r="C988" s="433">
        <v>1</v>
      </c>
      <c r="E988" s="209"/>
      <c r="F988" s="209"/>
      <c r="G988" s="231" t="s">
        <v>5498</v>
      </c>
      <c r="H988" s="231"/>
      <c r="I988" s="433"/>
      <c r="K988" s="301" t="s">
        <v>5499</v>
      </c>
      <c r="L988" s="436"/>
      <c r="M988" s="436"/>
      <c r="N988" s="437"/>
      <c r="O988" s="437"/>
      <c r="P988" s="437"/>
      <c r="Q988" s="244"/>
      <c r="R988" s="245"/>
      <c r="AB988" s="231"/>
      <c r="AC988" s="231"/>
      <c r="AD988" s="231"/>
    </row>
    <row r="989" spans="1:30" x14ac:dyDescent="0.25">
      <c r="A989" s="190"/>
      <c r="B989" s="438" t="s">
        <v>5500</v>
      </c>
      <c r="C989" s="190">
        <v>1</v>
      </c>
      <c r="E989" s="209"/>
      <c r="F989" s="209"/>
      <c r="G989" s="231" t="s">
        <v>149</v>
      </c>
      <c r="H989" s="231"/>
      <c r="L989" s="231"/>
      <c r="M989" s="231"/>
      <c r="N989" s="190"/>
      <c r="Q989" s="244"/>
      <c r="R989" s="245"/>
      <c r="AB989" s="231"/>
      <c r="AC989" s="231"/>
      <c r="AD989" s="231"/>
    </row>
    <row r="990" spans="1:30" x14ac:dyDescent="0.25">
      <c r="B990" s="185" t="s">
        <v>5501</v>
      </c>
      <c r="E990" s="292" t="s">
        <v>5502</v>
      </c>
      <c r="G990" s="229" t="s">
        <v>442</v>
      </c>
      <c r="H990" s="229" t="s">
        <v>3941</v>
      </c>
      <c r="K990" s="262" t="s">
        <v>5503</v>
      </c>
      <c r="L990" s="335">
        <v>43161</v>
      </c>
      <c r="M990" s="225" t="s">
        <v>3958</v>
      </c>
      <c r="O990" s="439">
        <v>45753</v>
      </c>
      <c r="P990" s="247" t="s">
        <v>5504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0"/>
  <sheetViews>
    <sheetView workbookViewId="0">
      <selection activeCell="C6" sqref="C6:F8"/>
    </sheetView>
  </sheetViews>
  <sheetFormatPr defaultRowHeight="15" x14ac:dyDescent="0.25"/>
  <cols>
    <col min="1" max="1" width="5.42578125" customWidth="1"/>
    <col min="2" max="2" width="46.7109375" customWidth="1"/>
    <col min="3" max="3" width="18.28515625" customWidth="1"/>
    <col min="4" max="4" width="17.5703125" customWidth="1"/>
    <col min="5" max="5" width="10.140625" customWidth="1"/>
    <col min="6" max="6" width="24" customWidth="1"/>
    <col min="7" max="7" width="18.28515625" customWidth="1"/>
  </cols>
  <sheetData>
    <row r="1" spans="1:7" x14ac:dyDescent="0.25">
      <c r="A1" s="158">
        <v>1</v>
      </c>
      <c r="B1" s="159" t="s">
        <v>3721</v>
      </c>
      <c r="C1" s="160" t="s">
        <v>3720</v>
      </c>
      <c r="D1" s="155" t="s">
        <v>3705</v>
      </c>
      <c r="E1" s="156">
        <v>2010</v>
      </c>
      <c r="F1" s="138" t="s">
        <v>3557</v>
      </c>
      <c r="G1" s="180" t="s">
        <v>3558</v>
      </c>
    </row>
    <row r="2" spans="1:7" x14ac:dyDescent="0.25">
      <c r="A2" s="154">
        <v>2</v>
      </c>
      <c r="B2" s="159" t="s">
        <v>3719</v>
      </c>
      <c r="C2" s="160" t="s">
        <v>3706</v>
      </c>
      <c r="D2" s="155" t="s">
        <v>3707</v>
      </c>
      <c r="E2" s="156" t="s">
        <v>47</v>
      </c>
      <c r="F2" s="138" t="s">
        <v>3557</v>
      </c>
      <c r="G2" s="180" t="s">
        <v>116</v>
      </c>
    </row>
    <row r="3" spans="1:7" x14ac:dyDescent="0.25">
      <c r="A3" s="158">
        <v>3</v>
      </c>
      <c r="B3" s="159" t="s">
        <v>3719</v>
      </c>
      <c r="C3" s="160" t="s">
        <v>3722</v>
      </c>
      <c r="D3" s="155" t="s">
        <v>3708</v>
      </c>
      <c r="E3" s="156" t="s">
        <v>615</v>
      </c>
      <c r="F3" s="138" t="s">
        <v>3557</v>
      </c>
      <c r="G3" s="180" t="s">
        <v>116</v>
      </c>
    </row>
    <row r="4" spans="1:7" x14ac:dyDescent="0.25">
      <c r="A4" s="154">
        <v>4</v>
      </c>
      <c r="B4" s="159" t="s">
        <v>3719</v>
      </c>
      <c r="C4" s="160" t="s">
        <v>3723</v>
      </c>
      <c r="D4" s="155" t="s">
        <v>3709</v>
      </c>
      <c r="E4" s="156" t="s">
        <v>615</v>
      </c>
      <c r="F4" s="138" t="s">
        <v>3557</v>
      </c>
      <c r="G4" s="180" t="s">
        <v>116</v>
      </c>
    </row>
    <row r="5" spans="1:7" x14ac:dyDescent="0.25">
      <c r="A5" s="158">
        <v>5</v>
      </c>
      <c r="B5" s="159" t="s">
        <v>3719</v>
      </c>
      <c r="C5" s="160" t="s">
        <v>3723</v>
      </c>
      <c r="D5" s="155" t="s">
        <v>3710</v>
      </c>
      <c r="E5" s="156" t="s">
        <v>90</v>
      </c>
      <c r="F5" s="138" t="s">
        <v>3557</v>
      </c>
      <c r="G5" s="180" t="s">
        <v>116</v>
      </c>
    </row>
    <row r="6" spans="1:7" x14ac:dyDescent="0.25">
      <c r="A6" s="154">
        <v>6</v>
      </c>
      <c r="B6" s="159" t="s">
        <v>3719</v>
      </c>
      <c r="C6" s="138" t="s">
        <v>3711</v>
      </c>
      <c r="D6" s="155" t="s">
        <v>3712</v>
      </c>
      <c r="E6" s="156" t="s">
        <v>66</v>
      </c>
      <c r="F6" s="138" t="s">
        <v>3557</v>
      </c>
      <c r="G6" s="180" t="s">
        <v>116</v>
      </c>
    </row>
    <row r="7" spans="1:7" x14ac:dyDescent="0.25">
      <c r="A7" s="158">
        <v>7</v>
      </c>
      <c r="B7" s="159" t="s">
        <v>3719</v>
      </c>
      <c r="C7" s="138" t="s">
        <v>3711</v>
      </c>
      <c r="D7" s="155" t="s">
        <v>3713</v>
      </c>
      <c r="E7" s="156" t="s">
        <v>66</v>
      </c>
      <c r="F7" s="138" t="s">
        <v>3557</v>
      </c>
      <c r="G7" s="180" t="s">
        <v>116</v>
      </c>
    </row>
    <row r="8" spans="1:7" x14ac:dyDescent="0.25">
      <c r="A8" s="154">
        <v>8</v>
      </c>
      <c r="B8" s="159" t="s">
        <v>3719</v>
      </c>
      <c r="C8" s="138" t="s">
        <v>3711</v>
      </c>
      <c r="D8" s="155" t="s">
        <v>3714</v>
      </c>
      <c r="E8" s="156" t="s">
        <v>66</v>
      </c>
      <c r="F8" s="138" t="s">
        <v>3557</v>
      </c>
      <c r="G8" s="180" t="s">
        <v>116</v>
      </c>
    </row>
    <row r="9" spans="1:7" x14ac:dyDescent="0.25">
      <c r="A9" s="158">
        <v>9</v>
      </c>
      <c r="B9" s="159" t="s">
        <v>3719</v>
      </c>
      <c r="C9" s="170" t="s">
        <v>3715</v>
      </c>
      <c r="D9" s="155" t="s">
        <v>3716</v>
      </c>
      <c r="E9" s="156" t="s">
        <v>47</v>
      </c>
      <c r="F9" s="138" t="s">
        <v>3557</v>
      </c>
      <c r="G9" s="180" t="s">
        <v>116</v>
      </c>
    </row>
    <row r="10" spans="1:7" x14ac:dyDescent="0.25">
      <c r="A10" s="154">
        <v>10</v>
      </c>
      <c r="B10" s="159" t="s">
        <v>3719</v>
      </c>
      <c r="C10" s="170" t="s">
        <v>3724</v>
      </c>
      <c r="D10" s="155" t="s">
        <v>3717</v>
      </c>
      <c r="E10" s="156" t="s">
        <v>296</v>
      </c>
      <c r="F10" s="138" t="s">
        <v>3557</v>
      </c>
      <c r="G10" s="180" t="s">
        <v>116</v>
      </c>
    </row>
    <row r="11" spans="1:7" x14ac:dyDescent="0.25">
      <c r="A11" s="158">
        <v>11</v>
      </c>
      <c r="B11" s="159" t="s">
        <v>3719</v>
      </c>
      <c r="C11" s="160" t="s">
        <v>3724</v>
      </c>
      <c r="D11" s="155" t="s">
        <v>3718</v>
      </c>
      <c r="E11" s="156" t="s">
        <v>296</v>
      </c>
      <c r="F11" s="138" t="s">
        <v>3557</v>
      </c>
      <c r="G11" s="180" t="s">
        <v>116</v>
      </c>
    </row>
    <row r="12" spans="1:7" x14ac:dyDescent="0.25">
      <c r="A12" s="154">
        <v>12</v>
      </c>
      <c r="B12" s="159" t="s">
        <v>3719</v>
      </c>
      <c r="C12" s="160" t="s">
        <v>3724</v>
      </c>
      <c r="D12" s="178" t="s">
        <v>3753</v>
      </c>
      <c r="E12" s="156" t="s">
        <v>296</v>
      </c>
      <c r="F12" s="138" t="s">
        <v>3557</v>
      </c>
      <c r="G12" s="180" t="s">
        <v>116</v>
      </c>
    </row>
    <row r="13" spans="1:7" x14ac:dyDescent="0.25">
      <c r="A13" s="158">
        <v>13</v>
      </c>
      <c r="B13" s="3" t="s">
        <v>2320</v>
      </c>
      <c r="C13" s="43" t="s">
        <v>1879</v>
      </c>
      <c r="D13" s="2" t="s">
        <v>3252</v>
      </c>
      <c r="E13" s="156" t="s">
        <v>66</v>
      </c>
      <c r="F13" s="161" t="s">
        <v>3636</v>
      </c>
      <c r="G13" s="4" t="s">
        <v>1933</v>
      </c>
    </row>
    <row r="14" spans="1:7" x14ac:dyDescent="0.25">
      <c r="A14" s="158"/>
      <c r="B14" s="3"/>
      <c r="C14" s="43"/>
      <c r="D14" s="2"/>
      <c r="E14" s="156"/>
      <c r="F14" s="161" t="s">
        <v>3636</v>
      </c>
      <c r="G14" s="181" t="s">
        <v>706</v>
      </c>
    </row>
    <row r="15" spans="1:7" x14ac:dyDescent="0.25">
      <c r="A15" s="154">
        <v>14</v>
      </c>
      <c r="B15" s="3" t="s">
        <v>2320</v>
      </c>
      <c r="C15" s="170" t="s">
        <v>1214</v>
      </c>
      <c r="D15" s="2" t="s">
        <v>1939</v>
      </c>
      <c r="E15" s="156" t="s">
        <v>66</v>
      </c>
      <c r="F15" s="3" t="s">
        <v>1262</v>
      </c>
      <c r="G15" s="4" t="s">
        <v>1076</v>
      </c>
    </row>
    <row r="16" spans="1:7" x14ac:dyDescent="0.25">
      <c r="A16" s="158">
        <v>15</v>
      </c>
      <c r="B16" s="3" t="s">
        <v>2320</v>
      </c>
      <c r="C16" s="3" t="s">
        <v>1214</v>
      </c>
      <c r="D16" s="2" t="s">
        <v>1781</v>
      </c>
      <c r="E16" s="156" t="s">
        <v>66</v>
      </c>
      <c r="F16" s="3" t="s">
        <v>3663</v>
      </c>
      <c r="G16" s="4" t="s">
        <v>1076</v>
      </c>
    </row>
    <row r="17" spans="1:7" x14ac:dyDescent="0.25">
      <c r="A17" s="154">
        <v>16</v>
      </c>
      <c r="B17" s="3" t="s">
        <v>2320</v>
      </c>
      <c r="C17" s="3" t="s">
        <v>1214</v>
      </c>
      <c r="D17" s="2" t="s">
        <v>1810</v>
      </c>
      <c r="E17" s="156" t="s">
        <v>66</v>
      </c>
      <c r="F17" s="3" t="s">
        <v>3663</v>
      </c>
      <c r="G17" s="4" t="s">
        <v>706</v>
      </c>
    </row>
    <row r="18" spans="1:7" x14ac:dyDescent="0.25">
      <c r="A18" s="158">
        <v>17</v>
      </c>
      <c r="B18" s="3" t="s">
        <v>2320</v>
      </c>
      <c r="C18" s="3" t="s">
        <v>1214</v>
      </c>
      <c r="D18" s="2" t="s">
        <v>2138</v>
      </c>
      <c r="E18" s="156" t="s">
        <v>66</v>
      </c>
      <c r="F18" s="161" t="s">
        <v>3633</v>
      </c>
      <c r="G18" s="4" t="s">
        <v>1773</v>
      </c>
    </row>
    <row r="19" spans="1:7" x14ac:dyDescent="0.25">
      <c r="A19" s="158"/>
      <c r="B19" s="3"/>
      <c r="C19" s="3"/>
      <c r="D19" s="2"/>
      <c r="E19" s="156"/>
      <c r="F19" s="161" t="s">
        <v>3633</v>
      </c>
      <c r="G19" s="4"/>
    </row>
    <row r="20" spans="1:7" x14ac:dyDescent="0.25">
      <c r="A20" s="158"/>
      <c r="B20" s="3"/>
      <c r="C20" s="3"/>
      <c r="D20" s="2"/>
      <c r="E20" s="156"/>
      <c r="F20" s="161" t="s">
        <v>3633</v>
      </c>
      <c r="G20" s="4"/>
    </row>
    <row r="21" spans="1:7" x14ac:dyDescent="0.25">
      <c r="A21" s="154">
        <v>18</v>
      </c>
      <c r="B21" s="3" t="s">
        <v>2320</v>
      </c>
      <c r="C21" s="3" t="s">
        <v>2224</v>
      </c>
      <c r="D21" s="2" t="s">
        <v>2223</v>
      </c>
      <c r="E21" s="156" t="s">
        <v>66</v>
      </c>
      <c r="F21" s="3" t="s">
        <v>2074</v>
      </c>
      <c r="G21" s="4" t="s">
        <v>2075</v>
      </c>
    </row>
    <row r="22" spans="1:7" x14ac:dyDescent="0.25">
      <c r="A22" s="158">
        <v>19</v>
      </c>
      <c r="B22" s="3" t="s">
        <v>2320</v>
      </c>
      <c r="C22" s="166" t="s">
        <v>2224</v>
      </c>
      <c r="D22" s="2" t="s">
        <v>2257</v>
      </c>
      <c r="E22" s="156" t="s">
        <v>66</v>
      </c>
      <c r="F22" s="3" t="s">
        <v>2074</v>
      </c>
      <c r="G22" s="4" t="s">
        <v>2078</v>
      </c>
    </row>
    <row r="23" spans="1:7" x14ac:dyDescent="0.25">
      <c r="A23" s="154">
        <v>20</v>
      </c>
      <c r="B23" s="3" t="s">
        <v>2320</v>
      </c>
      <c r="C23" s="3" t="s">
        <v>1879</v>
      </c>
      <c r="D23" s="2" t="s">
        <v>1880</v>
      </c>
      <c r="E23" s="156" t="s">
        <v>66</v>
      </c>
      <c r="F23" s="174" t="s">
        <v>3481</v>
      </c>
      <c r="G23" s="4" t="s">
        <v>1773</v>
      </c>
    </row>
    <row r="24" spans="1:7" x14ac:dyDescent="0.25">
      <c r="A24" s="158">
        <v>21</v>
      </c>
      <c r="B24" s="3" t="s">
        <v>2320</v>
      </c>
      <c r="C24" s="3" t="s">
        <v>1874</v>
      </c>
      <c r="D24" s="2" t="s">
        <v>1875</v>
      </c>
      <c r="E24" s="156" t="s">
        <v>79</v>
      </c>
      <c r="F24" s="174" t="s">
        <v>3481</v>
      </c>
      <c r="G24" s="4" t="s">
        <v>1877</v>
      </c>
    </row>
    <row r="25" spans="1:7" x14ac:dyDescent="0.25">
      <c r="A25" s="154">
        <v>22</v>
      </c>
      <c r="B25" s="3" t="s">
        <v>2320</v>
      </c>
      <c r="C25" s="3" t="s">
        <v>1141</v>
      </c>
      <c r="D25" s="2" t="s">
        <v>1142</v>
      </c>
      <c r="E25" s="156" t="s">
        <v>124</v>
      </c>
      <c r="F25" s="3" t="s">
        <v>1101</v>
      </c>
      <c r="G25" s="4" t="s">
        <v>1073</v>
      </c>
    </row>
    <row r="26" spans="1:7" x14ac:dyDescent="0.25">
      <c r="A26" s="158">
        <v>23</v>
      </c>
      <c r="B26" s="3" t="s">
        <v>2320</v>
      </c>
      <c r="C26" s="3" t="s">
        <v>1214</v>
      </c>
      <c r="D26" s="2" t="s">
        <v>1215</v>
      </c>
      <c r="E26" s="156" t="s">
        <v>66</v>
      </c>
      <c r="F26" s="3" t="s">
        <v>1101</v>
      </c>
      <c r="G26" s="4" t="s">
        <v>1208</v>
      </c>
    </row>
    <row r="27" spans="1:7" x14ac:dyDescent="0.25">
      <c r="F27" s="183" t="s">
        <v>442</v>
      </c>
    </row>
    <row r="28" spans="1:7" x14ac:dyDescent="0.25">
      <c r="F28" s="183" t="s">
        <v>3637</v>
      </c>
    </row>
    <row r="29" spans="1:7" x14ac:dyDescent="0.25">
      <c r="F29" s="183" t="s">
        <v>3637</v>
      </c>
    </row>
    <row r="30" spans="1:7" x14ac:dyDescent="0.25">
      <c r="F30" s="183" t="s">
        <v>3637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H409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2" max="2" width="68.5703125" bestFit="1" customWidth="1"/>
    <col min="3" max="3" width="35.42578125" customWidth="1"/>
    <col min="4" max="4" width="11.42578125" customWidth="1"/>
    <col min="5" max="5" width="24.5703125" customWidth="1"/>
    <col min="6" max="6" width="16.42578125" customWidth="1"/>
    <col min="7" max="7" width="28.42578125" customWidth="1"/>
    <col min="8" max="8" width="25.85546875" bestFit="1" customWidth="1"/>
  </cols>
  <sheetData>
    <row r="1" spans="1:8" ht="30" x14ac:dyDescent="0.25">
      <c r="B1" s="6" t="s">
        <v>2</v>
      </c>
      <c r="C1" s="6" t="s">
        <v>3</v>
      </c>
      <c r="D1" s="6" t="s">
        <v>3612</v>
      </c>
      <c r="E1" s="6" t="s">
        <v>4</v>
      </c>
      <c r="F1" s="6" t="s">
        <v>5</v>
      </c>
      <c r="G1" s="6" t="s">
        <v>7</v>
      </c>
      <c r="H1" s="143" t="s">
        <v>3582</v>
      </c>
    </row>
    <row r="2" spans="1:8" x14ac:dyDescent="0.25">
      <c r="A2">
        <v>1</v>
      </c>
      <c r="B2" s="129" t="s">
        <v>3555</v>
      </c>
      <c r="C2" s="129" t="s">
        <v>3559</v>
      </c>
      <c r="D2" s="133" t="s">
        <v>3034</v>
      </c>
      <c r="E2" s="127" t="s">
        <v>3556</v>
      </c>
      <c r="F2" s="128" t="s">
        <v>2898</v>
      </c>
      <c r="G2" s="129" t="s">
        <v>3557</v>
      </c>
      <c r="H2" s="143" t="s">
        <v>3583</v>
      </c>
    </row>
    <row r="3" spans="1:8" x14ac:dyDescent="0.25">
      <c r="A3">
        <v>2</v>
      </c>
      <c r="B3" s="10" t="s">
        <v>2112</v>
      </c>
      <c r="C3" s="41" t="s">
        <v>3449</v>
      </c>
      <c r="D3" s="133" t="s">
        <v>3034</v>
      </c>
      <c r="E3" s="9" t="s">
        <v>3132</v>
      </c>
      <c r="F3" s="11" t="s">
        <v>1344</v>
      </c>
      <c r="G3" s="10" t="s">
        <v>2008</v>
      </c>
      <c r="H3" s="143" t="s">
        <v>3584</v>
      </c>
    </row>
    <row r="4" spans="1:8" x14ac:dyDescent="0.25">
      <c r="A4">
        <v>3</v>
      </c>
      <c r="B4" s="10" t="s">
        <v>2112</v>
      </c>
      <c r="C4" s="133" t="s">
        <v>3581</v>
      </c>
      <c r="D4" s="133" t="s">
        <v>3034</v>
      </c>
      <c r="E4" s="9">
        <v>213762</v>
      </c>
      <c r="F4" s="11" t="s">
        <v>735</v>
      </c>
      <c r="G4" s="10" t="s">
        <v>2008</v>
      </c>
      <c r="H4" s="143" t="s">
        <v>3584</v>
      </c>
    </row>
    <row r="5" spans="1:8" x14ac:dyDescent="0.25">
      <c r="A5">
        <v>1</v>
      </c>
      <c r="B5" s="129" t="s">
        <v>3554</v>
      </c>
      <c r="C5" s="41" t="s">
        <v>64</v>
      </c>
      <c r="D5" s="133" t="s">
        <v>3034</v>
      </c>
      <c r="E5" s="9" t="s">
        <v>3088</v>
      </c>
      <c r="F5" s="11" t="s">
        <v>66</v>
      </c>
      <c r="G5" s="10" t="s">
        <v>2008</v>
      </c>
      <c r="H5" s="143" t="s">
        <v>3584</v>
      </c>
    </row>
    <row r="6" spans="1:8" x14ac:dyDescent="0.25">
      <c r="A6">
        <v>1</v>
      </c>
      <c r="B6" s="129" t="s">
        <v>3555</v>
      </c>
      <c r="C6" s="10" t="s">
        <v>2682</v>
      </c>
      <c r="D6" s="133" t="s">
        <v>3034</v>
      </c>
      <c r="E6" s="9" t="s">
        <v>3115</v>
      </c>
      <c r="F6" s="11" t="s">
        <v>59</v>
      </c>
      <c r="G6" s="10" t="s">
        <v>2008</v>
      </c>
      <c r="H6" s="143" t="s">
        <v>3584</v>
      </c>
    </row>
    <row r="7" spans="1:8" x14ac:dyDescent="0.25">
      <c r="A7">
        <v>1</v>
      </c>
      <c r="B7" s="10" t="s">
        <v>370</v>
      </c>
      <c r="C7" s="10" t="s">
        <v>608</v>
      </c>
      <c r="D7" s="133" t="s">
        <v>3034</v>
      </c>
      <c r="E7" s="9"/>
      <c r="F7" s="11"/>
      <c r="G7" s="10" t="s">
        <v>2008</v>
      </c>
      <c r="H7" s="143" t="s">
        <v>3584</v>
      </c>
    </row>
    <row r="8" spans="1:8" x14ac:dyDescent="0.25">
      <c r="A8">
        <v>1</v>
      </c>
      <c r="B8" s="10" t="s">
        <v>18</v>
      </c>
      <c r="C8" s="41" t="s">
        <v>32</v>
      </c>
      <c r="D8" s="133" t="s">
        <v>3034</v>
      </c>
      <c r="E8" s="9" t="s">
        <v>3119</v>
      </c>
      <c r="F8" s="135" t="s">
        <v>969</v>
      </c>
      <c r="G8" s="10" t="s">
        <v>2008</v>
      </c>
      <c r="H8" s="143" t="s">
        <v>3584</v>
      </c>
    </row>
    <row r="9" spans="1:8" x14ac:dyDescent="0.25">
      <c r="A9">
        <v>1</v>
      </c>
      <c r="B9" s="133" t="s">
        <v>2303</v>
      </c>
      <c r="C9" s="41" t="s">
        <v>3467</v>
      </c>
      <c r="D9" s="133" t="s">
        <v>3034</v>
      </c>
      <c r="E9" s="9" t="s">
        <v>3120</v>
      </c>
      <c r="F9" s="135" t="s">
        <v>615</v>
      </c>
      <c r="G9" s="10" t="s">
        <v>2008</v>
      </c>
      <c r="H9" s="143" t="s">
        <v>3584</v>
      </c>
    </row>
    <row r="10" spans="1:8" x14ac:dyDescent="0.25">
      <c r="A10">
        <v>1</v>
      </c>
      <c r="B10" s="10" t="s">
        <v>444</v>
      </c>
      <c r="C10" s="44" t="s">
        <v>445</v>
      </c>
      <c r="D10" s="133" t="s">
        <v>3034</v>
      </c>
      <c r="E10" s="9" t="s">
        <v>3180</v>
      </c>
      <c r="F10" s="11"/>
      <c r="G10" s="10" t="s">
        <v>2008</v>
      </c>
      <c r="H10" s="143" t="s">
        <v>3584</v>
      </c>
    </row>
    <row r="11" spans="1:8" x14ac:dyDescent="0.25">
      <c r="A11">
        <v>1</v>
      </c>
      <c r="B11" s="10" t="s">
        <v>444</v>
      </c>
      <c r="C11" s="44" t="s">
        <v>445</v>
      </c>
      <c r="D11" s="133" t="s">
        <v>3034</v>
      </c>
      <c r="E11" s="9" t="s">
        <v>3182</v>
      </c>
      <c r="F11" s="11"/>
      <c r="G11" s="10" t="s">
        <v>2008</v>
      </c>
      <c r="H11" s="143" t="s">
        <v>3584</v>
      </c>
    </row>
    <row r="12" spans="1:8" x14ac:dyDescent="0.25">
      <c r="A12">
        <v>1</v>
      </c>
      <c r="B12" s="10" t="s">
        <v>28</v>
      </c>
      <c r="C12" s="41" t="s">
        <v>49</v>
      </c>
      <c r="D12" s="133" t="s">
        <v>3034</v>
      </c>
      <c r="E12" s="9" t="s">
        <v>3089</v>
      </c>
      <c r="F12" s="11" t="s">
        <v>66</v>
      </c>
      <c r="G12" s="10" t="s">
        <v>2008</v>
      </c>
      <c r="H12" s="143" t="s">
        <v>3584</v>
      </c>
    </row>
    <row r="13" spans="1:8" x14ac:dyDescent="0.25">
      <c r="A13">
        <v>1</v>
      </c>
      <c r="B13" s="10" t="s">
        <v>61</v>
      </c>
      <c r="C13" s="41" t="s">
        <v>62</v>
      </c>
      <c r="D13" s="133" t="s">
        <v>3034</v>
      </c>
      <c r="E13" s="9" t="s">
        <v>3129</v>
      </c>
      <c r="F13" s="11"/>
      <c r="G13" s="10" t="s">
        <v>2008</v>
      </c>
      <c r="H13" s="143" t="s">
        <v>3584</v>
      </c>
    </row>
    <row r="14" spans="1:8" x14ac:dyDescent="0.25">
      <c r="A14">
        <v>1</v>
      </c>
      <c r="B14" s="10" t="s">
        <v>325</v>
      </c>
      <c r="C14" s="41" t="s">
        <v>593</v>
      </c>
      <c r="D14" s="133" t="s">
        <v>3034</v>
      </c>
      <c r="E14" s="9" t="s">
        <v>3045</v>
      </c>
      <c r="F14" s="11" t="s">
        <v>3046</v>
      </c>
      <c r="G14" s="10" t="s">
        <v>2008</v>
      </c>
      <c r="H14" s="143" t="s">
        <v>3584</v>
      </c>
    </row>
    <row r="15" spans="1:8" x14ac:dyDescent="0.25">
      <c r="A15">
        <v>1</v>
      </c>
      <c r="B15" s="10" t="s">
        <v>325</v>
      </c>
      <c r="C15" s="41" t="s">
        <v>1936</v>
      </c>
      <c r="D15" s="133" t="s">
        <v>3034</v>
      </c>
      <c r="E15" s="9" t="s">
        <v>1094</v>
      </c>
      <c r="F15" s="11">
        <v>2007</v>
      </c>
      <c r="G15" s="10" t="s">
        <v>2008</v>
      </c>
      <c r="H15" s="143" t="s">
        <v>3584</v>
      </c>
    </row>
    <row r="16" spans="1:8" x14ac:dyDescent="0.25">
      <c r="A16">
        <v>1</v>
      </c>
      <c r="B16" s="10" t="s">
        <v>325</v>
      </c>
      <c r="C16" s="41" t="s">
        <v>593</v>
      </c>
      <c r="D16" s="133" t="s">
        <v>3034</v>
      </c>
      <c r="E16" s="9" t="s">
        <v>3199</v>
      </c>
      <c r="F16" s="11" t="s">
        <v>327</v>
      </c>
      <c r="G16" s="10" t="s">
        <v>2008</v>
      </c>
      <c r="H16" s="143" t="s">
        <v>3584</v>
      </c>
    </row>
    <row r="17" spans="1:8" x14ac:dyDescent="0.25">
      <c r="A17">
        <v>1</v>
      </c>
      <c r="B17" s="129" t="s">
        <v>3555</v>
      </c>
      <c r="C17" s="10" t="s">
        <v>2151</v>
      </c>
      <c r="D17" s="133" t="s">
        <v>3034</v>
      </c>
      <c r="E17" s="9" t="s">
        <v>2150</v>
      </c>
      <c r="F17" s="11"/>
      <c r="G17" s="10" t="s">
        <v>2008</v>
      </c>
      <c r="H17" s="143" t="s">
        <v>3584</v>
      </c>
    </row>
    <row r="18" spans="1:8" x14ac:dyDescent="0.25">
      <c r="A18">
        <v>1</v>
      </c>
      <c r="B18" s="129" t="s">
        <v>3555</v>
      </c>
      <c r="C18" s="10" t="s">
        <v>2152</v>
      </c>
      <c r="D18" s="133" t="s">
        <v>3034</v>
      </c>
      <c r="E18" s="9" t="s">
        <v>2153</v>
      </c>
      <c r="F18" s="11" t="s">
        <v>2154</v>
      </c>
      <c r="G18" s="10" t="s">
        <v>2008</v>
      </c>
      <c r="H18" s="143" t="s">
        <v>3584</v>
      </c>
    </row>
    <row r="19" spans="1:8" x14ac:dyDescent="0.25">
      <c r="A19">
        <v>1</v>
      </c>
      <c r="B19" s="133" t="s">
        <v>3630</v>
      </c>
      <c r="C19" s="10"/>
      <c r="D19" s="133" t="s">
        <v>3631</v>
      </c>
      <c r="E19" s="9"/>
      <c r="F19" s="11"/>
      <c r="G19" s="10" t="s">
        <v>2008</v>
      </c>
      <c r="H19" s="143" t="s">
        <v>3587</v>
      </c>
    </row>
    <row r="20" spans="1:8" x14ac:dyDescent="0.25">
      <c r="A20">
        <v>1</v>
      </c>
      <c r="B20" s="10" t="s">
        <v>2319</v>
      </c>
      <c r="C20" s="41" t="s">
        <v>32</v>
      </c>
      <c r="D20" s="133" t="s">
        <v>1843</v>
      </c>
      <c r="E20" s="9" t="s">
        <v>2115</v>
      </c>
      <c r="F20" s="135" t="s">
        <v>969</v>
      </c>
      <c r="G20" s="10" t="s">
        <v>2008</v>
      </c>
      <c r="H20" s="143" t="s">
        <v>3584</v>
      </c>
    </row>
    <row r="21" spans="1:8" hidden="1" x14ac:dyDescent="0.25">
      <c r="B21" s="10" t="s">
        <v>2319</v>
      </c>
      <c r="C21" s="41" t="s">
        <v>32</v>
      </c>
      <c r="D21" s="41"/>
      <c r="E21" s="9" t="s">
        <v>2124</v>
      </c>
      <c r="F21" s="135" t="s">
        <v>969</v>
      </c>
      <c r="G21" s="10" t="s">
        <v>1960</v>
      </c>
      <c r="H21" s="143" t="s">
        <v>3584</v>
      </c>
    </row>
    <row r="22" spans="1:8" hidden="1" x14ac:dyDescent="0.25">
      <c r="B22" s="10" t="s">
        <v>2319</v>
      </c>
      <c r="C22" s="41" t="s">
        <v>32</v>
      </c>
      <c r="D22" s="41"/>
      <c r="E22" s="9" t="s">
        <v>2317</v>
      </c>
      <c r="F22" s="135" t="s">
        <v>969</v>
      </c>
      <c r="G22" s="10" t="s">
        <v>1960</v>
      </c>
      <c r="H22" s="143" t="s">
        <v>3584</v>
      </c>
    </row>
    <row r="23" spans="1:8" x14ac:dyDescent="0.25">
      <c r="A23">
        <v>1</v>
      </c>
      <c r="B23" s="10" t="s">
        <v>1209</v>
      </c>
      <c r="C23" s="10" t="s">
        <v>1709</v>
      </c>
      <c r="D23" s="133" t="s">
        <v>3034</v>
      </c>
      <c r="E23" s="127" t="s">
        <v>3547</v>
      </c>
      <c r="F23" s="128" t="s">
        <v>3548</v>
      </c>
      <c r="G23" s="133" t="s">
        <v>3620</v>
      </c>
      <c r="H23" s="143" t="s">
        <v>3586</v>
      </c>
    </row>
    <row r="24" spans="1:8" x14ac:dyDescent="0.25">
      <c r="A24">
        <v>1</v>
      </c>
      <c r="B24" s="10" t="s">
        <v>1209</v>
      </c>
      <c r="C24" s="10" t="s">
        <v>1711</v>
      </c>
      <c r="D24" s="133" t="s">
        <v>3034</v>
      </c>
      <c r="E24" s="127" t="s">
        <v>3545</v>
      </c>
      <c r="F24" s="128" t="s">
        <v>3546</v>
      </c>
      <c r="G24" s="133" t="s">
        <v>3620</v>
      </c>
      <c r="H24" s="143" t="s">
        <v>3586</v>
      </c>
    </row>
    <row r="25" spans="1:8" x14ac:dyDescent="0.25">
      <c r="A25">
        <v>1</v>
      </c>
      <c r="B25" s="133" t="s">
        <v>3575</v>
      </c>
      <c r="C25" s="10" t="s">
        <v>1505</v>
      </c>
      <c r="D25" s="133" t="s">
        <v>3034</v>
      </c>
      <c r="E25" s="9" t="s">
        <v>1506</v>
      </c>
      <c r="F25" s="11" t="s">
        <v>283</v>
      </c>
      <c r="G25" s="133" t="s">
        <v>3620</v>
      </c>
      <c r="H25" s="143" t="s">
        <v>3586</v>
      </c>
    </row>
    <row r="26" spans="1:8" x14ac:dyDescent="0.25">
      <c r="A26">
        <v>1</v>
      </c>
      <c r="B26" s="10" t="s">
        <v>1418</v>
      </c>
      <c r="C26" s="133" t="s">
        <v>3574</v>
      </c>
      <c r="D26" s="133" t="s">
        <v>3034</v>
      </c>
      <c r="E26" s="9" t="s">
        <v>1419</v>
      </c>
      <c r="F26" s="11" t="s">
        <v>1420</v>
      </c>
      <c r="G26" s="133" t="s">
        <v>3620</v>
      </c>
      <c r="H26" s="143" t="s">
        <v>3586</v>
      </c>
    </row>
    <row r="27" spans="1:8" x14ac:dyDescent="0.25">
      <c r="A27">
        <v>1</v>
      </c>
      <c r="B27" s="10" t="s">
        <v>1426</v>
      </c>
      <c r="C27" s="10" t="s">
        <v>1427</v>
      </c>
      <c r="D27" s="133" t="s">
        <v>3034</v>
      </c>
      <c r="E27" s="9" t="s">
        <v>1428</v>
      </c>
      <c r="F27" s="11" t="s">
        <v>1429</v>
      </c>
      <c r="G27" s="133" t="s">
        <v>3620</v>
      </c>
      <c r="H27" s="143" t="s">
        <v>3586</v>
      </c>
    </row>
    <row r="28" spans="1:8" x14ac:dyDescent="0.25">
      <c r="A28">
        <v>1</v>
      </c>
      <c r="B28" s="133" t="s">
        <v>3568</v>
      </c>
      <c r="C28" s="133" t="s">
        <v>3569</v>
      </c>
      <c r="D28" s="133" t="s">
        <v>3034</v>
      </c>
      <c r="E28" s="9"/>
      <c r="F28" s="11"/>
      <c r="G28" s="133" t="s">
        <v>3620</v>
      </c>
      <c r="H28" s="143" t="s">
        <v>3586</v>
      </c>
    </row>
    <row r="29" spans="1:8" x14ac:dyDescent="0.25">
      <c r="A29">
        <v>1</v>
      </c>
      <c r="B29" s="10" t="s">
        <v>1464</v>
      </c>
      <c r="C29" s="37" t="s">
        <v>1465</v>
      </c>
      <c r="D29" s="133" t="s">
        <v>3034</v>
      </c>
      <c r="E29" s="9" t="s">
        <v>1466</v>
      </c>
      <c r="F29" s="11" t="s">
        <v>780</v>
      </c>
      <c r="G29" s="133" t="s">
        <v>3620</v>
      </c>
      <c r="H29" s="143" t="s">
        <v>3586</v>
      </c>
    </row>
    <row r="30" spans="1:8" x14ac:dyDescent="0.25">
      <c r="A30">
        <v>1</v>
      </c>
      <c r="B30" s="38" t="s">
        <v>1464</v>
      </c>
      <c r="C30" s="38" t="s">
        <v>2674</v>
      </c>
      <c r="D30" s="133" t="s">
        <v>3034</v>
      </c>
      <c r="E30" s="39" t="s">
        <v>2673</v>
      </c>
      <c r="F30" s="40" t="s">
        <v>2675</v>
      </c>
      <c r="G30" s="133" t="s">
        <v>3620</v>
      </c>
      <c r="H30" s="143" t="s">
        <v>3586</v>
      </c>
    </row>
    <row r="31" spans="1:8" x14ac:dyDescent="0.25">
      <c r="A31">
        <v>1</v>
      </c>
      <c r="B31" s="10" t="s">
        <v>1485</v>
      </c>
      <c r="C31" s="10" t="s">
        <v>1486</v>
      </c>
      <c r="D31" s="133" t="s">
        <v>3034</v>
      </c>
      <c r="E31" s="9" t="s">
        <v>1487</v>
      </c>
      <c r="F31" s="11"/>
      <c r="G31" s="133" t="s">
        <v>3620</v>
      </c>
      <c r="H31" s="143" t="s">
        <v>3586</v>
      </c>
    </row>
    <row r="32" spans="1:8" ht="30" x14ac:dyDescent="0.25">
      <c r="A32">
        <v>1</v>
      </c>
      <c r="B32" s="133" t="s">
        <v>3627</v>
      </c>
      <c r="C32" s="10" t="s">
        <v>1641</v>
      </c>
      <c r="D32" s="133" t="s">
        <v>3034</v>
      </c>
      <c r="E32" s="134" t="s">
        <v>3629</v>
      </c>
      <c r="F32" s="11" t="s">
        <v>1643</v>
      </c>
      <c r="G32" s="133" t="s">
        <v>3620</v>
      </c>
      <c r="H32" s="143" t="s">
        <v>3586</v>
      </c>
    </row>
    <row r="33" spans="1:8" x14ac:dyDescent="0.25">
      <c r="A33">
        <v>1</v>
      </c>
      <c r="B33" s="10" t="s">
        <v>1572</v>
      </c>
      <c r="C33" s="10" t="s">
        <v>1573</v>
      </c>
      <c r="D33" s="133" t="s">
        <v>3034</v>
      </c>
      <c r="E33" s="9">
        <v>1176</v>
      </c>
      <c r="F33" s="11"/>
      <c r="G33" s="133" t="s">
        <v>3620</v>
      </c>
      <c r="H33" s="143" t="s">
        <v>3586</v>
      </c>
    </row>
    <row r="34" spans="1:8" x14ac:dyDescent="0.25">
      <c r="A34">
        <v>1</v>
      </c>
      <c r="B34" s="38" t="s">
        <v>1575</v>
      </c>
      <c r="C34" s="38" t="s">
        <v>1576</v>
      </c>
      <c r="D34" s="133" t="s">
        <v>3034</v>
      </c>
      <c r="E34" s="9" t="s">
        <v>1577</v>
      </c>
      <c r="F34" s="11"/>
      <c r="G34" s="133" t="s">
        <v>3620</v>
      </c>
      <c r="H34" s="143" t="s">
        <v>3586</v>
      </c>
    </row>
    <row r="35" spans="1:8" ht="30" x14ac:dyDescent="0.25">
      <c r="A35">
        <v>1</v>
      </c>
      <c r="B35" s="10" t="s">
        <v>1561</v>
      </c>
      <c r="C35" s="10" t="s">
        <v>1562</v>
      </c>
      <c r="D35" s="133" t="s">
        <v>3034</v>
      </c>
      <c r="E35" s="134" t="s">
        <v>3628</v>
      </c>
      <c r="F35" s="11" t="s">
        <v>200</v>
      </c>
      <c r="G35" s="133" t="s">
        <v>3620</v>
      </c>
      <c r="H35" s="143" t="s">
        <v>3586</v>
      </c>
    </row>
    <row r="36" spans="1:8" x14ac:dyDescent="0.25">
      <c r="A36">
        <v>1</v>
      </c>
      <c r="B36" s="10" t="s">
        <v>1534</v>
      </c>
      <c r="C36" s="10" t="s">
        <v>1535</v>
      </c>
      <c r="D36" s="133" t="s">
        <v>3034</v>
      </c>
      <c r="E36" s="9" t="s">
        <v>1536</v>
      </c>
      <c r="F36" s="11"/>
      <c r="G36" s="133" t="s">
        <v>3620</v>
      </c>
      <c r="H36" s="143" t="s">
        <v>3586</v>
      </c>
    </row>
    <row r="37" spans="1:8" x14ac:dyDescent="0.25">
      <c r="A37">
        <v>1</v>
      </c>
      <c r="B37" s="10" t="s">
        <v>1682</v>
      </c>
      <c r="C37" s="10" t="s">
        <v>1683</v>
      </c>
      <c r="D37" s="133" t="s">
        <v>3034</v>
      </c>
      <c r="E37" s="9">
        <v>11852</v>
      </c>
      <c r="F37" s="11">
        <v>42745</v>
      </c>
      <c r="G37" s="133" t="s">
        <v>3620</v>
      </c>
      <c r="H37" s="143" t="s">
        <v>3586</v>
      </c>
    </row>
    <row r="38" spans="1:8" x14ac:dyDescent="0.25">
      <c r="A38">
        <v>1</v>
      </c>
      <c r="B38" s="10" t="s">
        <v>1685</v>
      </c>
      <c r="C38" s="10" t="s">
        <v>1686</v>
      </c>
      <c r="D38" s="133" t="s">
        <v>3034</v>
      </c>
      <c r="E38" s="9" t="s">
        <v>1687</v>
      </c>
      <c r="F38" s="11" t="s">
        <v>79</v>
      </c>
      <c r="G38" s="133" t="s">
        <v>3620</v>
      </c>
      <c r="H38" s="143" t="s">
        <v>3586</v>
      </c>
    </row>
    <row r="39" spans="1:8" x14ac:dyDescent="0.25">
      <c r="A39">
        <v>1</v>
      </c>
      <c r="B39" s="133" t="s">
        <v>3573</v>
      </c>
      <c r="C39" s="10" t="s">
        <v>1473</v>
      </c>
      <c r="D39" s="133" t="s">
        <v>3034</v>
      </c>
      <c r="E39" s="9" t="s">
        <v>1474</v>
      </c>
      <c r="F39" s="11"/>
      <c r="G39" s="133" t="s">
        <v>3620</v>
      </c>
      <c r="H39" s="143" t="s">
        <v>3586</v>
      </c>
    </row>
    <row r="40" spans="1:8" x14ac:dyDescent="0.25">
      <c r="A40">
        <v>1</v>
      </c>
      <c r="B40" s="129" t="s">
        <v>3550</v>
      </c>
      <c r="C40" s="10" t="s">
        <v>1638</v>
      </c>
      <c r="D40" s="133" t="s">
        <v>3034</v>
      </c>
      <c r="E40" s="9" t="s">
        <v>1639</v>
      </c>
      <c r="F40" s="11"/>
      <c r="G40" s="133" t="s">
        <v>3620</v>
      </c>
      <c r="H40" s="143" t="s">
        <v>3586</v>
      </c>
    </row>
    <row r="41" spans="1:8" ht="30" x14ac:dyDescent="0.25">
      <c r="A41">
        <v>1</v>
      </c>
      <c r="B41" s="10" t="s">
        <v>1430</v>
      </c>
      <c r="C41" s="10" t="s">
        <v>1431</v>
      </c>
      <c r="D41" s="133" t="s">
        <v>3034</v>
      </c>
      <c r="E41" s="9" t="s">
        <v>1432</v>
      </c>
      <c r="F41" s="11" t="s">
        <v>1433</v>
      </c>
      <c r="G41" s="133" t="s">
        <v>3620</v>
      </c>
      <c r="H41" s="143" t="s">
        <v>3586</v>
      </c>
    </row>
    <row r="42" spans="1:8" x14ac:dyDescent="0.25">
      <c r="A42">
        <v>1</v>
      </c>
      <c r="B42" s="10" t="s">
        <v>1430</v>
      </c>
      <c r="C42" s="10" t="s">
        <v>1435</v>
      </c>
      <c r="D42" s="133" t="s">
        <v>3034</v>
      </c>
      <c r="E42" s="9" t="s">
        <v>1436</v>
      </c>
      <c r="F42" s="11" t="s">
        <v>1437</v>
      </c>
      <c r="G42" s="133" t="s">
        <v>3620</v>
      </c>
      <c r="H42" s="143" t="s">
        <v>3586</v>
      </c>
    </row>
    <row r="43" spans="1:8" x14ac:dyDescent="0.25">
      <c r="A43">
        <v>1</v>
      </c>
      <c r="B43" s="133" t="s">
        <v>3572</v>
      </c>
      <c r="C43" s="133" t="s">
        <v>3570</v>
      </c>
      <c r="D43" s="133" t="s">
        <v>3034</v>
      </c>
      <c r="E43" s="134" t="s">
        <v>3571</v>
      </c>
      <c r="F43" s="135" t="s">
        <v>232</v>
      </c>
      <c r="G43" s="133" t="s">
        <v>3620</v>
      </c>
      <c r="H43" s="143" t="s">
        <v>3586</v>
      </c>
    </row>
    <row r="44" spans="1:8" x14ac:dyDescent="0.25">
      <c r="A44">
        <v>1</v>
      </c>
      <c r="B44" s="129" t="s">
        <v>3549</v>
      </c>
      <c r="C44" s="129" t="s">
        <v>1438</v>
      </c>
      <c r="D44" s="133" t="s">
        <v>1742</v>
      </c>
      <c r="E44" s="9" t="s">
        <v>1439</v>
      </c>
      <c r="F44" s="11"/>
      <c r="G44" s="133" t="s">
        <v>3620</v>
      </c>
      <c r="H44" s="143" t="s">
        <v>3587</v>
      </c>
    </row>
    <row r="45" spans="1:8" hidden="1" x14ac:dyDescent="0.25">
      <c r="B45" s="129" t="s">
        <v>3549</v>
      </c>
      <c r="C45" s="10" t="s">
        <v>1440</v>
      </c>
      <c r="D45" s="10"/>
      <c r="E45" s="9" t="s">
        <v>1441</v>
      </c>
      <c r="F45" s="11"/>
      <c r="G45" s="133" t="s">
        <v>3620</v>
      </c>
      <c r="H45" s="143" t="s">
        <v>3587</v>
      </c>
    </row>
    <row r="46" spans="1:8" hidden="1" x14ac:dyDescent="0.25">
      <c r="B46" s="129" t="s">
        <v>3549</v>
      </c>
      <c r="C46" s="129" t="s">
        <v>1442</v>
      </c>
      <c r="D46" s="129"/>
      <c r="E46" s="9" t="s">
        <v>1443</v>
      </c>
      <c r="F46" s="11"/>
      <c r="G46" s="133" t="s">
        <v>3620</v>
      </c>
      <c r="H46" s="143" t="s">
        <v>3587</v>
      </c>
    </row>
    <row r="47" spans="1:8" hidden="1" x14ac:dyDescent="0.25">
      <c r="B47" s="129" t="s">
        <v>3549</v>
      </c>
      <c r="C47" s="10" t="s">
        <v>1442</v>
      </c>
      <c r="D47" s="10"/>
      <c r="E47" s="9" t="s">
        <v>1444</v>
      </c>
      <c r="F47" s="11"/>
      <c r="G47" s="133" t="s">
        <v>3620</v>
      </c>
      <c r="H47" s="143" t="s">
        <v>3587</v>
      </c>
    </row>
    <row r="48" spans="1:8" hidden="1" x14ac:dyDescent="0.25">
      <c r="B48" s="129" t="s">
        <v>3549</v>
      </c>
      <c r="C48" s="10" t="s">
        <v>1442</v>
      </c>
      <c r="D48" s="10"/>
      <c r="E48" s="9" t="s">
        <v>1445</v>
      </c>
      <c r="F48" s="11"/>
      <c r="G48" s="133" t="s">
        <v>3620</v>
      </c>
      <c r="H48" s="143" t="s">
        <v>3587</v>
      </c>
    </row>
    <row r="49" spans="2:8" hidden="1" x14ac:dyDescent="0.25">
      <c r="B49" s="129" t="s">
        <v>3549</v>
      </c>
      <c r="C49" s="10" t="s">
        <v>1442</v>
      </c>
      <c r="D49" s="10"/>
      <c r="E49" s="9" t="s">
        <v>1446</v>
      </c>
      <c r="F49" s="11"/>
      <c r="G49" s="133" t="s">
        <v>3620</v>
      </c>
      <c r="H49" s="143" t="s">
        <v>3587</v>
      </c>
    </row>
    <row r="50" spans="2:8" hidden="1" x14ac:dyDescent="0.25">
      <c r="B50" s="129" t="s">
        <v>3549</v>
      </c>
      <c r="C50" s="10" t="s">
        <v>1442</v>
      </c>
      <c r="D50" s="10"/>
      <c r="E50" s="9" t="s">
        <v>1447</v>
      </c>
      <c r="F50" s="11"/>
      <c r="G50" s="133" t="s">
        <v>3620</v>
      </c>
      <c r="H50" s="143" t="s">
        <v>3587</v>
      </c>
    </row>
    <row r="51" spans="2:8" hidden="1" x14ac:dyDescent="0.25">
      <c r="B51" s="129" t="s">
        <v>3549</v>
      </c>
      <c r="C51" s="10" t="s">
        <v>1448</v>
      </c>
      <c r="D51" s="10"/>
      <c r="E51" s="9" t="s">
        <v>1449</v>
      </c>
      <c r="F51" s="11"/>
      <c r="G51" s="133" t="s">
        <v>3620</v>
      </c>
      <c r="H51" s="143" t="s">
        <v>3587</v>
      </c>
    </row>
    <row r="52" spans="2:8" hidden="1" x14ac:dyDescent="0.25">
      <c r="B52" s="129" t="s">
        <v>3549</v>
      </c>
      <c r="C52" s="129" t="s">
        <v>3464</v>
      </c>
      <c r="D52" s="129"/>
      <c r="E52" s="9" t="s">
        <v>1450</v>
      </c>
      <c r="F52" s="11"/>
      <c r="G52" s="133" t="s">
        <v>3620</v>
      </c>
      <c r="H52" s="143" t="s">
        <v>3587</v>
      </c>
    </row>
    <row r="53" spans="2:8" hidden="1" x14ac:dyDescent="0.25">
      <c r="B53" s="129" t="s">
        <v>3549</v>
      </c>
      <c r="C53" s="44" t="s">
        <v>1451</v>
      </c>
      <c r="D53" s="44"/>
      <c r="E53" s="9" t="s">
        <v>1452</v>
      </c>
      <c r="F53" s="11"/>
      <c r="G53" s="133" t="s">
        <v>3620</v>
      </c>
      <c r="H53" s="143" t="s">
        <v>3587</v>
      </c>
    </row>
    <row r="54" spans="2:8" hidden="1" x14ac:dyDescent="0.25">
      <c r="B54" s="129" t="s">
        <v>3549</v>
      </c>
      <c r="C54" s="10" t="s">
        <v>1451</v>
      </c>
      <c r="D54" s="10"/>
      <c r="E54" s="9" t="s">
        <v>1453</v>
      </c>
      <c r="F54" s="11"/>
      <c r="G54" s="133" t="s">
        <v>3620</v>
      </c>
      <c r="H54" s="143" t="s">
        <v>3587</v>
      </c>
    </row>
    <row r="55" spans="2:8" hidden="1" x14ac:dyDescent="0.25">
      <c r="B55" s="129" t="s">
        <v>3549</v>
      </c>
      <c r="C55" s="10" t="s">
        <v>1451</v>
      </c>
      <c r="D55" s="10"/>
      <c r="E55" s="9" t="s">
        <v>1454</v>
      </c>
      <c r="F55" s="11"/>
      <c r="G55" s="133" t="s">
        <v>3620</v>
      </c>
      <c r="H55" s="143" t="s">
        <v>3587</v>
      </c>
    </row>
    <row r="56" spans="2:8" hidden="1" x14ac:dyDescent="0.25">
      <c r="B56" s="129" t="s">
        <v>3549</v>
      </c>
      <c r="C56" s="10" t="s">
        <v>1513</v>
      </c>
      <c r="D56" s="10"/>
      <c r="E56" s="9" t="s">
        <v>1514</v>
      </c>
      <c r="F56" s="11"/>
      <c r="G56" s="133" t="s">
        <v>3620</v>
      </c>
      <c r="H56" s="143" t="s">
        <v>3587</v>
      </c>
    </row>
    <row r="57" spans="2:8" hidden="1" x14ac:dyDescent="0.25">
      <c r="B57" s="129" t="s">
        <v>3549</v>
      </c>
      <c r="C57" s="10" t="s">
        <v>1515</v>
      </c>
      <c r="D57" s="10"/>
      <c r="E57" s="9" t="s">
        <v>1516</v>
      </c>
      <c r="F57" s="11"/>
      <c r="G57" s="133" t="s">
        <v>3620</v>
      </c>
      <c r="H57" s="143" t="s">
        <v>3587</v>
      </c>
    </row>
    <row r="58" spans="2:8" hidden="1" x14ac:dyDescent="0.25">
      <c r="B58" s="129" t="s">
        <v>3549</v>
      </c>
      <c r="C58" s="10" t="s">
        <v>1515</v>
      </c>
      <c r="D58" s="10"/>
      <c r="E58" s="9" t="s">
        <v>1517</v>
      </c>
      <c r="F58" s="11"/>
      <c r="G58" s="133" t="s">
        <v>3620</v>
      </c>
      <c r="H58" s="143" t="s">
        <v>3587</v>
      </c>
    </row>
    <row r="59" spans="2:8" hidden="1" x14ac:dyDescent="0.25">
      <c r="B59" s="129" t="s">
        <v>3549</v>
      </c>
      <c r="C59" s="10" t="s">
        <v>1518</v>
      </c>
      <c r="D59" s="10"/>
      <c r="E59" s="9" t="s">
        <v>1519</v>
      </c>
      <c r="F59" s="11"/>
      <c r="G59" s="133" t="s">
        <v>3620</v>
      </c>
      <c r="H59" s="143" t="s">
        <v>3587</v>
      </c>
    </row>
    <row r="60" spans="2:8" hidden="1" x14ac:dyDescent="0.25">
      <c r="B60" s="129" t="s">
        <v>3549</v>
      </c>
      <c r="C60" s="10" t="s">
        <v>1515</v>
      </c>
      <c r="D60" s="10"/>
      <c r="E60" s="9" t="s">
        <v>1541</v>
      </c>
      <c r="F60" s="11"/>
      <c r="G60" s="133" t="s">
        <v>3620</v>
      </c>
      <c r="H60" s="143" t="s">
        <v>3587</v>
      </c>
    </row>
    <row r="61" spans="2:8" hidden="1" x14ac:dyDescent="0.25">
      <c r="B61" s="129" t="s">
        <v>3549</v>
      </c>
      <c r="C61" s="10" t="s">
        <v>1515</v>
      </c>
      <c r="D61" s="10"/>
      <c r="E61" s="9" t="s">
        <v>1542</v>
      </c>
      <c r="F61" s="11"/>
      <c r="G61" s="133" t="s">
        <v>3620</v>
      </c>
      <c r="H61" s="143" t="s">
        <v>3587</v>
      </c>
    </row>
    <row r="62" spans="2:8" hidden="1" x14ac:dyDescent="0.25">
      <c r="B62" s="129" t="s">
        <v>3549</v>
      </c>
      <c r="C62" s="10" t="s">
        <v>1518</v>
      </c>
      <c r="D62" s="10"/>
      <c r="E62" s="9" t="s">
        <v>1543</v>
      </c>
      <c r="F62" s="11"/>
      <c r="G62" s="133" t="s">
        <v>3620</v>
      </c>
      <c r="H62" s="143" t="s">
        <v>3587</v>
      </c>
    </row>
    <row r="63" spans="2:8" hidden="1" x14ac:dyDescent="0.25">
      <c r="B63" s="129" t="s">
        <v>3549</v>
      </c>
      <c r="C63" s="10" t="s">
        <v>1544</v>
      </c>
      <c r="D63" s="10"/>
      <c r="E63" s="9" t="s">
        <v>1545</v>
      </c>
      <c r="F63" s="11"/>
      <c r="G63" s="133" t="s">
        <v>3620</v>
      </c>
      <c r="H63" s="143" t="s">
        <v>3587</v>
      </c>
    </row>
    <row r="64" spans="2:8" hidden="1" x14ac:dyDescent="0.25">
      <c r="B64" s="129" t="s">
        <v>3549</v>
      </c>
      <c r="C64" s="10" t="s">
        <v>1581</v>
      </c>
      <c r="D64" s="10"/>
      <c r="E64" s="9" t="s">
        <v>1582</v>
      </c>
      <c r="F64" s="11"/>
      <c r="G64" s="133" t="s">
        <v>3620</v>
      </c>
      <c r="H64" s="143" t="s">
        <v>3587</v>
      </c>
    </row>
    <row r="65" spans="2:8" hidden="1" x14ac:dyDescent="0.25">
      <c r="B65" s="129" t="s">
        <v>3549</v>
      </c>
      <c r="C65" s="10" t="s">
        <v>1583</v>
      </c>
      <c r="D65" s="10"/>
      <c r="E65" s="9" t="s">
        <v>1584</v>
      </c>
      <c r="F65" s="11"/>
      <c r="G65" s="133" t="s">
        <v>3620</v>
      </c>
      <c r="H65" s="143" t="s">
        <v>3587</v>
      </c>
    </row>
    <row r="66" spans="2:8" hidden="1" x14ac:dyDescent="0.25">
      <c r="B66" s="129" t="s">
        <v>3549</v>
      </c>
      <c r="C66" s="10" t="s">
        <v>1585</v>
      </c>
      <c r="D66" s="10"/>
      <c r="E66" s="9" t="s">
        <v>1586</v>
      </c>
      <c r="F66" s="11"/>
      <c r="G66" s="133" t="s">
        <v>3620</v>
      </c>
      <c r="H66" s="143" t="s">
        <v>3587</v>
      </c>
    </row>
    <row r="67" spans="2:8" hidden="1" x14ac:dyDescent="0.25">
      <c r="B67" s="129" t="s">
        <v>3549</v>
      </c>
      <c r="C67" s="10" t="s">
        <v>1587</v>
      </c>
      <c r="D67" s="10"/>
      <c r="E67" s="9" t="s">
        <v>1588</v>
      </c>
      <c r="F67" s="11"/>
      <c r="G67" s="133" t="s">
        <v>3620</v>
      </c>
      <c r="H67" s="143" t="s">
        <v>3587</v>
      </c>
    </row>
    <row r="68" spans="2:8" hidden="1" x14ac:dyDescent="0.25">
      <c r="B68" s="129" t="s">
        <v>3549</v>
      </c>
      <c r="C68" s="10" t="s">
        <v>1587</v>
      </c>
      <c r="D68" s="10"/>
      <c r="E68" s="9" t="s">
        <v>1589</v>
      </c>
      <c r="F68" s="11"/>
      <c r="G68" s="133" t="s">
        <v>3620</v>
      </c>
      <c r="H68" s="143" t="s">
        <v>3587</v>
      </c>
    </row>
    <row r="69" spans="2:8" hidden="1" x14ac:dyDescent="0.25">
      <c r="B69" s="129" t="s">
        <v>3549</v>
      </c>
      <c r="C69" s="10" t="s">
        <v>1513</v>
      </c>
      <c r="D69" s="10"/>
      <c r="E69" s="9" t="s">
        <v>1590</v>
      </c>
      <c r="F69" s="11"/>
      <c r="G69" s="133" t="s">
        <v>3620</v>
      </c>
      <c r="H69" s="143" t="s">
        <v>3587</v>
      </c>
    </row>
    <row r="70" spans="2:8" hidden="1" x14ac:dyDescent="0.25">
      <c r="B70" s="129" t="s">
        <v>3549</v>
      </c>
      <c r="C70" s="10" t="s">
        <v>1513</v>
      </c>
      <c r="D70" s="10"/>
      <c r="E70" s="9" t="s">
        <v>1591</v>
      </c>
      <c r="F70" s="11"/>
      <c r="G70" s="133" t="s">
        <v>3620</v>
      </c>
      <c r="H70" s="143" t="s">
        <v>3587</v>
      </c>
    </row>
    <row r="71" spans="2:8" hidden="1" x14ac:dyDescent="0.25">
      <c r="B71" s="129" t="s">
        <v>3549</v>
      </c>
      <c r="C71" s="10" t="s">
        <v>1513</v>
      </c>
      <c r="D71" s="10"/>
      <c r="E71" s="9" t="s">
        <v>1592</v>
      </c>
      <c r="F71" s="11"/>
      <c r="G71" s="133" t="s">
        <v>3620</v>
      </c>
      <c r="H71" s="143" t="s">
        <v>3587</v>
      </c>
    </row>
    <row r="72" spans="2:8" hidden="1" x14ac:dyDescent="0.25">
      <c r="B72" s="129" t="s">
        <v>3549</v>
      </c>
      <c r="C72" s="10" t="s">
        <v>1513</v>
      </c>
      <c r="D72" s="10"/>
      <c r="E72" s="9" t="s">
        <v>1593</v>
      </c>
      <c r="F72" s="11"/>
      <c r="G72" s="133" t="s">
        <v>3620</v>
      </c>
      <c r="H72" s="143" t="s">
        <v>3587</v>
      </c>
    </row>
    <row r="73" spans="2:8" hidden="1" x14ac:dyDescent="0.25">
      <c r="B73" s="129" t="s">
        <v>3549</v>
      </c>
      <c r="C73" s="10" t="s">
        <v>1513</v>
      </c>
      <c r="D73" s="10"/>
      <c r="E73" s="9" t="s">
        <v>1594</v>
      </c>
      <c r="F73" s="11"/>
      <c r="G73" s="133" t="s">
        <v>3620</v>
      </c>
      <c r="H73" s="143" t="s">
        <v>3587</v>
      </c>
    </row>
    <row r="74" spans="2:8" hidden="1" x14ac:dyDescent="0.25">
      <c r="B74" s="129" t="s">
        <v>3549</v>
      </c>
      <c r="C74" s="10" t="s">
        <v>1595</v>
      </c>
      <c r="D74" s="10"/>
      <c r="E74" s="9" t="s">
        <v>1596</v>
      </c>
      <c r="F74" s="11"/>
      <c r="G74" s="133" t="s">
        <v>3620</v>
      </c>
      <c r="H74" s="143" t="s">
        <v>3587</v>
      </c>
    </row>
    <row r="75" spans="2:8" hidden="1" x14ac:dyDescent="0.25">
      <c r="B75" s="129" t="s">
        <v>3549</v>
      </c>
      <c r="C75" s="10" t="s">
        <v>1595</v>
      </c>
      <c r="D75" s="10"/>
      <c r="E75" s="9" t="s">
        <v>1597</v>
      </c>
      <c r="F75" s="11"/>
      <c r="G75" s="133" t="s">
        <v>3620</v>
      </c>
      <c r="H75" s="143" t="s">
        <v>3587</v>
      </c>
    </row>
    <row r="76" spans="2:8" hidden="1" x14ac:dyDescent="0.25">
      <c r="B76" s="129" t="s">
        <v>3549</v>
      </c>
      <c r="C76" s="10" t="s">
        <v>1598</v>
      </c>
      <c r="D76" s="10"/>
      <c r="E76" s="9" t="s">
        <v>1599</v>
      </c>
      <c r="F76" s="11"/>
      <c r="G76" s="133" t="s">
        <v>3620</v>
      </c>
      <c r="H76" s="143" t="s">
        <v>3587</v>
      </c>
    </row>
    <row r="77" spans="2:8" hidden="1" x14ac:dyDescent="0.25">
      <c r="B77" s="129" t="s">
        <v>3549</v>
      </c>
      <c r="C77" s="10" t="s">
        <v>1598</v>
      </c>
      <c r="D77" s="10"/>
      <c r="E77" s="9" t="s">
        <v>1600</v>
      </c>
      <c r="F77" s="11"/>
      <c r="G77" s="133" t="s">
        <v>3620</v>
      </c>
      <c r="H77" s="143" t="s">
        <v>3587</v>
      </c>
    </row>
    <row r="78" spans="2:8" hidden="1" x14ac:dyDescent="0.25">
      <c r="B78" s="129" t="s">
        <v>3549</v>
      </c>
      <c r="C78" s="10" t="s">
        <v>1598</v>
      </c>
      <c r="D78" s="10"/>
      <c r="E78" s="9" t="s">
        <v>1601</v>
      </c>
      <c r="F78" s="11"/>
      <c r="G78" s="133" t="s">
        <v>3620</v>
      </c>
      <c r="H78" s="143" t="s">
        <v>3587</v>
      </c>
    </row>
    <row r="79" spans="2:8" hidden="1" x14ac:dyDescent="0.25">
      <c r="B79" s="129" t="s">
        <v>3549</v>
      </c>
      <c r="C79" s="10" t="s">
        <v>1598</v>
      </c>
      <c r="D79" s="10"/>
      <c r="E79" s="9" t="s">
        <v>1602</v>
      </c>
      <c r="F79" s="11"/>
      <c r="G79" s="133" t="s">
        <v>3620</v>
      </c>
      <c r="H79" s="143" t="s">
        <v>3587</v>
      </c>
    </row>
    <row r="80" spans="2:8" hidden="1" x14ac:dyDescent="0.25">
      <c r="B80" s="129" t="s">
        <v>3549</v>
      </c>
      <c r="C80" s="10" t="s">
        <v>1515</v>
      </c>
      <c r="D80" s="10"/>
      <c r="E80" s="9" t="s">
        <v>1603</v>
      </c>
      <c r="F80" s="11"/>
      <c r="G80" s="133" t="s">
        <v>3620</v>
      </c>
      <c r="H80" s="143" t="s">
        <v>3587</v>
      </c>
    </row>
    <row r="81" spans="2:8" hidden="1" x14ac:dyDescent="0.25">
      <c r="B81" s="129" t="s">
        <v>3549</v>
      </c>
      <c r="C81" s="10" t="s">
        <v>1515</v>
      </c>
      <c r="D81" s="10"/>
      <c r="E81" s="9" t="s">
        <v>1604</v>
      </c>
      <c r="F81" s="11"/>
      <c r="G81" s="133" t="s">
        <v>3620</v>
      </c>
      <c r="H81" s="143" t="s">
        <v>3587</v>
      </c>
    </row>
    <row r="82" spans="2:8" hidden="1" x14ac:dyDescent="0.25">
      <c r="B82" s="129" t="s">
        <v>3549</v>
      </c>
      <c r="C82" s="10" t="s">
        <v>1515</v>
      </c>
      <c r="D82" s="10"/>
      <c r="E82" s="9" t="s">
        <v>1605</v>
      </c>
      <c r="F82" s="11"/>
      <c r="G82" s="133" t="s">
        <v>3620</v>
      </c>
      <c r="H82" s="143" t="s">
        <v>3587</v>
      </c>
    </row>
    <row r="83" spans="2:8" hidden="1" x14ac:dyDescent="0.25">
      <c r="B83" s="129" t="s">
        <v>3549</v>
      </c>
      <c r="C83" s="10" t="s">
        <v>1515</v>
      </c>
      <c r="D83" s="10"/>
      <c r="E83" s="9" t="s">
        <v>1606</v>
      </c>
      <c r="F83" s="11"/>
      <c r="G83" s="133" t="s">
        <v>3620</v>
      </c>
      <c r="H83" s="143" t="s">
        <v>3587</v>
      </c>
    </row>
    <row r="84" spans="2:8" hidden="1" x14ac:dyDescent="0.25">
      <c r="B84" s="129" t="s">
        <v>3549</v>
      </c>
      <c r="C84" s="10" t="s">
        <v>1515</v>
      </c>
      <c r="D84" s="10"/>
      <c r="E84" s="9" t="s">
        <v>1607</v>
      </c>
      <c r="F84" s="11"/>
      <c r="G84" s="133" t="s">
        <v>3620</v>
      </c>
      <c r="H84" s="143" t="s">
        <v>3587</v>
      </c>
    </row>
    <row r="85" spans="2:8" hidden="1" x14ac:dyDescent="0.25">
      <c r="B85" s="129" t="s">
        <v>3549</v>
      </c>
      <c r="C85" s="10" t="s">
        <v>1515</v>
      </c>
      <c r="D85" s="10"/>
      <c r="E85" s="9" t="s">
        <v>1608</v>
      </c>
      <c r="F85" s="11"/>
      <c r="G85" s="133" t="s">
        <v>3620</v>
      </c>
      <c r="H85" s="143" t="s">
        <v>3587</v>
      </c>
    </row>
    <row r="86" spans="2:8" hidden="1" x14ac:dyDescent="0.25">
      <c r="B86" s="129" t="s">
        <v>3549</v>
      </c>
      <c r="C86" s="10" t="s">
        <v>1515</v>
      </c>
      <c r="D86" s="10"/>
      <c r="E86" s="9" t="s">
        <v>1609</v>
      </c>
      <c r="F86" s="11"/>
      <c r="G86" s="133" t="s">
        <v>3620</v>
      </c>
      <c r="H86" s="143" t="s">
        <v>3587</v>
      </c>
    </row>
    <row r="87" spans="2:8" hidden="1" x14ac:dyDescent="0.25">
      <c r="B87" s="129" t="s">
        <v>3549</v>
      </c>
      <c r="C87" s="10" t="s">
        <v>1610</v>
      </c>
      <c r="D87" s="10"/>
      <c r="E87" s="9" t="s">
        <v>1611</v>
      </c>
      <c r="F87" s="11"/>
      <c r="G87" s="133" t="s">
        <v>3620</v>
      </c>
      <c r="H87" s="143" t="s">
        <v>3587</v>
      </c>
    </row>
    <row r="88" spans="2:8" hidden="1" x14ac:dyDescent="0.25">
      <c r="B88" s="129" t="s">
        <v>3549</v>
      </c>
      <c r="C88" s="10" t="s">
        <v>1610</v>
      </c>
      <c r="D88" s="10"/>
      <c r="E88" s="9" t="s">
        <v>1612</v>
      </c>
      <c r="F88" s="11"/>
      <c r="G88" s="133" t="s">
        <v>3620</v>
      </c>
      <c r="H88" s="143" t="s">
        <v>3587</v>
      </c>
    </row>
    <row r="89" spans="2:8" hidden="1" x14ac:dyDescent="0.25">
      <c r="B89" s="129" t="s">
        <v>3549</v>
      </c>
      <c r="C89" s="10" t="s">
        <v>1610</v>
      </c>
      <c r="D89" s="10"/>
      <c r="E89" s="9" t="s">
        <v>1613</v>
      </c>
      <c r="F89" s="11"/>
      <c r="G89" s="133" t="s">
        <v>3620</v>
      </c>
      <c r="H89" s="143" t="s">
        <v>3587</v>
      </c>
    </row>
    <row r="90" spans="2:8" hidden="1" x14ac:dyDescent="0.25">
      <c r="B90" s="129" t="s">
        <v>3549</v>
      </c>
      <c r="C90" s="10" t="s">
        <v>1614</v>
      </c>
      <c r="D90" s="10"/>
      <c r="E90" s="9" t="s">
        <v>1615</v>
      </c>
      <c r="F90" s="11"/>
      <c r="G90" s="133" t="s">
        <v>3620</v>
      </c>
      <c r="H90" s="143" t="s">
        <v>3587</v>
      </c>
    </row>
    <row r="91" spans="2:8" hidden="1" x14ac:dyDescent="0.25">
      <c r="B91" s="129" t="s">
        <v>3549</v>
      </c>
      <c r="C91" s="10" t="s">
        <v>1614</v>
      </c>
      <c r="D91" s="10"/>
      <c r="E91" s="9" t="s">
        <v>1616</v>
      </c>
      <c r="F91" s="11"/>
      <c r="G91" s="133" t="s">
        <v>3620</v>
      </c>
      <c r="H91" s="143" t="s">
        <v>3587</v>
      </c>
    </row>
    <row r="92" spans="2:8" hidden="1" x14ac:dyDescent="0.25">
      <c r="B92" s="129" t="s">
        <v>3549</v>
      </c>
      <c r="C92" s="10" t="s">
        <v>1614</v>
      </c>
      <c r="D92" s="10"/>
      <c r="E92" s="9" t="s">
        <v>1617</v>
      </c>
      <c r="F92" s="11"/>
      <c r="G92" s="133" t="s">
        <v>3620</v>
      </c>
      <c r="H92" s="143" t="s">
        <v>3587</v>
      </c>
    </row>
    <row r="93" spans="2:8" hidden="1" x14ac:dyDescent="0.25">
      <c r="B93" s="129" t="s">
        <v>3549</v>
      </c>
      <c r="C93" s="10" t="s">
        <v>1544</v>
      </c>
      <c r="D93" s="10"/>
      <c r="E93" s="9" t="s">
        <v>1618</v>
      </c>
      <c r="F93" s="11"/>
      <c r="G93" s="133" t="s">
        <v>3620</v>
      </c>
      <c r="H93" s="143" t="s">
        <v>3587</v>
      </c>
    </row>
    <row r="94" spans="2:8" hidden="1" x14ac:dyDescent="0.25">
      <c r="B94" s="129" t="s">
        <v>3549</v>
      </c>
      <c r="C94" s="10" t="s">
        <v>1544</v>
      </c>
      <c r="D94" s="10"/>
      <c r="E94" s="9" t="s">
        <v>1619</v>
      </c>
      <c r="F94" s="11"/>
      <c r="G94" s="133" t="s">
        <v>3620</v>
      </c>
      <c r="H94" s="143" t="s">
        <v>3587</v>
      </c>
    </row>
    <row r="95" spans="2:8" hidden="1" x14ac:dyDescent="0.25">
      <c r="B95" s="129" t="s">
        <v>3549</v>
      </c>
      <c r="C95" s="10" t="s">
        <v>1595</v>
      </c>
      <c r="D95" s="10"/>
      <c r="E95" s="9" t="s">
        <v>1659</v>
      </c>
      <c r="F95" s="11"/>
      <c r="G95" s="133" t="s">
        <v>3620</v>
      </c>
      <c r="H95" s="143" t="s">
        <v>3587</v>
      </c>
    </row>
    <row r="96" spans="2:8" hidden="1" x14ac:dyDescent="0.25">
      <c r="B96" s="129" t="s">
        <v>3549</v>
      </c>
      <c r="C96" s="10" t="s">
        <v>1442</v>
      </c>
      <c r="D96" s="10"/>
      <c r="E96" s="9"/>
      <c r="F96" s="11"/>
      <c r="G96" s="133" t="s">
        <v>3620</v>
      </c>
      <c r="H96" s="143" t="s">
        <v>3587</v>
      </c>
    </row>
    <row r="97" spans="1:8" hidden="1" x14ac:dyDescent="0.25">
      <c r="B97" s="129" t="s">
        <v>3549</v>
      </c>
      <c r="C97" s="10" t="s">
        <v>1598</v>
      </c>
      <c r="D97" s="10"/>
      <c r="E97" s="9"/>
      <c r="F97" s="11"/>
      <c r="G97" s="133" t="s">
        <v>3620</v>
      </c>
      <c r="H97" s="143" t="s">
        <v>3587</v>
      </c>
    </row>
    <row r="98" spans="1:8" x14ac:dyDescent="0.25">
      <c r="A98">
        <v>1</v>
      </c>
      <c r="B98" s="129" t="s">
        <v>3554</v>
      </c>
      <c r="C98" s="133" t="s">
        <v>2632</v>
      </c>
      <c r="D98" s="133" t="s">
        <v>3034</v>
      </c>
      <c r="E98" s="134" t="s">
        <v>2633</v>
      </c>
      <c r="F98" s="135" t="s">
        <v>66</v>
      </c>
      <c r="G98" s="133" t="s">
        <v>2031</v>
      </c>
      <c r="H98" s="143" t="s">
        <v>3585</v>
      </c>
    </row>
    <row r="99" spans="1:8" x14ac:dyDescent="0.25">
      <c r="A99">
        <v>1</v>
      </c>
      <c r="B99" s="29" t="s">
        <v>2303</v>
      </c>
      <c r="C99" s="44" t="s">
        <v>2302</v>
      </c>
      <c r="D99" s="133" t="s">
        <v>3613</v>
      </c>
      <c r="E99" s="30" t="s">
        <v>2354</v>
      </c>
      <c r="F99" s="135" t="s">
        <v>124</v>
      </c>
      <c r="G99" s="29" t="s">
        <v>2031</v>
      </c>
      <c r="H99" s="143" t="s">
        <v>3585</v>
      </c>
    </row>
    <row r="100" spans="1:8" hidden="1" x14ac:dyDescent="0.25">
      <c r="B100" s="10" t="s">
        <v>2303</v>
      </c>
      <c r="C100" s="10" t="s">
        <v>69</v>
      </c>
      <c r="D100" s="10"/>
      <c r="E100" s="9" t="s">
        <v>2615</v>
      </c>
      <c r="F100" s="11">
        <v>2016</v>
      </c>
      <c r="G100" s="10" t="s">
        <v>2031</v>
      </c>
      <c r="H100" s="143" t="s">
        <v>3585</v>
      </c>
    </row>
    <row r="101" spans="1:8" hidden="1" x14ac:dyDescent="0.25">
      <c r="B101" s="29" t="s">
        <v>2303</v>
      </c>
      <c r="C101" s="44" t="s">
        <v>2302</v>
      </c>
      <c r="D101" s="44"/>
      <c r="E101" s="9" t="s">
        <v>2620</v>
      </c>
      <c r="F101" s="11">
        <v>2018</v>
      </c>
      <c r="G101" s="10" t="s">
        <v>2031</v>
      </c>
      <c r="H101" s="143" t="s">
        <v>3585</v>
      </c>
    </row>
    <row r="102" spans="1:8" hidden="1" x14ac:dyDescent="0.25">
      <c r="B102" s="29" t="s">
        <v>2303</v>
      </c>
      <c r="C102" s="44" t="s">
        <v>2302</v>
      </c>
      <c r="D102" s="44"/>
      <c r="E102" s="9" t="s">
        <v>2625</v>
      </c>
      <c r="F102" s="11">
        <v>2018</v>
      </c>
      <c r="G102" s="10" t="s">
        <v>2031</v>
      </c>
      <c r="H102" s="143" t="s">
        <v>3585</v>
      </c>
    </row>
    <row r="103" spans="1:8" hidden="1" x14ac:dyDescent="0.25">
      <c r="B103" s="29" t="s">
        <v>2303</v>
      </c>
      <c r="C103" s="44" t="s">
        <v>2302</v>
      </c>
      <c r="D103" s="44"/>
      <c r="E103" s="9" t="s">
        <v>2626</v>
      </c>
      <c r="F103" s="11">
        <v>2018</v>
      </c>
      <c r="G103" s="10" t="s">
        <v>2031</v>
      </c>
      <c r="H103" s="143" t="s">
        <v>3585</v>
      </c>
    </row>
    <row r="104" spans="1:8" hidden="1" x14ac:dyDescent="0.25">
      <c r="B104" s="29" t="s">
        <v>2303</v>
      </c>
      <c r="C104" s="44" t="s">
        <v>2302</v>
      </c>
      <c r="D104" s="44"/>
      <c r="E104" s="9" t="s">
        <v>2627</v>
      </c>
      <c r="F104" s="11">
        <v>2018</v>
      </c>
      <c r="G104" s="10" t="s">
        <v>2031</v>
      </c>
      <c r="H104" s="143" t="s">
        <v>3585</v>
      </c>
    </row>
    <row r="105" spans="1:8" hidden="1" x14ac:dyDescent="0.25">
      <c r="B105" s="29" t="s">
        <v>2303</v>
      </c>
      <c r="C105" s="44" t="s">
        <v>2302</v>
      </c>
      <c r="D105" s="44"/>
      <c r="E105" s="9" t="s">
        <v>2628</v>
      </c>
      <c r="F105" s="11">
        <v>2018</v>
      </c>
      <c r="G105" s="10" t="s">
        <v>2031</v>
      </c>
      <c r="H105" s="143" t="s">
        <v>3585</v>
      </c>
    </row>
    <row r="106" spans="1:8" hidden="1" x14ac:dyDescent="0.25">
      <c r="B106" s="29" t="s">
        <v>2303</v>
      </c>
      <c r="C106" s="44" t="s">
        <v>2302</v>
      </c>
      <c r="D106" s="44"/>
      <c r="E106" s="9" t="s">
        <v>2629</v>
      </c>
      <c r="F106" s="11">
        <v>2018</v>
      </c>
      <c r="G106" s="10" t="s">
        <v>2031</v>
      </c>
      <c r="H106" s="143" t="s">
        <v>3585</v>
      </c>
    </row>
    <row r="107" spans="1:8" hidden="1" x14ac:dyDescent="0.25">
      <c r="B107" s="29" t="s">
        <v>2303</v>
      </c>
      <c r="C107" s="44" t="s">
        <v>2302</v>
      </c>
      <c r="D107" s="44"/>
      <c r="E107" s="9" t="s">
        <v>2631</v>
      </c>
      <c r="F107" s="11">
        <v>2018</v>
      </c>
      <c r="G107" s="10" t="s">
        <v>2031</v>
      </c>
      <c r="H107" s="143" t="s">
        <v>3585</v>
      </c>
    </row>
    <row r="108" spans="1:8" hidden="1" x14ac:dyDescent="0.25">
      <c r="B108" s="133" t="s">
        <v>2303</v>
      </c>
      <c r="C108" s="44" t="s">
        <v>2302</v>
      </c>
      <c r="D108" s="44"/>
      <c r="E108" s="9" t="s">
        <v>2636</v>
      </c>
      <c r="F108" s="11">
        <v>2016</v>
      </c>
      <c r="G108" s="10" t="s">
        <v>2031</v>
      </c>
      <c r="H108" s="143" t="s">
        <v>3585</v>
      </c>
    </row>
    <row r="109" spans="1:8" hidden="1" x14ac:dyDescent="0.25">
      <c r="B109" s="10" t="s">
        <v>2303</v>
      </c>
      <c r="C109" s="10" t="s">
        <v>69</v>
      </c>
      <c r="D109" s="10"/>
      <c r="E109" s="9" t="s">
        <v>2639</v>
      </c>
      <c r="F109" s="11">
        <v>2016</v>
      </c>
      <c r="G109" s="10" t="s">
        <v>2031</v>
      </c>
      <c r="H109" s="143" t="s">
        <v>3585</v>
      </c>
    </row>
    <row r="110" spans="1:8" x14ac:dyDescent="0.25">
      <c r="A110">
        <v>1</v>
      </c>
      <c r="B110" s="133" t="s">
        <v>28</v>
      </c>
      <c r="C110" s="10" t="s">
        <v>2637</v>
      </c>
      <c r="D110" s="133" t="s">
        <v>3034</v>
      </c>
      <c r="E110" s="9" t="s">
        <v>2638</v>
      </c>
      <c r="F110" s="11" t="s">
        <v>66</v>
      </c>
      <c r="G110" s="10" t="s">
        <v>2031</v>
      </c>
      <c r="H110" s="143" t="s">
        <v>3585</v>
      </c>
    </row>
    <row r="111" spans="1:8" x14ac:dyDescent="0.25">
      <c r="A111">
        <v>1</v>
      </c>
      <c r="B111" s="29" t="s">
        <v>61</v>
      </c>
      <c r="C111" s="29" t="s">
        <v>62</v>
      </c>
      <c r="D111" s="133" t="s">
        <v>3614</v>
      </c>
      <c r="E111" s="30" t="s">
        <v>2356</v>
      </c>
      <c r="F111" s="11"/>
      <c r="G111" s="29" t="s">
        <v>2031</v>
      </c>
      <c r="H111" s="143" t="s">
        <v>3585</v>
      </c>
    </row>
    <row r="112" spans="1:8" hidden="1" x14ac:dyDescent="0.25">
      <c r="B112" s="29" t="s">
        <v>61</v>
      </c>
      <c r="C112" s="29" t="s">
        <v>62</v>
      </c>
      <c r="D112" s="29"/>
      <c r="E112" s="30" t="s">
        <v>2357</v>
      </c>
      <c r="F112" s="11"/>
      <c r="G112" s="29" t="s">
        <v>2031</v>
      </c>
      <c r="H112" s="143" t="s">
        <v>3585</v>
      </c>
    </row>
    <row r="113" spans="1:8" x14ac:dyDescent="0.25">
      <c r="A113">
        <v>1</v>
      </c>
      <c r="B113" s="29" t="s">
        <v>61</v>
      </c>
      <c r="C113" s="29" t="s">
        <v>2358</v>
      </c>
      <c r="D113" s="133" t="s">
        <v>3034</v>
      </c>
      <c r="E113" s="9"/>
      <c r="F113" s="11"/>
      <c r="G113" s="29" t="s">
        <v>2031</v>
      </c>
      <c r="H113" s="143" t="s">
        <v>3585</v>
      </c>
    </row>
    <row r="114" spans="1:8" x14ac:dyDescent="0.25">
      <c r="A114">
        <v>1</v>
      </c>
      <c r="B114" s="133" t="s">
        <v>61</v>
      </c>
      <c r="C114" s="10" t="s">
        <v>2617</v>
      </c>
      <c r="D114" s="133" t="s">
        <v>3034</v>
      </c>
      <c r="E114" s="9" t="s">
        <v>2618</v>
      </c>
      <c r="F114" s="11"/>
      <c r="G114" s="10" t="s">
        <v>2031</v>
      </c>
      <c r="H114" s="143" t="s">
        <v>3585</v>
      </c>
    </row>
    <row r="115" spans="1:8" x14ac:dyDescent="0.25">
      <c r="A115">
        <v>1</v>
      </c>
      <c r="B115" s="133" t="s">
        <v>3580</v>
      </c>
      <c r="C115" s="41" t="s">
        <v>32</v>
      </c>
      <c r="D115" s="133" t="s">
        <v>3617</v>
      </c>
      <c r="E115" s="9" t="s">
        <v>2630</v>
      </c>
      <c r="F115" s="135" t="s">
        <v>969</v>
      </c>
      <c r="G115" s="10" t="s">
        <v>2031</v>
      </c>
      <c r="H115" s="143" t="s">
        <v>3585</v>
      </c>
    </row>
    <row r="116" spans="1:8" hidden="1" x14ac:dyDescent="0.25">
      <c r="B116" s="133" t="s">
        <v>3576</v>
      </c>
      <c r="C116" s="41" t="s">
        <v>32</v>
      </c>
      <c r="D116" s="41"/>
      <c r="E116" s="9" t="s">
        <v>2622</v>
      </c>
      <c r="F116" s="135" t="s">
        <v>969</v>
      </c>
      <c r="G116" s="10" t="s">
        <v>2031</v>
      </c>
      <c r="H116" s="143" t="s">
        <v>3585</v>
      </c>
    </row>
    <row r="117" spans="1:8" hidden="1" x14ac:dyDescent="0.25">
      <c r="B117" s="133" t="s">
        <v>3576</v>
      </c>
      <c r="C117" s="41" t="s">
        <v>32</v>
      </c>
      <c r="D117" s="41"/>
      <c r="E117" s="9" t="s">
        <v>2623</v>
      </c>
      <c r="F117" s="135" t="s">
        <v>969</v>
      </c>
      <c r="G117" s="10" t="s">
        <v>2031</v>
      </c>
      <c r="H117" s="143" t="s">
        <v>3585</v>
      </c>
    </row>
    <row r="118" spans="1:8" hidden="1" x14ac:dyDescent="0.25">
      <c r="B118" s="133" t="s">
        <v>3576</v>
      </c>
      <c r="C118" s="41" t="s">
        <v>32</v>
      </c>
      <c r="D118" s="41"/>
      <c r="E118" s="9" t="s">
        <v>2624</v>
      </c>
      <c r="F118" s="135" t="s">
        <v>969</v>
      </c>
      <c r="G118" s="10" t="s">
        <v>2031</v>
      </c>
      <c r="H118" s="143" t="s">
        <v>3585</v>
      </c>
    </row>
    <row r="119" spans="1:8" hidden="1" x14ac:dyDescent="0.25">
      <c r="B119" s="133" t="s">
        <v>3576</v>
      </c>
      <c r="C119" s="41" t="s">
        <v>32</v>
      </c>
      <c r="D119" s="41"/>
      <c r="E119" s="9" t="s">
        <v>2640</v>
      </c>
      <c r="F119" s="135" t="s">
        <v>969</v>
      </c>
      <c r="G119" s="10" t="s">
        <v>2031</v>
      </c>
      <c r="H119" s="143" t="s">
        <v>3585</v>
      </c>
    </row>
    <row r="120" spans="1:8" x14ac:dyDescent="0.25">
      <c r="A120">
        <v>1</v>
      </c>
      <c r="B120" s="133" t="s">
        <v>3589</v>
      </c>
      <c r="C120" s="10" t="s">
        <v>3260</v>
      </c>
      <c r="D120" s="133" t="s">
        <v>3034</v>
      </c>
      <c r="E120" s="9" t="s">
        <v>3261</v>
      </c>
      <c r="F120" s="11" t="s">
        <v>3262</v>
      </c>
      <c r="G120" s="10" t="s">
        <v>2031</v>
      </c>
      <c r="H120" s="143" t="s">
        <v>3585</v>
      </c>
    </row>
    <row r="121" spans="1:8" x14ac:dyDescent="0.25">
      <c r="A121">
        <v>1</v>
      </c>
      <c r="B121" s="10" t="s">
        <v>3590</v>
      </c>
      <c r="C121" s="10" t="s">
        <v>3265</v>
      </c>
      <c r="D121" s="133" t="s">
        <v>3034</v>
      </c>
      <c r="E121" s="9" t="s">
        <v>3266</v>
      </c>
      <c r="F121" s="11" t="s">
        <v>735</v>
      </c>
      <c r="G121" s="10" t="s">
        <v>2031</v>
      </c>
      <c r="H121" s="143" t="s">
        <v>3585</v>
      </c>
    </row>
    <row r="122" spans="1:8" x14ac:dyDescent="0.25">
      <c r="A122">
        <v>1</v>
      </c>
      <c r="B122" s="10" t="s">
        <v>3591</v>
      </c>
      <c r="C122" s="10" t="s">
        <v>3268</v>
      </c>
      <c r="D122" s="133" t="s">
        <v>3034</v>
      </c>
      <c r="E122" s="9" t="s">
        <v>3269</v>
      </c>
      <c r="F122" s="11" t="s">
        <v>735</v>
      </c>
      <c r="G122" s="10" t="s">
        <v>2031</v>
      </c>
      <c r="H122" s="143" t="s">
        <v>3585</v>
      </c>
    </row>
    <row r="123" spans="1:8" x14ac:dyDescent="0.25">
      <c r="A123">
        <v>1</v>
      </c>
      <c r="B123" s="10" t="s">
        <v>3592</v>
      </c>
      <c r="C123" s="41" t="s">
        <v>3391</v>
      </c>
      <c r="D123" s="133" t="s">
        <v>3034</v>
      </c>
      <c r="E123" s="9" t="s">
        <v>3276</v>
      </c>
      <c r="F123" s="11" t="s">
        <v>236</v>
      </c>
      <c r="G123" s="10" t="s">
        <v>2031</v>
      </c>
      <c r="H123" s="143" t="s">
        <v>3585</v>
      </c>
    </row>
    <row r="124" spans="1:8" x14ac:dyDescent="0.25">
      <c r="A124">
        <v>1</v>
      </c>
      <c r="B124" s="10" t="s">
        <v>3593</v>
      </c>
      <c r="C124" s="10" t="s">
        <v>3271</v>
      </c>
      <c r="D124" s="133" t="s">
        <v>3034</v>
      </c>
      <c r="E124" s="9" t="s">
        <v>3272</v>
      </c>
      <c r="F124" s="11" t="s">
        <v>615</v>
      </c>
      <c r="G124" s="10" t="s">
        <v>2031</v>
      </c>
      <c r="H124" s="143" t="s">
        <v>3585</v>
      </c>
    </row>
    <row r="125" spans="1:8" x14ac:dyDescent="0.25">
      <c r="A125">
        <v>1</v>
      </c>
      <c r="B125" s="10" t="s">
        <v>3594</v>
      </c>
      <c r="C125" s="41" t="s">
        <v>3390</v>
      </c>
      <c r="D125" s="133" t="s">
        <v>3034</v>
      </c>
      <c r="E125" s="9" t="s">
        <v>3274</v>
      </c>
      <c r="F125" s="11"/>
      <c r="G125" s="10" t="s">
        <v>2031</v>
      </c>
      <c r="H125" s="143" t="s">
        <v>3585</v>
      </c>
    </row>
    <row r="126" spans="1:8" x14ac:dyDescent="0.25">
      <c r="A126">
        <v>1</v>
      </c>
      <c r="B126" s="10" t="s">
        <v>3595</v>
      </c>
      <c r="C126" s="41" t="s">
        <v>3392</v>
      </c>
      <c r="D126" s="133" t="s">
        <v>3034</v>
      </c>
      <c r="E126" s="9" t="s">
        <v>3279</v>
      </c>
      <c r="F126" s="11"/>
      <c r="G126" s="10" t="s">
        <v>2031</v>
      </c>
      <c r="H126" s="143" t="s">
        <v>3585</v>
      </c>
    </row>
    <row r="127" spans="1:8" x14ac:dyDescent="0.25">
      <c r="A127">
        <v>1</v>
      </c>
      <c r="B127" s="10" t="s">
        <v>3595</v>
      </c>
      <c r="C127" s="41" t="s">
        <v>3393</v>
      </c>
      <c r="D127" s="133" t="s">
        <v>3034</v>
      </c>
      <c r="E127" s="9" t="s">
        <v>3281</v>
      </c>
      <c r="F127" s="11"/>
      <c r="G127" s="10" t="s">
        <v>2031</v>
      </c>
      <c r="H127" s="143" t="s">
        <v>3585</v>
      </c>
    </row>
    <row r="128" spans="1:8" x14ac:dyDescent="0.25">
      <c r="A128">
        <v>1</v>
      </c>
      <c r="B128" s="10" t="s">
        <v>3595</v>
      </c>
      <c r="C128" s="41" t="s">
        <v>3394</v>
      </c>
      <c r="D128" s="133" t="s">
        <v>3034</v>
      </c>
      <c r="E128" s="9" t="s">
        <v>3283</v>
      </c>
      <c r="F128" s="11"/>
      <c r="G128" s="10" t="s">
        <v>2031</v>
      </c>
      <c r="H128" s="143" t="s">
        <v>3585</v>
      </c>
    </row>
    <row r="129" spans="1:8" x14ac:dyDescent="0.25">
      <c r="A129">
        <v>1</v>
      </c>
      <c r="B129" s="10" t="s">
        <v>3595</v>
      </c>
      <c r="C129" s="41" t="s">
        <v>3394</v>
      </c>
      <c r="D129" s="133" t="s">
        <v>3034</v>
      </c>
      <c r="E129" s="9" t="s">
        <v>3285</v>
      </c>
      <c r="F129" s="11"/>
      <c r="G129" s="10" t="s">
        <v>2031</v>
      </c>
      <c r="H129" s="143" t="s">
        <v>3585</v>
      </c>
    </row>
    <row r="130" spans="1:8" x14ac:dyDescent="0.25">
      <c r="A130">
        <v>1</v>
      </c>
      <c r="B130" s="10" t="s">
        <v>3595</v>
      </c>
      <c r="C130" s="41" t="s">
        <v>3395</v>
      </c>
      <c r="D130" s="133" t="s">
        <v>3034</v>
      </c>
      <c r="E130" s="9" t="s">
        <v>3287</v>
      </c>
      <c r="F130" s="11"/>
      <c r="G130" s="10" t="s">
        <v>2031</v>
      </c>
      <c r="H130" s="143" t="s">
        <v>3585</v>
      </c>
    </row>
    <row r="131" spans="1:8" x14ac:dyDescent="0.25">
      <c r="A131">
        <v>1</v>
      </c>
      <c r="B131" s="10" t="s">
        <v>3595</v>
      </c>
      <c r="C131" s="41" t="s">
        <v>3395</v>
      </c>
      <c r="D131" s="133" t="s">
        <v>3034</v>
      </c>
      <c r="E131" s="9" t="s">
        <v>3289</v>
      </c>
      <c r="F131" s="11"/>
      <c r="G131" s="10" t="s">
        <v>2031</v>
      </c>
      <c r="H131" s="143" t="s">
        <v>3585</v>
      </c>
    </row>
    <row r="132" spans="1:8" x14ac:dyDescent="0.25">
      <c r="A132">
        <v>1</v>
      </c>
      <c r="B132" s="10" t="s">
        <v>3595</v>
      </c>
      <c r="C132" s="41" t="s">
        <v>3395</v>
      </c>
      <c r="D132" s="133" t="s">
        <v>3034</v>
      </c>
      <c r="E132" s="9" t="s">
        <v>3291</v>
      </c>
      <c r="F132" s="11"/>
      <c r="G132" s="10" t="s">
        <v>2031</v>
      </c>
      <c r="H132" s="143" t="s">
        <v>3585</v>
      </c>
    </row>
    <row r="133" spans="1:8" x14ac:dyDescent="0.25">
      <c r="A133">
        <v>1</v>
      </c>
      <c r="B133" s="10" t="s">
        <v>3595</v>
      </c>
      <c r="C133" s="41" t="s">
        <v>3395</v>
      </c>
      <c r="D133" s="133" t="s">
        <v>3034</v>
      </c>
      <c r="E133" s="9" t="s">
        <v>3292</v>
      </c>
      <c r="F133" s="11"/>
      <c r="G133" s="10" t="s">
        <v>2031</v>
      </c>
      <c r="H133" s="143" t="s">
        <v>3585</v>
      </c>
    </row>
    <row r="134" spans="1:8" x14ac:dyDescent="0.25">
      <c r="A134">
        <v>1</v>
      </c>
      <c r="B134" s="3" t="s">
        <v>3595</v>
      </c>
      <c r="C134" s="43" t="s">
        <v>3395</v>
      </c>
      <c r="D134" s="137" t="s">
        <v>3034</v>
      </c>
      <c r="E134" s="2" t="s">
        <v>3294</v>
      </c>
      <c r="F134" s="1"/>
      <c r="G134" s="10" t="s">
        <v>2031</v>
      </c>
      <c r="H134" s="143" t="s">
        <v>3585</v>
      </c>
    </row>
    <row r="135" spans="1:8" x14ac:dyDescent="0.25">
      <c r="A135">
        <v>1</v>
      </c>
      <c r="B135" s="3" t="s">
        <v>3595</v>
      </c>
      <c r="C135" s="43" t="s">
        <v>3395</v>
      </c>
      <c r="D135" s="137" t="s">
        <v>3034</v>
      </c>
      <c r="E135" s="2" t="s">
        <v>3296</v>
      </c>
      <c r="F135" s="1"/>
      <c r="G135" s="10" t="s">
        <v>2031</v>
      </c>
      <c r="H135" s="143" t="s">
        <v>3585</v>
      </c>
    </row>
    <row r="136" spans="1:8" x14ac:dyDescent="0.25">
      <c r="A136">
        <v>1</v>
      </c>
      <c r="B136" s="3" t="s">
        <v>3595</v>
      </c>
      <c r="C136" s="43" t="s">
        <v>3395</v>
      </c>
      <c r="D136" s="137" t="s">
        <v>3034</v>
      </c>
      <c r="E136" s="2" t="s">
        <v>3297</v>
      </c>
      <c r="F136" s="1"/>
      <c r="G136" s="10" t="s">
        <v>2031</v>
      </c>
      <c r="H136" s="143" t="s">
        <v>3585</v>
      </c>
    </row>
    <row r="137" spans="1:8" x14ac:dyDescent="0.25">
      <c r="A137">
        <v>1</v>
      </c>
      <c r="B137" s="3" t="s">
        <v>325</v>
      </c>
      <c r="C137" s="43" t="s">
        <v>1936</v>
      </c>
      <c r="D137" s="137" t="s">
        <v>3034</v>
      </c>
      <c r="E137" s="2" t="s">
        <v>3299</v>
      </c>
      <c r="F137" s="1" t="s">
        <v>550</v>
      </c>
      <c r="G137" s="10" t="s">
        <v>2031</v>
      </c>
      <c r="H137" s="143" t="s">
        <v>3585</v>
      </c>
    </row>
    <row r="138" spans="1:8" x14ac:dyDescent="0.25">
      <c r="A138">
        <v>1</v>
      </c>
      <c r="B138" s="3" t="s">
        <v>325</v>
      </c>
      <c r="C138" s="43" t="s">
        <v>593</v>
      </c>
      <c r="D138" s="137" t="s">
        <v>3034</v>
      </c>
      <c r="E138" s="2" t="s">
        <v>3301</v>
      </c>
      <c r="F138" s="1" t="s">
        <v>3046</v>
      </c>
      <c r="G138" s="10" t="s">
        <v>2031</v>
      </c>
      <c r="H138" s="143" t="s">
        <v>3585</v>
      </c>
    </row>
    <row r="139" spans="1:8" x14ac:dyDescent="0.25">
      <c r="A139">
        <v>1</v>
      </c>
      <c r="B139" s="137" t="s">
        <v>3566</v>
      </c>
      <c r="C139" s="137" t="s">
        <v>3567</v>
      </c>
      <c r="D139" s="137" t="s">
        <v>3034</v>
      </c>
      <c r="E139" s="2"/>
      <c r="F139" s="1"/>
      <c r="G139" s="129" t="s">
        <v>1186</v>
      </c>
      <c r="H139" s="143" t="s">
        <v>3587</v>
      </c>
    </row>
    <row r="140" spans="1:8" x14ac:dyDescent="0.25">
      <c r="A140">
        <v>1</v>
      </c>
      <c r="B140" s="138" t="s">
        <v>3555</v>
      </c>
      <c r="C140" s="3" t="s">
        <v>455</v>
      </c>
      <c r="D140" s="137" t="s">
        <v>3034</v>
      </c>
      <c r="E140" s="2" t="s">
        <v>1785</v>
      </c>
      <c r="F140" s="1" t="s">
        <v>59</v>
      </c>
      <c r="G140" s="10" t="s">
        <v>1186</v>
      </c>
      <c r="H140" s="143" t="s">
        <v>3584</v>
      </c>
    </row>
    <row r="141" spans="1:8" x14ac:dyDescent="0.25">
      <c r="A141">
        <v>1</v>
      </c>
      <c r="B141" s="3" t="s">
        <v>370</v>
      </c>
      <c r="C141" s="3" t="s">
        <v>608</v>
      </c>
      <c r="D141" s="137" t="s">
        <v>3034</v>
      </c>
      <c r="E141" s="2"/>
      <c r="F141" s="1"/>
      <c r="G141" s="129" t="s">
        <v>1186</v>
      </c>
      <c r="H141" s="143" t="s">
        <v>3584</v>
      </c>
    </row>
    <row r="142" spans="1:8" x14ac:dyDescent="0.25">
      <c r="A142">
        <v>1</v>
      </c>
      <c r="B142" s="10" t="s">
        <v>2319</v>
      </c>
      <c r="C142" s="10" t="s">
        <v>54</v>
      </c>
      <c r="D142" s="133" t="s">
        <v>3616</v>
      </c>
      <c r="E142" s="9" t="s">
        <v>1833</v>
      </c>
      <c r="F142" s="11"/>
      <c r="G142" s="10" t="s">
        <v>1186</v>
      </c>
      <c r="H142" s="143" t="s">
        <v>3584</v>
      </c>
    </row>
    <row r="143" spans="1:8" hidden="1" x14ac:dyDescent="0.25">
      <c r="B143" s="10" t="s">
        <v>2319</v>
      </c>
      <c r="C143" s="129" t="s">
        <v>54</v>
      </c>
      <c r="D143" s="129"/>
      <c r="E143" s="9" t="s">
        <v>1834</v>
      </c>
      <c r="F143" s="11"/>
      <c r="G143" s="10" t="s">
        <v>1186</v>
      </c>
      <c r="H143" s="143" t="s">
        <v>3584</v>
      </c>
    </row>
    <row r="144" spans="1:8" hidden="1" x14ac:dyDescent="0.25">
      <c r="B144" s="10" t="s">
        <v>2319</v>
      </c>
      <c r="C144" s="10" t="s">
        <v>54</v>
      </c>
      <c r="D144" s="10"/>
      <c r="E144" s="9" t="s">
        <v>1835</v>
      </c>
      <c r="F144" s="11"/>
      <c r="G144" s="10" t="s">
        <v>1186</v>
      </c>
      <c r="H144" s="143" t="s">
        <v>3584</v>
      </c>
    </row>
    <row r="145" spans="1:8" hidden="1" x14ac:dyDescent="0.25">
      <c r="B145" s="10" t="s">
        <v>2319</v>
      </c>
      <c r="C145" s="10" t="s">
        <v>54</v>
      </c>
      <c r="D145" s="10"/>
      <c r="E145" s="9" t="s">
        <v>1836</v>
      </c>
      <c r="F145" s="11"/>
      <c r="G145" s="10" t="s">
        <v>1186</v>
      </c>
      <c r="H145" s="143" t="s">
        <v>3584</v>
      </c>
    </row>
    <row r="146" spans="1:8" hidden="1" x14ac:dyDescent="0.25">
      <c r="B146" s="10" t="s">
        <v>2319</v>
      </c>
      <c r="C146" s="10" t="s">
        <v>54</v>
      </c>
      <c r="D146" s="10"/>
      <c r="E146" s="9" t="s">
        <v>1837</v>
      </c>
      <c r="F146" s="11"/>
      <c r="G146" s="10" t="s">
        <v>1186</v>
      </c>
      <c r="H146" s="143" t="s">
        <v>3584</v>
      </c>
    </row>
    <row r="147" spans="1:8" hidden="1" x14ac:dyDescent="0.25">
      <c r="B147" s="10" t="s">
        <v>2319</v>
      </c>
      <c r="C147" s="10" t="s">
        <v>54</v>
      </c>
      <c r="D147" s="10"/>
      <c r="E147" s="9" t="s">
        <v>1838</v>
      </c>
      <c r="F147" s="11"/>
      <c r="G147" s="10" t="s">
        <v>1186</v>
      </c>
      <c r="H147" s="143" t="s">
        <v>3584</v>
      </c>
    </row>
    <row r="148" spans="1:8" x14ac:dyDescent="0.25">
      <c r="A148">
        <v>1</v>
      </c>
      <c r="B148" s="10" t="s">
        <v>444</v>
      </c>
      <c r="C148" s="44" t="s">
        <v>445</v>
      </c>
      <c r="D148" s="133" t="s">
        <v>3034</v>
      </c>
      <c r="E148" s="9" t="s">
        <v>672</v>
      </c>
      <c r="F148" s="11" t="s">
        <v>464</v>
      </c>
      <c r="G148" s="10" t="s">
        <v>1186</v>
      </c>
      <c r="H148" s="143" t="s">
        <v>3584</v>
      </c>
    </row>
    <row r="149" spans="1:8" x14ac:dyDescent="0.25">
      <c r="A149">
        <v>1</v>
      </c>
      <c r="B149" s="10" t="s">
        <v>61</v>
      </c>
      <c r="C149" s="10" t="s">
        <v>1779</v>
      </c>
      <c r="D149" s="133" t="s">
        <v>3034</v>
      </c>
      <c r="E149" s="9" t="s">
        <v>1780</v>
      </c>
      <c r="F149" s="11"/>
      <c r="G149" s="10" t="s">
        <v>1186</v>
      </c>
      <c r="H149" s="143" t="s">
        <v>3584</v>
      </c>
    </row>
    <row r="150" spans="1:8" x14ac:dyDescent="0.25">
      <c r="A150">
        <v>1</v>
      </c>
      <c r="B150" s="130" t="s">
        <v>325</v>
      </c>
      <c r="C150" s="130" t="s">
        <v>1147</v>
      </c>
      <c r="D150" s="144" t="s">
        <v>3034</v>
      </c>
      <c r="E150" s="9"/>
      <c r="F150" s="11"/>
      <c r="G150" s="129" t="s">
        <v>1186</v>
      </c>
      <c r="H150" s="143" t="s">
        <v>3584</v>
      </c>
    </row>
    <row r="151" spans="1:8" x14ac:dyDescent="0.25">
      <c r="A151">
        <v>1</v>
      </c>
      <c r="B151" s="130" t="s">
        <v>325</v>
      </c>
      <c r="C151" s="130" t="s">
        <v>1936</v>
      </c>
      <c r="D151" s="133" t="s">
        <v>3034</v>
      </c>
      <c r="E151" s="9"/>
      <c r="F151" s="11"/>
      <c r="G151" s="129" t="s">
        <v>1186</v>
      </c>
      <c r="H151" s="143" t="s">
        <v>3584</v>
      </c>
    </row>
    <row r="152" spans="1:8" x14ac:dyDescent="0.25">
      <c r="A152">
        <v>1</v>
      </c>
      <c r="B152" s="129" t="s">
        <v>3554</v>
      </c>
      <c r="C152" s="10" t="s">
        <v>1896</v>
      </c>
      <c r="D152" s="144" t="s">
        <v>3034</v>
      </c>
      <c r="E152" s="9" t="s">
        <v>1897</v>
      </c>
      <c r="F152" s="11" t="s">
        <v>51</v>
      </c>
      <c r="G152" s="10" t="s">
        <v>1262</v>
      </c>
      <c r="H152" s="143" t="s">
        <v>3586</v>
      </c>
    </row>
    <row r="153" spans="1:8" x14ac:dyDescent="0.25">
      <c r="A153">
        <v>1</v>
      </c>
      <c r="B153" s="35" t="s">
        <v>2672</v>
      </c>
      <c r="C153" s="35" t="s">
        <v>2645</v>
      </c>
      <c r="D153" s="133" t="s">
        <v>3082</v>
      </c>
      <c r="E153" s="36" t="s">
        <v>2642</v>
      </c>
      <c r="F153" s="11"/>
      <c r="G153" s="34" t="s">
        <v>1262</v>
      </c>
      <c r="H153" s="143" t="s">
        <v>3587</v>
      </c>
    </row>
    <row r="154" spans="1:8" hidden="1" x14ac:dyDescent="0.25">
      <c r="B154" s="35" t="s">
        <v>2672</v>
      </c>
      <c r="C154" s="35" t="s">
        <v>2645</v>
      </c>
      <c r="D154" s="144"/>
      <c r="E154" s="36" t="s">
        <v>2644</v>
      </c>
      <c r="F154" s="11"/>
      <c r="G154" s="34" t="s">
        <v>1262</v>
      </c>
      <c r="H154" s="143" t="s">
        <v>3587</v>
      </c>
    </row>
    <row r="155" spans="1:8" x14ac:dyDescent="0.25">
      <c r="A155">
        <v>1</v>
      </c>
      <c r="B155" s="35" t="s">
        <v>2672</v>
      </c>
      <c r="C155" s="35" t="s">
        <v>2646</v>
      </c>
      <c r="D155" s="133" t="s">
        <v>3617</v>
      </c>
      <c r="E155" s="36" t="s">
        <v>2647</v>
      </c>
      <c r="F155" s="11"/>
      <c r="G155" s="34" t="s">
        <v>1262</v>
      </c>
      <c r="H155" s="143" t="s">
        <v>3587</v>
      </c>
    </row>
    <row r="156" spans="1:8" hidden="1" x14ac:dyDescent="0.25">
      <c r="B156" s="35" t="s">
        <v>2672</v>
      </c>
      <c r="C156" s="35" t="s">
        <v>2646</v>
      </c>
      <c r="D156" s="144"/>
      <c r="E156" s="36" t="s">
        <v>2649</v>
      </c>
      <c r="F156" s="11"/>
      <c r="G156" s="34" t="s">
        <v>1262</v>
      </c>
      <c r="H156" s="143" t="s">
        <v>3587</v>
      </c>
    </row>
    <row r="157" spans="1:8" hidden="1" x14ac:dyDescent="0.25">
      <c r="B157" s="35" t="s">
        <v>2672</v>
      </c>
      <c r="C157" s="35" t="s">
        <v>2645</v>
      </c>
      <c r="D157" s="133"/>
      <c r="E157" s="36" t="s">
        <v>2651</v>
      </c>
      <c r="F157" s="11"/>
      <c r="G157" s="34" t="s">
        <v>1262</v>
      </c>
      <c r="H157" s="143" t="s">
        <v>3587</v>
      </c>
    </row>
    <row r="158" spans="1:8" x14ac:dyDescent="0.25">
      <c r="A158">
        <v>1</v>
      </c>
      <c r="B158" s="35" t="s">
        <v>2672</v>
      </c>
      <c r="C158" s="35" t="s">
        <v>2652</v>
      </c>
      <c r="D158" s="144" t="s">
        <v>3614</v>
      </c>
      <c r="E158" s="36" t="s">
        <v>2653</v>
      </c>
      <c r="F158" s="11"/>
      <c r="G158" s="34" t="s">
        <v>1262</v>
      </c>
      <c r="H158" s="143" t="s">
        <v>3587</v>
      </c>
    </row>
    <row r="159" spans="1:8" hidden="1" x14ac:dyDescent="0.25">
      <c r="B159" s="35" t="s">
        <v>2672</v>
      </c>
      <c r="C159" s="35" t="s">
        <v>2645</v>
      </c>
      <c r="D159" s="133"/>
      <c r="E159" s="36" t="s">
        <v>2655</v>
      </c>
      <c r="F159" s="11"/>
      <c r="G159" s="34" t="s">
        <v>1262</v>
      </c>
      <c r="H159" s="143" t="s">
        <v>3587</v>
      </c>
    </row>
    <row r="160" spans="1:8" hidden="1" x14ac:dyDescent="0.25">
      <c r="B160" s="35" t="s">
        <v>2672</v>
      </c>
      <c r="C160" s="35" t="s">
        <v>2646</v>
      </c>
      <c r="D160" s="144"/>
      <c r="E160" s="36" t="s">
        <v>2657</v>
      </c>
      <c r="F160" s="11"/>
      <c r="G160" s="34" t="s">
        <v>1262</v>
      </c>
      <c r="H160" s="143" t="s">
        <v>3587</v>
      </c>
    </row>
    <row r="161" spans="1:8" hidden="1" x14ac:dyDescent="0.25">
      <c r="B161" s="35" t="s">
        <v>2672</v>
      </c>
      <c r="C161" s="35" t="s">
        <v>2646</v>
      </c>
      <c r="D161" s="133"/>
      <c r="E161" s="36" t="s">
        <v>2658</v>
      </c>
      <c r="F161" s="11"/>
      <c r="G161" s="34" t="s">
        <v>1262</v>
      </c>
      <c r="H161" s="143" t="s">
        <v>3587</v>
      </c>
    </row>
    <row r="162" spans="1:8" hidden="1" x14ac:dyDescent="0.25">
      <c r="B162" s="35" t="s">
        <v>2672</v>
      </c>
      <c r="C162" s="35" t="s">
        <v>2645</v>
      </c>
      <c r="D162" s="144"/>
      <c r="E162" s="36" t="s">
        <v>2661</v>
      </c>
      <c r="F162" s="11"/>
      <c r="G162" s="34" t="s">
        <v>1262</v>
      </c>
      <c r="H162" s="143" t="s">
        <v>3587</v>
      </c>
    </row>
    <row r="163" spans="1:8" hidden="1" x14ac:dyDescent="0.25">
      <c r="B163" s="35" t="s">
        <v>2672</v>
      </c>
      <c r="C163" s="35" t="s">
        <v>2645</v>
      </c>
      <c r="D163" s="133"/>
      <c r="E163" s="36" t="s">
        <v>2662</v>
      </c>
      <c r="F163" s="11"/>
      <c r="G163" s="34" t="s">
        <v>1262</v>
      </c>
      <c r="H163" s="143" t="s">
        <v>3587</v>
      </c>
    </row>
    <row r="164" spans="1:8" hidden="1" x14ac:dyDescent="0.25">
      <c r="B164" s="35" t="s">
        <v>2672</v>
      </c>
      <c r="C164" s="35" t="s">
        <v>2652</v>
      </c>
      <c r="D164" s="144"/>
      <c r="E164" s="36" t="s">
        <v>2664</v>
      </c>
      <c r="F164" s="11"/>
      <c r="G164" s="34" t="s">
        <v>1262</v>
      </c>
      <c r="H164" s="143" t="s">
        <v>3587</v>
      </c>
    </row>
    <row r="165" spans="1:8" hidden="1" x14ac:dyDescent="0.25">
      <c r="B165" s="35" t="s">
        <v>2672</v>
      </c>
      <c r="C165" s="35" t="s">
        <v>2645</v>
      </c>
      <c r="D165" s="133"/>
      <c r="E165" s="36" t="s">
        <v>2665</v>
      </c>
      <c r="F165" s="11"/>
      <c r="G165" s="34" t="s">
        <v>1262</v>
      </c>
      <c r="H165" s="143" t="s">
        <v>3587</v>
      </c>
    </row>
    <row r="166" spans="1:8" hidden="1" x14ac:dyDescent="0.25">
      <c r="B166" s="35" t="s">
        <v>2672</v>
      </c>
      <c r="C166" s="35" t="s">
        <v>2645</v>
      </c>
      <c r="D166" s="144"/>
      <c r="E166" s="36" t="s">
        <v>2668</v>
      </c>
      <c r="F166" s="11"/>
      <c r="G166" s="34" t="s">
        <v>1262</v>
      </c>
      <c r="H166" s="143" t="s">
        <v>3587</v>
      </c>
    </row>
    <row r="167" spans="1:8" hidden="1" x14ac:dyDescent="0.25">
      <c r="B167" s="35" t="s">
        <v>2672</v>
      </c>
      <c r="C167" s="35" t="s">
        <v>2645</v>
      </c>
      <c r="D167" s="133"/>
      <c r="E167" s="36" t="s">
        <v>2669</v>
      </c>
      <c r="F167" s="11"/>
      <c r="G167" s="34" t="s">
        <v>1262</v>
      </c>
      <c r="H167" s="143" t="s">
        <v>3587</v>
      </c>
    </row>
    <row r="168" spans="1:8" hidden="1" x14ac:dyDescent="0.25">
      <c r="B168" s="35" t="s">
        <v>2672</v>
      </c>
      <c r="C168" s="35" t="s">
        <v>2646</v>
      </c>
      <c r="D168" s="144"/>
      <c r="E168" s="36" t="s">
        <v>2671</v>
      </c>
      <c r="F168" s="11"/>
      <c r="G168" s="34" t="s">
        <v>1262</v>
      </c>
      <c r="H168" s="143" t="s">
        <v>3587</v>
      </c>
    </row>
    <row r="169" spans="1:8" x14ac:dyDescent="0.25">
      <c r="A169">
        <v>1</v>
      </c>
      <c r="B169" s="10" t="s">
        <v>2319</v>
      </c>
      <c r="C169" s="41" t="s">
        <v>32</v>
      </c>
      <c r="D169" s="133" t="s">
        <v>3618</v>
      </c>
      <c r="E169" s="9" t="s">
        <v>1950</v>
      </c>
      <c r="F169" s="135" t="s">
        <v>969</v>
      </c>
      <c r="G169" s="10" t="s">
        <v>1262</v>
      </c>
      <c r="H169" s="143" t="s">
        <v>3586</v>
      </c>
    </row>
    <row r="170" spans="1:8" hidden="1" x14ac:dyDescent="0.25">
      <c r="B170" s="10" t="s">
        <v>2319</v>
      </c>
      <c r="C170" s="41" t="s">
        <v>32</v>
      </c>
      <c r="D170" s="144"/>
      <c r="E170" s="9" t="s">
        <v>1903</v>
      </c>
      <c r="F170" s="135" t="s">
        <v>969</v>
      </c>
      <c r="G170" s="10" t="s">
        <v>1262</v>
      </c>
      <c r="H170" s="143" t="s">
        <v>3586</v>
      </c>
    </row>
    <row r="171" spans="1:8" hidden="1" x14ac:dyDescent="0.25">
      <c r="B171" s="10" t="s">
        <v>2319</v>
      </c>
      <c r="C171" s="44" t="s">
        <v>1905</v>
      </c>
      <c r="D171" s="133"/>
      <c r="E171" s="9" t="s">
        <v>1906</v>
      </c>
      <c r="F171" s="11"/>
      <c r="G171" s="10" t="s">
        <v>1262</v>
      </c>
      <c r="H171" s="143" t="s">
        <v>3586</v>
      </c>
    </row>
    <row r="172" spans="1:8" hidden="1" x14ac:dyDescent="0.25">
      <c r="B172" s="10" t="s">
        <v>2319</v>
      </c>
      <c r="C172" s="41" t="s">
        <v>32</v>
      </c>
      <c r="D172" s="144"/>
      <c r="E172" s="9" t="s">
        <v>1918</v>
      </c>
      <c r="F172" s="135" t="s">
        <v>969</v>
      </c>
      <c r="G172" s="10" t="s">
        <v>1262</v>
      </c>
      <c r="H172" s="143" t="s">
        <v>3586</v>
      </c>
    </row>
    <row r="173" spans="1:8" hidden="1" x14ac:dyDescent="0.25">
      <c r="B173" s="10" t="s">
        <v>2319</v>
      </c>
      <c r="C173" s="41" t="s">
        <v>32</v>
      </c>
      <c r="D173" s="133"/>
      <c r="E173" s="9" t="s">
        <v>1919</v>
      </c>
      <c r="F173" s="135" t="s">
        <v>969</v>
      </c>
      <c r="G173" s="10" t="s">
        <v>1262</v>
      </c>
      <c r="H173" s="143" t="s">
        <v>3586</v>
      </c>
    </row>
    <row r="174" spans="1:8" hidden="1" x14ac:dyDescent="0.25">
      <c r="B174" s="10" t="s">
        <v>2319</v>
      </c>
      <c r="C174" s="41" t="s">
        <v>32</v>
      </c>
      <c r="D174" s="144"/>
      <c r="E174" s="9" t="s">
        <v>1920</v>
      </c>
      <c r="F174" s="135" t="s">
        <v>969</v>
      </c>
      <c r="G174" s="10" t="s">
        <v>1262</v>
      </c>
      <c r="H174" s="143" t="s">
        <v>3586</v>
      </c>
    </row>
    <row r="175" spans="1:8" hidden="1" x14ac:dyDescent="0.25">
      <c r="B175" s="10" t="s">
        <v>2319</v>
      </c>
      <c r="C175" s="41" t="s">
        <v>32</v>
      </c>
      <c r="D175" s="133"/>
      <c r="E175" s="9" t="s">
        <v>1921</v>
      </c>
      <c r="F175" s="135" t="s">
        <v>969</v>
      </c>
      <c r="G175" s="10" t="s">
        <v>1262</v>
      </c>
      <c r="H175" s="143" t="s">
        <v>3586</v>
      </c>
    </row>
    <row r="176" spans="1:8" hidden="1" x14ac:dyDescent="0.25">
      <c r="B176" s="10" t="s">
        <v>2319</v>
      </c>
      <c r="C176" s="41" t="s">
        <v>32</v>
      </c>
      <c r="D176" s="144"/>
      <c r="E176" s="27" t="s">
        <v>2342</v>
      </c>
      <c r="F176" s="135" t="s">
        <v>969</v>
      </c>
      <c r="G176" s="10" t="s">
        <v>1262</v>
      </c>
      <c r="H176" s="143" t="s">
        <v>3586</v>
      </c>
    </row>
    <row r="177" spans="1:8" hidden="1" x14ac:dyDescent="0.25">
      <c r="B177" s="10" t="s">
        <v>2319</v>
      </c>
      <c r="C177" s="41" t="s">
        <v>32</v>
      </c>
      <c r="D177" s="133"/>
      <c r="E177" s="27" t="s">
        <v>2343</v>
      </c>
      <c r="F177" s="135" t="s">
        <v>969</v>
      </c>
      <c r="G177" s="10" t="s">
        <v>1262</v>
      </c>
      <c r="H177" s="143" t="s">
        <v>3586</v>
      </c>
    </row>
    <row r="178" spans="1:8" hidden="1" x14ac:dyDescent="0.25">
      <c r="B178" s="10" t="s">
        <v>2319</v>
      </c>
      <c r="C178" s="41" t="s">
        <v>32</v>
      </c>
      <c r="D178" s="144"/>
      <c r="E178" s="27" t="s">
        <v>2344</v>
      </c>
      <c r="F178" s="135" t="s">
        <v>969</v>
      </c>
      <c r="G178" s="10" t="s">
        <v>1262</v>
      </c>
      <c r="H178" s="143" t="s">
        <v>3586</v>
      </c>
    </row>
    <row r="179" spans="1:8" hidden="1" x14ac:dyDescent="0.25">
      <c r="B179" s="10" t="s">
        <v>2319</v>
      </c>
      <c r="C179" s="41" t="s">
        <v>32</v>
      </c>
      <c r="D179" s="133"/>
      <c r="E179" s="27" t="s">
        <v>2346</v>
      </c>
      <c r="F179" s="135" t="s">
        <v>969</v>
      </c>
      <c r="G179" s="10" t="s">
        <v>1262</v>
      </c>
      <c r="H179" s="143" t="s">
        <v>3586</v>
      </c>
    </row>
    <row r="180" spans="1:8" hidden="1" x14ac:dyDescent="0.25">
      <c r="B180" s="10" t="s">
        <v>2319</v>
      </c>
      <c r="C180" s="41" t="s">
        <v>32</v>
      </c>
      <c r="D180" s="144"/>
      <c r="E180" s="27" t="s">
        <v>2347</v>
      </c>
      <c r="F180" s="135" t="s">
        <v>969</v>
      </c>
      <c r="G180" s="10" t="s">
        <v>1262</v>
      </c>
      <c r="H180" s="143" t="s">
        <v>3586</v>
      </c>
    </row>
    <row r="181" spans="1:8" hidden="1" x14ac:dyDescent="0.25">
      <c r="B181" s="10" t="s">
        <v>2319</v>
      </c>
      <c r="C181" s="26" t="s">
        <v>54</v>
      </c>
      <c r="D181" s="133"/>
      <c r="E181" s="27" t="s">
        <v>2345</v>
      </c>
      <c r="F181" s="11"/>
      <c r="G181" s="10" t="s">
        <v>1262</v>
      </c>
      <c r="H181" s="143" t="s">
        <v>3586</v>
      </c>
    </row>
    <row r="182" spans="1:8" hidden="1" x14ac:dyDescent="0.25">
      <c r="B182" s="10" t="s">
        <v>2319</v>
      </c>
      <c r="C182" s="41" t="s">
        <v>32</v>
      </c>
      <c r="D182" s="144"/>
      <c r="E182" s="9" t="s">
        <v>1942</v>
      </c>
      <c r="F182" s="135" t="s">
        <v>969</v>
      </c>
      <c r="G182" s="10" t="s">
        <v>1262</v>
      </c>
      <c r="H182" s="143" t="s">
        <v>3586</v>
      </c>
    </row>
    <row r="183" spans="1:8" x14ac:dyDescent="0.25">
      <c r="A183">
        <v>1</v>
      </c>
      <c r="B183" s="10" t="s">
        <v>1399</v>
      </c>
      <c r="C183" s="44" t="s">
        <v>2980</v>
      </c>
      <c r="D183" s="133" t="s">
        <v>3034</v>
      </c>
      <c r="E183" s="9" t="s">
        <v>1400</v>
      </c>
      <c r="F183" s="11" t="s">
        <v>90</v>
      </c>
      <c r="G183" s="10" t="s">
        <v>1262</v>
      </c>
      <c r="H183" s="143" t="s">
        <v>3586</v>
      </c>
    </row>
    <row r="184" spans="1:8" x14ac:dyDescent="0.25">
      <c r="A184">
        <v>1</v>
      </c>
      <c r="B184" s="10" t="s">
        <v>690</v>
      </c>
      <c r="C184" s="10" t="s">
        <v>1943</v>
      </c>
      <c r="D184" s="144" t="s">
        <v>3034</v>
      </c>
      <c r="E184" s="9" t="s">
        <v>1944</v>
      </c>
      <c r="F184" s="11" t="s">
        <v>1945</v>
      </c>
      <c r="G184" s="10" t="s">
        <v>1262</v>
      </c>
      <c r="H184" s="143" t="s">
        <v>3587</v>
      </c>
    </row>
    <row r="185" spans="1:8" x14ac:dyDescent="0.25">
      <c r="A185">
        <v>1</v>
      </c>
      <c r="B185" s="10" t="s">
        <v>28</v>
      </c>
      <c r="C185" s="10" t="s">
        <v>49</v>
      </c>
      <c r="D185" s="133" t="s">
        <v>3034</v>
      </c>
      <c r="E185" s="9" t="s">
        <v>1899</v>
      </c>
      <c r="F185" s="11" t="s">
        <v>51</v>
      </c>
      <c r="G185" s="10" t="s">
        <v>1262</v>
      </c>
      <c r="H185" s="143" t="s">
        <v>3586</v>
      </c>
    </row>
    <row r="186" spans="1:8" x14ac:dyDescent="0.25">
      <c r="A186">
        <v>1</v>
      </c>
      <c r="B186" s="10" t="s">
        <v>3596</v>
      </c>
      <c r="C186" s="10" t="s">
        <v>1402</v>
      </c>
      <c r="D186" s="144" t="s">
        <v>3034</v>
      </c>
      <c r="E186" s="9" t="s">
        <v>1296</v>
      </c>
      <c r="F186" s="11" t="s">
        <v>59</v>
      </c>
      <c r="G186" s="10" t="s">
        <v>1262</v>
      </c>
      <c r="H186" s="143" t="s">
        <v>3586</v>
      </c>
    </row>
    <row r="187" spans="1:8" x14ac:dyDescent="0.25">
      <c r="A187">
        <v>1</v>
      </c>
      <c r="B187" s="10" t="s">
        <v>3596</v>
      </c>
      <c r="C187" s="10" t="s">
        <v>1402</v>
      </c>
      <c r="D187" s="133" t="s">
        <v>3034</v>
      </c>
      <c r="E187" s="9" t="s">
        <v>1354</v>
      </c>
      <c r="F187" s="11" t="s">
        <v>1355</v>
      </c>
      <c r="G187" s="10" t="s">
        <v>1262</v>
      </c>
      <c r="H187" s="143" t="s">
        <v>3586</v>
      </c>
    </row>
    <row r="188" spans="1:8" x14ac:dyDescent="0.25">
      <c r="A188">
        <v>1</v>
      </c>
      <c r="B188" s="10" t="s">
        <v>3596</v>
      </c>
      <c r="C188" s="10" t="s">
        <v>1402</v>
      </c>
      <c r="D188" s="144" t="s">
        <v>3034</v>
      </c>
      <c r="E188" s="9" t="s">
        <v>1403</v>
      </c>
      <c r="F188" s="11" t="s">
        <v>124</v>
      </c>
      <c r="G188" s="10" t="s">
        <v>1262</v>
      </c>
      <c r="H188" s="143" t="s">
        <v>3586</v>
      </c>
    </row>
    <row r="189" spans="1:8" x14ac:dyDescent="0.25">
      <c r="A189">
        <v>1</v>
      </c>
      <c r="B189" s="10" t="s">
        <v>3597</v>
      </c>
      <c r="C189" s="10" t="s">
        <v>1288</v>
      </c>
      <c r="D189" s="133" t="s">
        <v>3034</v>
      </c>
      <c r="E189" s="9" t="s">
        <v>1289</v>
      </c>
      <c r="F189" s="11" t="s">
        <v>51</v>
      </c>
      <c r="G189" s="10" t="s">
        <v>1262</v>
      </c>
      <c r="H189" s="143" t="s">
        <v>3586</v>
      </c>
    </row>
    <row r="190" spans="1:8" x14ac:dyDescent="0.25">
      <c r="A190">
        <v>1</v>
      </c>
      <c r="B190" s="10" t="s">
        <v>3597</v>
      </c>
      <c r="C190" s="10" t="s">
        <v>1288</v>
      </c>
      <c r="D190" s="144" t="s">
        <v>3034</v>
      </c>
      <c r="E190" s="9" t="s">
        <v>1291</v>
      </c>
      <c r="F190" s="11" t="s">
        <v>159</v>
      </c>
      <c r="G190" s="10" t="s">
        <v>1262</v>
      </c>
      <c r="H190" s="143" t="s">
        <v>3586</v>
      </c>
    </row>
    <row r="191" spans="1:8" x14ac:dyDescent="0.25">
      <c r="A191">
        <v>1</v>
      </c>
      <c r="B191" s="10" t="s">
        <v>3597</v>
      </c>
      <c r="C191" s="10" t="s">
        <v>1288</v>
      </c>
      <c r="D191" s="133" t="s">
        <v>3034</v>
      </c>
      <c r="E191" s="9" t="s">
        <v>1293</v>
      </c>
      <c r="F191" s="11" t="s">
        <v>124</v>
      </c>
      <c r="G191" s="10" t="s">
        <v>1262</v>
      </c>
      <c r="H191" s="143" t="s">
        <v>3586</v>
      </c>
    </row>
    <row r="192" spans="1:8" x14ac:dyDescent="0.25">
      <c r="A192">
        <v>1</v>
      </c>
      <c r="B192" s="133" t="s">
        <v>3626</v>
      </c>
      <c r="C192" s="10" t="s">
        <v>1284</v>
      </c>
      <c r="D192" s="144" t="s">
        <v>3034</v>
      </c>
      <c r="E192" s="9" t="s">
        <v>1285</v>
      </c>
      <c r="F192" s="11"/>
      <c r="G192" s="10" t="s">
        <v>1262</v>
      </c>
      <c r="H192" s="143" t="s">
        <v>3586</v>
      </c>
    </row>
    <row r="193" spans="1:8" x14ac:dyDescent="0.25">
      <c r="A193">
        <v>1</v>
      </c>
      <c r="B193" s="10" t="s">
        <v>3598</v>
      </c>
      <c r="C193" s="10" t="s">
        <v>1259</v>
      </c>
      <c r="D193" s="133" t="s">
        <v>3034</v>
      </c>
      <c r="E193" s="9" t="s">
        <v>1260</v>
      </c>
      <c r="F193" s="11"/>
      <c r="G193" s="10" t="s">
        <v>1262</v>
      </c>
      <c r="H193" s="143" t="s">
        <v>3586</v>
      </c>
    </row>
    <row r="194" spans="1:8" x14ac:dyDescent="0.25">
      <c r="A194">
        <v>1</v>
      </c>
      <c r="B194" s="10" t="s">
        <v>3599</v>
      </c>
      <c r="C194" s="10" t="s">
        <v>1340</v>
      </c>
      <c r="D194" s="144" t="s">
        <v>3034</v>
      </c>
      <c r="E194" s="9" t="s">
        <v>1341</v>
      </c>
      <c r="F194" s="11" t="s">
        <v>1342</v>
      </c>
      <c r="G194" s="10" t="s">
        <v>1262</v>
      </c>
      <c r="H194" s="143" t="s">
        <v>3586</v>
      </c>
    </row>
    <row r="195" spans="1:8" x14ac:dyDescent="0.25">
      <c r="A195">
        <v>1</v>
      </c>
      <c r="B195" s="10" t="s">
        <v>3599</v>
      </c>
      <c r="C195" s="10" t="s">
        <v>1340</v>
      </c>
      <c r="D195" s="133" t="s">
        <v>3034</v>
      </c>
      <c r="E195" s="9" t="s">
        <v>1343</v>
      </c>
      <c r="F195" s="11" t="s">
        <v>1344</v>
      </c>
      <c r="G195" s="10" t="s">
        <v>1262</v>
      </c>
      <c r="H195" s="143" t="s">
        <v>3586</v>
      </c>
    </row>
    <row r="196" spans="1:8" x14ac:dyDescent="0.25">
      <c r="A196">
        <v>1</v>
      </c>
      <c r="B196" s="10" t="s">
        <v>3599</v>
      </c>
      <c r="C196" s="10" t="s">
        <v>1340</v>
      </c>
      <c r="D196" s="144" t="s">
        <v>3034</v>
      </c>
      <c r="E196" s="9" t="s">
        <v>1345</v>
      </c>
      <c r="F196" s="11" t="s">
        <v>1346</v>
      </c>
      <c r="G196" s="10" t="s">
        <v>1262</v>
      </c>
      <c r="H196" s="143" t="s">
        <v>3586</v>
      </c>
    </row>
    <row r="197" spans="1:8" x14ac:dyDescent="0.25">
      <c r="A197">
        <v>1</v>
      </c>
      <c r="B197" s="10" t="s">
        <v>3599</v>
      </c>
      <c r="C197" s="10" t="s">
        <v>1340</v>
      </c>
      <c r="D197" s="133" t="s">
        <v>3034</v>
      </c>
      <c r="E197" s="9" t="s">
        <v>1347</v>
      </c>
      <c r="F197" s="11" t="s">
        <v>1342</v>
      </c>
      <c r="G197" s="10" t="s">
        <v>1262</v>
      </c>
      <c r="H197" s="143" t="s">
        <v>3586</v>
      </c>
    </row>
    <row r="198" spans="1:8" x14ac:dyDescent="0.25">
      <c r="A198">
        <v>1</v>
      </c>
      <c r="B198" s="10" t="s">
        <v>3599</v>
      </c>
      <c r="C198" s="10" t="s">
        <v>1340</v>
      </c>
      <c r="D198" s="144" t="s">
        <v>3034</v>
      </c>
      <c r="E198" s="9" t="s">
        <v>1348</v>
      </c>
      <c r="F198" s="11" t="s">
        <v>1349</v>
      </c>
      <c r="G198" s="10" t="s">
        <v>1262</v>
      </c>
      <c r="H198" s="143" t="s">
        <v>3586</v>
      </c>
    </row>
    <row r="199" spans="1:8" x14ac:dyDescent="0.25">
      <c r="A199">
        <v>1</v>
      </c>
      <c r="B199" s="10" t="s">
        <v>3599</v>
      </c>
      <c r="C199" s="10" t="s">
        <v>1340</v>
      </c>
      <c r="D199" s="133" t="s">
        <v>3034</v>
      </c>
      <c r="E199" s="9" t="s">
        <v>1350</v>
      </c>
      <c r="F199" s="11" t="s">
        <v>780</v>
      </c>
      <c r="G199" s="10" t="s">
        <v>1262</v>
      </c>
      <c r="H199" s="143" t="s">
        <v>3586</v>
      </c>
    </row>
    <row r="200" spans="1:8" x14ac:dyDescent="0.25">
      <c r="A200">
        <v>1</v>
      </c>
      <c r="B200" s="10" t="s">
        <v>3599</v>
      </c>
      <c r="C200" s="10" t="s">
        <v>1340</v>
      </c>
      <c r="D200" s="144" t="s">
        <v>3034</v>
      </c>
      <c r="E200" s="9" t="s">
        <v>1351</v>
      </c>
      <c r="F200" s="11" t="s">
        <v>780</v>
      </c>
      <c r="G200" s="10" t="s">
        <v>1262</v>
      </c>
      <c r="H200" s="143" t="s">
        <v>3586</v>
      </c>
    </row>
    <row r="201" spans="1:8" x14ac:dyDescent="0.25">
      <c r="A201">
        <v>1</v>
      </c>
      <c r="B201" s="10" t="s">
        <v>3599</v>
      </c>
      <c r="C201" s="10" t="s">
        <v>1340</v>
      </c>
      <c r="D201" s="133" t="s">
        <v>3034</v>
      </c>
      <c r="E201" s="9" t="s">
        <v>1352</v>
      </c>
      <c r="F201" s="11" t="s">
        <v>1353</v>
      </c>
      <c r="G201" s="10" t="s">
        <v>1262</v>
      </c>
      <c r="H201" s="143" t="s">
        <v>3586</v>
      </c>
    </row>
    <row r="202" spans="1:8" x14ac:dyDescent="0.25">
      <c r="A202">
        <v>1</v>
      </c>
      <c r="B202" s="10" t="s">
        <v>3599</v>
      </c>
      <c r="C202" s="33" t="s">
        <v>1365</v>
      </c>
      <c r="D202" s="144" t="s">
        <v>3034</v>
      </c>
      <c r="E202" s="9" t="s">
        <v>1366</v>
      </c>
      <c r="F202" s="11" t="s">
        <v>1367</v>
      </c>
      <c r="G202" s="10" t="s">
        <v>1262</v>
      </c>
      <c r="H202" s="143" t="s">
        <v>3586</v>
      </c>
    </row>
    <row r="203" spans="1:8" x14ac:dyDescent="0.25">
      <c r="A203">
        <v>1</v>
      </c>
      <c r="B203" s="10" t="s">
        <v>3599</v>
      </c>
      <c r="C203" s="10" t="s">
        <v>1340</v>
      </c>
      <c r="D203" s="133" t="s">
        <v>3034</v>
      </c>
      <c r="E203" s="9" t="s">
        <v>1392</v>
      </c>
      <c r="F203" s="11" t="s">
        <v>1393</v>
      </c>
      <c r="G203" s="10" t="s">
        <v>1262</v>
      </c>
      <c r="H203" s="143" t="s">
        <v>3586</v>
      </c>
    </row>
    <row r="204" spans="1:8" x14ac:dyDescent="0.25">
      <c r="A204">
        <v>1</v>
      </c>
      <c r="B204" s="10" t="s">
        <v>3599</v>
      </c>
      <c r="C204" s="10" t="s">
        <v>1365</v>
      </c>
      <c r="D204" s="144" t="s">
        <v>3034</v>
      </c>
      <c r="E204" s="9" t="s">
        <v>1405</v>
      </c>
      <c r="F204" s="11" t="s">
        <v>1406</v>
      </c>
      <c r="G204" s="10" t="s">
        <v>1262</v>
      </c>
      <c r="H204" s="143" t="s">
        <v>3586</v>
      </c>
    </row>
    <row r="205" spans="1:8" x14ac:dyDescent="0.25">
      <c r="A205">
        <v>1</v>
      </c>
      <c r="B205" s="10" t="s">
        <v>3599</v>
      </c>
      <c r="C205" s="10" t="s">
        <v>1413</v>
      </c>
      <c r="D205" s="133" t="s">
        <v>3034</v>
      </c>
      <c r="E205" s="9" t="s">
        <v>1414</v>
      </c>
      <c r="F205" s="11" t="s">
        <v>159</v>
      </c>
      <c r="G205" s="10" t="s">
        <v>1262</v>
      </c>
      <c r="H205" s="143" t="s">
        <v>3586</v>
      </c>
    </row>
    <row r="206" spans="1:8" x14ac:dyDescent="0.25">
      <c r="A206">
        <v>1</v>
      </c>
      <c r="B206" s="10" t="s">
        <v>3600</v>
      </c>
      <c r="C206" s="10" t="s">
        <v>1327</v>
      </c>
      <c r="D206" s="144" t="s">
        <v>3034</v>
      </c>
      <c r="E206" s="9" t="s">
        <v>1328</v>
      </c>
      <c r="F206" s="11" t="s">
        <v>1329</v>
      </c>
      <c r="G206" s="10" t="s">
        <v>1262</v>
      </c>
      <c r="H206" s="143" t="s">
        <v>3586</v>
      </c>
    </row>
    <row r="207" spans="1:8" x14ac:dyDescent="0.25">
      <c r="A207">
        <v>1</v>
      </c>
      <c r="B207" s="10" t="s">
        <v>3601</v>
      </c>
      <c r="C207" s="10" t="s">
        <v>1379</v>
      </c>
      <c r="D207" s="133" t="s">
        <v>3034</v>
      </c>
      <c r="E207" s="9"/>
      <c r="F207" s="11"/>
      <c r="G207" s="10" t="s">
        <v>1262</v>
      </c>
      <c r="H207" s="143" t="s">
        <v>3586</v>
      </c>
    </row>
    <row r="208" spans="1:8" x14ac:dyDescent="0.25">
      <c r="A208">
        <v>1</v>
      </c>
      <c r="B208" s="10" t="s">
        <v>3602</v>
      </c>
      <c r="C208" s="10" t="s">
        <v>1312</v>
      </c>
      <c r="D208" s="144" t="s">
        <v>3034</v>
      </c>
      <c r="E208" s="9" t="s">
        <v>1313</v>
      </c>
      <c r="F208" s="11"/>
      <c r="G208" s="10" t="s">
        <v>1262</v>
      </c>
      <c r="H208" s="143" t="s">
        <v>3587</v>
      </c>
    </row>
    <row r="209" spans="1:8" x14ac:dyDescent="0.25">
      <c r="A209">
        <v>1</v>
      </c>
      <c r="B209" s="10" t="s">
        <v>3603</v>
      </c>
      <c r="C209" s="10" t="s">
        <v>1280</v>
      </c>
      <c r="D209" s="133" t="s">
        <v>3034</v>
      </c>
      <c r="E209" s="9" t="s">
        <v>1281</v>
      </c>
      <c r="F209" s="11" t="s">
        <v>159</v>
      </c>
      <c r="G209" s="10" t="s">
        <v>1262</v>
      </c>
      <c r="H209" s="143" t="s">
        <v>3586</v>
      </c>
    </row>
    <row r="210" spans="1:8" x14ac:dyDescent="0.25">
      <c r="A210">
        <v>1</v>
      </c>
      <c r="B210" s="10" t="s">
        <v>3603</v>
      </c>
      <c r="C210" s="10" t="s">
        <v>1280</v>
      </c>
      <c r="D210" s="144" t="s">
        <v>3034</v>
      </c>
      <c r="E210" s="9" t="s">
        <v>1307</v>
      </c>
      <c r="F210" s="11" t="s">
        <v>159</v>
      </c>
      <c r="G210" s="10" t="s">
        <v>1262</v>
      </c>
      <c r="H210" s="143" t="s">
        <v>3586</v>
      </c>
    </row>
    <row r="211" spans="1:8" x14ac:dyDescent="0.25">
      <c r="A211">
        <v>1</v>
      </c>
      <c r="B211" s="10" t="s">
        <v>3603</v>
      </c>
      <c r="C211" s="10" t="s">
        <v>1280</v>
      </c>
      <c r="D211" s="133" t="s">
        <v>3034</v>
      </c>
      <c r="E211" s="9" t="s">
        <v>1372</v>
      </c>
      <c r="F211" s="11" t="s">
        <v>51</v>
      </c>
      <c r="G211" s="10" t="s">
        <v>1262</v>
      </c>
      <c r="H211" s="143" t="s">
        <v>3586</v>
      </c>
    </row>
    <row r="212" spans="1:8" x14ac:dyDescent="0.25">
      <c r="A212">
        <v>1</v>
      </c>
      <c r="B212" s="10" t="s">
        <v>3603</v>
      </c>
      <c r="C212" s="10" t="s">
        <v>1280</v>
      </c>
      <c r="D212" s="144" t="s">
        <v>3034</v>
      </c>
      <c r="E212" s="9" t="s">
        <v>1374</v>
      </c>
      <c r="F212" s="11" t="s">
        <v>159</v>
      </c>
      <c r="G212" s="10" t="s">
        <v>1262</v>
      </c>
      <c r="H212" s="143" t="s">
        <v>3586</v>
      </c>
    </row>
    <row r="213" spans="1:8" x14ac:dyDescent="0.25">
      <c r="A213">
        <v>1</v>
      </c>
      <c r="B213" s="10" t="s">
        <v>3603</v>
      </c>
      <c r="C213" s="10" t="s">
        <v>1280</v>
      </c>
      <c r="D213" s="133" t="s">
        <v>3034</v>
      </c>
      <c r="E213" s="9" t="s">
        <v>1385</v>
      </c>
      <c r="F213" s="11" t="s">
        <v>615</v>
      </c>
      <c r="G213" s="10" t="s">
        <v>1262</v>
      </c>
      <c r="H213" s="143" t="s">
        <v>3586</v>
      </c>
    </row>
    <row r="214" spans="1:8" x14ac:dyDescent="0.25">
      <c r="A214">
        <v>1</v>
      </c>
      <c r="B214" s="10" t="s">
        <v>3603</v>
      </c>
      <c r="C214" s="10" t="s">
        <v>1280</v>
      </c>
      <c r="D214" s="144" t="s">
        <v>3034</v>
      </c>
      <c r="E214" s="9" t="s">
        <v>1394</v>
      </c>
      <c r="F214" s="11" t="s">
        <v>969</v>
      </c>
      <c r="G214" s="10" t="s">
        <v>1262</v>
      </c>
      <c r="H214" s="143" t="s">
        <v>3586</v>
      </c>
    </row>
    <row r="215" spans="1:8" x14ac:dyDescent="0.25">
      <c r="A215">
        <v>1</v>
      </c>
      <c r="B215" s="10" t="s">
        <v>3604</v>
      </c>
      <c r="C215" s="10" t="s">
        <v>1332</v>
      </c>
      <c r="D215" s="133" t="s">
        <v>3034</v>
      </c>
      <c r="E215" s="9" t="s">
        <v>1333</v>
      </c>
      <c r="F215" s="11" t="s">
        <v>288</v>
      </c>
      <c r="G215" s="10" t="s">
        <v>1262</v>
      </c>
      <c r="H215" s="143" t="s">
        <v>3586</v>
      </c>
    </row>
    <row r="216" spans="1:8" x14ac:dyDescent="0.25">
      <c r="A216">
        <v>1</v>
      </c>
      <c r="B216" s="10" t="s">
        <v>3604</v>
      </c>
      <c r="C216" s="10" t="s">
        <v>1332</v>
      </c>
      <c r="D216" s="144" t="s">
        <v>3034</v>
      </c>
      <c r="E216" s="9" t="s">
        <v>1363</v>
      </c>
      <c r="F216" s="11" t="s">
        <v>1364</v>
      </c>
      <c r="G216" s="10" t="s">
        <v>1262</v>
      </c>
      <c r="H216" s="143" t="s">
        <v>3586</v>
      </c>
    </row>
    <row r="217" spans="1:8" x14ac:dyDescent="0.25">
      <c r="A217">
        <v>1</v>
      </c>
      <c r="B217" s="10" t="s">
        <v>3592</v>
      </c>
      <c r="C217" s="10" t="s">
        <v>1270</v>
      </c>
      <c r="D217" s="133" t="s">
        <v>3034</v>
      </c>
      <c r="E217" s="9"/>
      <c r="F217" s="11"/>
      <c r="G217" s="10" t="s">
        <v>1262</v>
      </c>
      <c r="H217" s="143" t="s">
        <v>3586</v>
      </c>
    </row>
    <row r="218" spans="1:8" x14ac:dyDescent="0.25">
      <c r="A218">
        <v>1</v>
      </c>
      <c r="B218" s="10" t="s">
        <v>3592</v>
      </c>
      <c r="C218" s="10" t="s">
        <v>1270</v>
      </c>
      <c r="D218" s="144" t="s">
        <v>3034</v>
      </c>
      <c r="E218" s="9" t="s">
        <v>1271</v>
      </c>
      <c r="F218" s="11" t="s">
        <v>662</v>
      </c>
      <c r="G218" s="10" t="s">
        <v>1262</v>
      </c>
      <c r="H218" s="143" t="s">
        <v>3586</v>
      </c>
    </row>
    <row r="219" spans="1:8" x14ac:dyDescent="0.25">
      <c r="A219">
        <v>1</v>
      </c>
      <c r="B219" s="10" t="s">
        <v>3592</v>
      </c>
      <c r="C219" s="10" t="s">
        <v>1270</v>
      </c>
      <c r="D219" s="133" t="s">
        <v>3034</v>
      </c>
      <c r="E219" s="9" t="s">
        <v>1358</v>
      </c>
      <c r="F219" s="11" t="s">
        <v>662</v>
      </c>
      <c r="G219" s="10" t="s">
        <v>1262</v>
      </c>
      <c r="H219" s="143" t="s">
        <v>3586</v>
      </c>
    </row>
    <row r="220" spans="1:8" x14ac:dyDescent="0.25">
      <c r="A220">
        <v>1</v>
      </c>
      <c r="B220" s="10" t="s">
        <v>3593</v>
      </c>
      <c r="C220" s="10" t="s">
        <v>1267</v>
      </c>
      <c r="D220" s="144" t="s">
        <v>3034</v>
      </c>
      <c r="E220" s="9" t="s">
        <v>1268</v>
      </c>
      <c r="F220" s="11" t="s">
        <v>615</v>
      </c>
      <c r="G220" s="10" t="s">
        <v>1262</v>
      </c>
      <c r="H220" s="143" t="s">
        <v>3586</v>
      </c>
    </row>
    <row r="221" spans="1:8" x14ac:dyDescent="0.25">
      <c r="A221">
        <v>1</v>
      </c>
      <c r="B221" s="10" t="s">
        <v>3593</v>
      </c>
      <c r="C221" s="10" t="s">
        <v>1267</v>
      </c>
      <c r="D221" s="133" t="s">
        <v>3034</v>
      </c>
      <c r="E221" s="9" t="s">
        <v>1360</v>
      </c>
      <c r="F221" s="11" t="s">
        <v>615</v>
      </c>
      <c r="G221" s="10" t="s">
        <v>1262</v>
      </c>
      <c r="H221" s="143" t="s">
        <v>3586</v>
      </c>
    </row>
    <row r="222" spans="1:8" x14ac:dyDescent="0.25">
      <c r="A222">
        <v>1</v>
      </c>
      <c r="B222" s="10" t="s">
        <v>3605</v>
      </c>
      <c r="C222" s="10" t="s">
        <v>1274</v>
      </c>
      <c r="D222" s="144" t="s">
        <v>3034</v>
      </c>
      <c r="E222" s="9" t="s">
        <v>1275</v>
      </c>
      <c r="F222" s="11" t="s">
        <v>159</v>
      </c>
      <c r="G222" s="10" t="s">
        <v>1262</v>
      </c>
      <c r="H222" s="143" t="s">
        <v>3586</v>
      </c>
    </row>
    <row r="223" spans="1:8" x14ac:dyDescent="0.25">
      <c r="A223">
        <v>1</v>
      </c>
      <c r="B223" s="10" t="s">
        <v>3605</v>
      </c>
      <c r="C223" s="10" t="s">
        <v>1274</v>
      </c>
      <c r="D223" s="133" t="s">
        <v>3034</v>
      </c>
      <c r="E223" s="9" t="s">
        <v>1277</v>
      </c>
      <c r="F223" s="11" t="s">
        <v>159</v>
      </c>
      <c r="G223" s="10" t="s">
        <v>1262</v>
      </c>
      <c r="H223" s="143" t="s">
        <v>3586</v>
      </c>
    </row>
    <row r="224" spans="1:8" x14ac:dyDescent="0.25">
      <c r="A224">
        <v>1</v>
      </c>
      <c r="B224" s="10" t="s">
        <v>3605</v>
      </c>
      <c r="C224" s="10" t="s">
        <v>1298</v>
      </c>
      <c r="D224" s="144" t="s">
        <v>3034</v>
      </c>
      <c r="E224" s="9" t="s">
        <v>1299</v>
      </c>
      <c r="F224" s="11" t="s">
        <v>124</v>
      </c>
      <c r="G224" s="10" t="s">
        <v>1262</v>
      </c>
      <c r="H224" s="143" t="s">
        <v>3586</v>
      </c>
    </row>
    <row r="225" spans="1:8" x14ac:dyDescent="0.25">
      <c r="A225">
        <v>1</v>
      </c>
      <c r="B225" s="10" t="s">
        <v>3605</v>
      </c>
      <c r="C225" s="10" t="s">
        <v>1298</v>
      </c>
      <c r="D225" s="133" t="s">
        <v>3034</v>
      </c>
      <c r="E225" s="9" t="s">
        <v>1301</v>
      </c>
      <c r="F225" s="11" t="s">
        <v>124</v>
      </c>
      <c r="G225" s="10" t="s">
        <v>1262</v>
      </c>
      <c r="H225" s="143" t="s">
        <v>3586</v>
      </c>
    </row>
    <row r="226" spans="1:8" x14ac:dyDescent="0.25">
      <c r="A226">
        <v>1</v>
      </c>
      <c r="B226" s="10" t="s">
        <v>3605</v>
      </c>
      <c r="C226" s="10" t="s">
        <v>1298</v>
      </c>
      <c r="D226" s="144" t="s">
        <v>3034</v>
      </c>
      <c r="E226" s="9" t="s">
        <v>1303</v>
      </c>
      <c r="F226" s="11" t="s">
        <v>124</v>
      </c>
      <c r="G226" s="10" t="s">
        <v>1262</v>
      </c>
      <c r="H226" s="143" t="s">
        <v>3586</v>
      </c>
    </row>
    <row r="227" spans="1:8" x14ac:dyDescent="0.25">
      <c r="A227">
        <v>1</v>
      </c>
      <c r="B227" s="10" t="s">
        <v>3605</v>
      </c>
      <c r="C227" s="10" t="s">
        <v>1298</v>
      </c>
      <c r="D227" s="133" t="s">
        <v>3034</v>
      </c>
      <c r="E227" s="9" t="s">
        <v>1305</v>
      </c>
      <c r="F227" s="11" t="s">
        <v>124</v>
      </c>
      <c r="G227" s="10" t="s">
        <v>1262</v>
      </c>
      <c r="H227" s="143" t="s">
        <v>3586</v>
      </c>
    </row>
    <row r="228" spans="1:8" x14ac:dyDescent="0.25">
      <c r="A228">
        <v>1</v>
      </c>
      <c r="B228" s="10" t="s">
        <v>3605</v>
      </c>
      <c r="C228" s="10" t="s">
        <v>1298</v>
      </c>
      <c r="D228" s="144" t="s">
        <v>3034</v>
      </c>
      <c r="E228" s="9" t="s">
        <v>1309</v>
      </c>
      <c r="F228" s="11" t="s">
        <v>124</v>
      </c>
      <c r="G228" s="10" t="s">
        <v>1262</v>
      </c>
      <c r="H228" s="143" t="s">
        <v>3586</v>
      </c>
    </row>
    <row r="229" spans="1:8" x14ac:dyDescent="0.25">
      <c r="A229">
        <v>1</v>
      </c>
      <c r="B229" s="10" t="s">
        <v>3605</v>
      </c>
      <c r="C229" s="10" t="s">
        <v>1274</v>
      </c>
      <c r="D229" s="133" t="s">
        <v>3034</v>
      </c>
      <c r="E229" s="9" t="s">
        <v>1335</v>
      </c>
      <c r="F229" s="11"/>
      <c r="G229" s="10" t="s">
        <v>1262</v>
      </c>
      <c r="H229" s="143" t="s">
        <v>3586</v>
      </c>
    </row>
    <row r="230" spans="1:8" x14ac:dyDescent="0.25">
      <c r="A230">
        <v>1</v>
      </c>
      <c r="B230" s="10" t="s">
        <v>3605</v>
      </c>
      <c r="C230" s="10" t="s">
        <v>1274</v>
      </c>
      <c r="D230" s="144" t="s">
        <v>3034</v>
      </c>
      <c r="E230" s="9" t="s">
        <v>1337</v>
      </c>
      <c r="F230" s="11"/>
      <c r="G230" s="10" t="s">
        <v>1262</v>
      </c>
      <c r="H230" s="143" t="s">
        <v>3586</v>
      </c>
    </row>
    <row r="231" spans="1:8" x14ac:dyDescent="0.25">
      <c r="A231">
        <v>1</v>
      </c>
      <c r="B231" s="10" t="s">
        <v>3605</v>
      </c>
      <c r="C231" s="10" t="s">
        <v>1274</v>
      </c>
      <c r="D231" s="133" t="s">
        <v>3034</v>
      </c>
      <c r="E231" s="9" t="s">
        <v>1362</v>
      </c>
      <c r="F231" s="11" t="s">
        <v>90</v>
      </c>
      <c r="G231" s="10" t="s">
        <v>1262</v>
      </c>
      <c r="H231" s="143" t="s">
        <v>3586</v>
      </c>
    </row>
    <row r="232" spans="1:8" x14ac:dyDescent="0.25">
      <c r="A232">
        <v>1</v>
      </c>
      <c r="B232" s="10" t="s">
        <v>3605</v>
      </c>
      <c r="C232" s="10" t="s">
        <v>1274</v>
      </c>
      <c r="D232" s="144" t="s">
        <v>3034</v>
      </c>
      <c r="E232" s="9" t="s">
        <v>1369</v>
      </c>
      <c r="F232" s="11" t="s">
        <v>1370</v>
      </c>
      <c r="G232" s="10" t="s">
        <v>1262</v>
      </c>
      <c r="H232" s="143" t="s">
        <v>3586</v>
      </c>
    </row>
    <row r="233" spans="1:8" x14ac:dyDescent="0.25">
      <c r="A233">
        <v>1</v>
      </c>
      <c r="B233" s="10" t="s">
        <v>3605</v>
      </c>
      <c r="C233" s="10" t="s">
        <v>1298</v>
      </c>
      <c r="D233" s="133" t="s">
        <v>3034</v>
      </c>
      <c r="E233" s="9" t="s">
        <v>1376</v>
      </c>
      <c r="F233" s="11" t="s">
        <v>159</v>
      </c>
      <c r="G233" s="10" t="s">
        <v>1262</v>
      </c>
      <c r="H233" s="143" t="s">
        <v>3586</v>
      </c>
    </row>
    <row r="234" spans="1:8" x14ac:dyDescent="0.25">
      <c r="A234">
        <v>1</v>
      </c>
      <c r="B234" s="10" t="s">
        <v>3606</v>
      </c>
      <c r="C234" s="10" t="s">
        <v>1316</v>
      </c>
      <c r="D234" s="144" t="s">
        <v>3034</v>
      </c>
      <c r="E234" s="9" t="s">
        <v>1317</v>
      </c>
      <c r="F234" s="11" t="s">
        <v>159</v>
      </c>
      <c r="G234" s="10" t="s">
        <v>1262</v>
      </c>
      <c r="H234" s="143" t="s">
        <v>3586</v>
      </c>
    </row>
    <row r="235" spans="1:8" ht="30" x14ac:dyDescent="0.25">
      <c r="A235">
        <v>1</v>
      </c>
      <c r="B235" s="133" t="s">
        <v>3619</v>
      </c>
      <c r="C235" s="10" t="s">
        <v>1396</v>
      </c>
      <c r="D235" s="144" t="s">
        <v>3034</v>
      </c>
      <c r="E235" s="9" t="s">
        <v>1397</v>
      </c>
      <c r="F235" s="11" t="s">
        <v>225</v>
      </c>
      <c r="G235" s="10" t="s">
        <v>1262</v>
      </c>
      <c r="H235" s="143" t="s">
        <v>3586</v>
      </c>
    </row>
    <row r="236" spans="1:8" x14ac:dyDescent="0.25">
      <c r="A236">
        <v>1</v>
      </c>
      <c r="B236" s="10" t="s">
        <v>3607</v>
      </c>
      <c r="C236" s="10" t="s">
        <v>1409</v>
      </c>
      <c r="D236" s="133" t="s">
        <v>3034</v>
      </c>
      <c r="E236" s="9" t="s">
        <v>1410</v>
      </c>
      <c r="F236" s="11" t="s">
        <v>1411</v>
      </c>
      <c r="G236" s="10" t="s">
        <v>1262</v>
      </c>
      <c r="H236" s="143" t="s">
        <v>3586</v>
      </c>
    </row>
    <row r="237" spans="1:8" x14ac:dyDescent="0.25">
      <c r="A237">
        <v>1</v>
      </c>
      <c r="B237" s="10" t="s">
        <v>325</v>
      </c>
      <c r="C237" s="10" t="s">
        <v>1936</v>
      </c>
      <c r="D237" s="144" t="s">
        <v>3034</v>
      </c>
      <c r="E237" s="9" t="s">
        <v>1937</v>
      </c>
      <c r="F237" s="11" t="s">
        <v>550</v>
      </c>
      <c r="G237" s="10" t="s">
        <v>1262</v>
      </c>
      <c r="H237" s="143" t="s">
        <v>3586</v>
      </c>
    </row>
    <row r="238" spans="1:8" x14ac:dyDescent="0.25">
      <c r="A238">
        <v>1</v>
      </c>
      <c r="B238" s="10" t="s">
        <v>2316</v>
      </c>
      <c r="C238" s="10" t="s">
        <v>781</v>
      </c>
      <c r="D238" s="133" t="s">
        <v>3034</v>
      </c>
      <c r="E238" s="9" t="s">
        <v>782</v>
      </c>
      <c r="F238" s="11" t="s">
        <v>783</v>
      </c>
      <c r="G238" s="10" t="s">
        <v>766</v>
      </c>
      <c r="H238" s="143" t="s">
        <v>3586</v>
      </c>
    </row>
    <row r="239" spans="1:8" x14ac:dyDescent="0.25">
      <c r="A239">
        <v>1</v>
      </c>
      <c r="B239" s="10" t="s">
        <v>2316</v>
      </c>
      <c r="C239" s="10" t="s">
        <v>792</v>
      </c>
      <c r="D239" s="144" t="s">
        <v>3034</v>
      </c>
      <c r="E239" s="9" t="s">
        <v>793</v>
      </c>
      <c r="F239" s="11"/>
      <c r="G239" s="10" t="s">
        <v>766</v>
      </c>
      <c r="H239" s="143" t="s">
        <v>3586</v>
      </c>
    </row>
    <row r="240" spans="1:8" x14ac:dyDescent="0.25">
      <c r="A240">
        <v>1</v>
      </c>
      <c r="B240" s="10" t="s">
        <v>2316</v>
      </c>
      <c r="C240" s="10" t="s">
        <v>794</v>
      </c>
      <c r="D240" s="133" t="s">
        <v>3034</v>
      </c>
      <c r="E240" s="9" t="s">
        <v>795</v>
      </c>
      <c r="F240" s="11"/>
      <c r="G240" s="10" t="s">
        <v>766</v>
      </c>
      <c r="H240" s="143" t="s">
        <v>3586</v>
      </c>
    </row>
    <row r="241" spans="1:8" x14ac:dyDescent="0.25">
      <c r="A241">
        <v>1</v>
      </c>
      <c r="B241" s="10" t="s">
        <v>2316</v>
      </c>
      <c r="C241" s="10" t="s">
        <v>794</v>
      </c>
      <c r="D241" s="144" t="s">
        <v>3034</v>
      </c>
      <c r="E241" s="9" t="s">
        <v>796</v>
      </c>
      <c r="F241" s="11"/>
      <c r="G241" s="10" t="s">
        <v>766</v>
      </c>
      <c r="H241" s="143" t="s">
        <v>3586</v>
      </c>
    </row>
    <row r="242" spans="1:8" x14ac:dyDescent="0.25">
      <c r="A242">
        <v>1</v>
      </c>
      <c r="B242" s="10" t="s">
        <v>2305</v>
      </c>
      <c r="C242" s="10" t="s">
        <v>778</v>
      </c>
      <c r="D242" s="144" t="s">
        <v>3034</v>
      </c>
      <c r="E242" s="9" t="s">
        <v>779</v>
      </c>
      <c r="F242" s="11" t="s">
        <v>780</v>
      </c>
      <c r="G242" s="10" t="s">
        <v>766</v>
      </c>
      <c r="H242" s="143" t="s">
        <v>3586</v>
      </c>
    </row>
    <row r="243" spans="1:8" x14ac:dyDescent="0.25">
      <c r="A243">
        <v>1</v>
      </c>
      <c r="B243" s="129" t="s">
        <v>3565</v>
      </c>
      <c r="C243" s="139" t="s">
        <v>3562</v>
      </c>
      <c r="D243" s="144" t="s">
        <v>3034</v>
      </c>
      <c r="E243" s="141">
        <v>16706</v>
      </c>
      <c r="F243" s="11"/>
      <c r="G243" s="129" t="s">
        <v>3563</v>
      </c>
      <c r="H243" s="143" t="s">
        <v>3586</v>
      </c>
    </row>
    <row r="244" spans="1:8" x14ac:dyDescent="0.25">
      <c r="A244">
        <v>1</v>
      </c>
      <c r="B244" s="129" t="s">
        <v>3565</v>
      </c>
      <c r="C244" s="139" t="s">
        <v>3562</v>
      </c>
      <c r="D244" s="133" t="s">
        <v>3034</v>
      </c>
      <c r="E244" s="139"/>
      <c r="F244" s="140"/>
      <c r="G244" s="129" t="s">
        <v>3563</v>
      </c>
      <c r="H244" s="143" t="s">
        <v>3586</v>
      </c>
    </row>
    <row r="245" spans="1:8" x14ac:dyDescent="0.25">
      <c r="A245">
        <v>1</v>
      </c>
      <c r="B245" s="129" t="s">
        <v>3564</v>
      </c>
      <c r="C245" s="139" t="s">
        <v>3561</v>
      </c>
      <c r="D245" s="144" t="s">
        <v>3034</v>
      </c>
      <c r="E245" s="139"/>
      <c r="F245" s="140"/>
      <c r="G245" s="129" t="s">
        <v>3563</v>
      </c>
      <c r="H245" s="143" t="s">
        <v>3586</v>
      </c>
    </row>
    <row r="246" spans="1:8" x14ac:dyDescent="0.25">
      <c r="A246">
        <v>1</v>
      </c>
      <c r="B246" s="129" t="s">
        <v>3555</v>
      </c>
      <c r="C246" s="10" t="s">
        <v>455</v>
      </c>
      <c r="D246" s="133" t="s">
        <v>3034</v>
      </c>
      <c r="E246" s="139"/>
      <c r="F246" s="140"/>
      <c r="G246" s="129" t="s">
        <v>3563</v>
      </c>
      <c r="H246" s="143" t="s">
        <v>3586</v>
      </c>
    </row>
    <row r="247" spans="1:8" x14ac:dyDescent="0.25">
      <c r="A247">
        <v>1</v>
      </c>
      <c r="B247" s="129" t="s">
        <v>3555</v>
      </c>
      <c r="C247" s="10" t="s">
        <v>455</v>
      </c>
      <c r="D247" s="144" t="s">
        <v>3034</v>
      </c>
      <c r="E247" s="140" t="s">
        <v>1758</v>
      </c>
      <c r="F247" s="11"/>
      <c r="G247" s="129" t="s">
        <v>3563</v>
      </c>
      <c r="H247" s="143" t="s">
        <v>3586</v>
      </c>
    </row>
    <row r="248" spans="1:8" x14ac:dyDescent="0.25">
      <c r="A248">
        <v>1</v>
      </c>
      <c r="B248" s="129" t="s">
        <v>3555</v>
      </c>
      <c r="C248" s="139" t="s">
        <v>3560</v>
      </c>
      <c r="D248" s="133" t="s">
        <v>3034</v>
      </c>
      <c r="E248" s="139"/>
      <c r="F248" s="140"/>
      <c r="G248" s="129" t="s">
        <v>3563</v>
      </c>
      <c r="H248" s="143" t="s">
        <v>3586</v>
      </c>
    </row>
    <row r="249" spans="1:8" x14ac:dyDescent="0.25">
      <c r="A249">
        <v>1</v>
      </c>
      <c r="B249" s="129" t="s">
        <v>3555</v>
      </c>
      <c r="C249" s="139" t="s">
        <v>3560</v>
      </c>
      <c r="D249" s="144" t="s">
        <v>3034</v>
      </c>
      <c r="E249" s="139"/>
      <c r="F249" s="140"/>
      <c r="G249" s="129" t="s">
        <v>3563</v>
      </c>
      <c r="H249" s="143" t="s">
        <v>3586</v>
      </c>
    </row>
    <row r="250" spans="1:8" x14ac:dyDescent="0.25">
      <c r="A250">
        <v>1</v>
      </c>
      <c r="B250" s="10" t="s">
        <v>3313</v>
      </c>
      <c r="C250" s="41" t="s">
        <v>3385</v>
      </c>
      <c r="D250" s="133" t="s">
        <v>3034</v>
      </c>
      <c r="E250" s="9"/>
      <c r="F250" s="11"/>
      <c r="G250" s="129" t="s">
        <v>22</v>
      </c>
      <c r="H250" s="143" t="s">
        <v>3586</v>
      </c>
    </row>
    <row r="251" spans="1:8" x14ac:dyDescent="0.25">
      <c r="A251">
        <v>1</v>
      </c>
      <c r="B251" s="10" t="s">
        <v>3313</v>
      </c>
      <c r="C251" s="41" t="s">
        <v>3385</v>
      </c>
      <c r="D251" s="144" t="s">
        <v>3034</v>
      </c>
      <c r="E251" s="9"/>
      <c r="F251" s="11"/>
      <c r="G251" s="129" t="s">
        <v>22</v>
      </c>
      <c r="H251" s="143" t="s">
        <v>3586</v>
      </c>
    </row>
    <row r="252" spans="1:8" x14ac:dyDescent="0.25">
      <c r="A252">
        <v>1</v>
      </c>
      <c r="B252" s="129" t="s">
        <v>3554</v>
      </c>
      <c r="C252" s="44" t="s">
        <v>1144</v>
      </c>
      <c r="D252" s="133" t="s">
        <v>3034</v>
      </c>
      <c r="E252" s="9" t="s">
        <v>40</v>
      </c>
      <c r="F252" s="11" t="s">
        <v>41</v>
      </c>
      <c r="G252" s="10" t="s">
        <v>22</v>
      </c>
      <c r="H252" s="143" t="s">
        <v>3586</v>
      </c>
    </row>
    <row r="253" spans="1:8" x14ac:dyDescent="0.25">
      <c r="A253">
        <v>1</v>
      </c>
      <c r="B253" s="129" t="s">
        <v>3554</v>
      </c>
      <c r="C253" s="10" t="s">
        <v>64</v>
      </c>
      <c r="D253" s="144" t="s">
        <v>3034</v>
      </c>
      <c r="E253" s="9" t="s">
        <v>65</v>
      </c>
      <c r="F253" s="11" t="s">
        <v>66</v>
      </c>
      <c r="G253" s="10" t="s">
        <v>22</v>
      </c>
      <c r="H253" s="143" t="s">
        <v>3586</v>
      </c>
    </row>
    <row r="254" spans="1:8" x14ac:dyDescent="0.25">
      <c r="A254">
        <v>1</v>
      </c>
      <c r="B254" s="10" t="s">
        <v>2319</v>
      </c>
      <c r="C254" s="41" t="s">
        <v>32</v>
      </c>
      <c r="D254" s="133" t="s">
        <v>3617</v>
      </c>
      <c r="E254" s="9" t="s">
        <v>33</v>
      </c>
      <c r="F254" s="135" t="s">
        <v>969</v>
      </c>
      <c r="G254" s="10" t="s">
        <v>22</v>
      </c>
      <c r="H254" s="143" t="s">
        <v>3586</v>
      </c>
    </row>
    <row r="255" spans="1:8" hidden="1" x14ac:dyDescent="0.25">
      <c r="B255" s="10" t="s">
        <v>2319</v>
      </c>
      <c r="C255" s="42" t="s">
        <v>32</v>
      </c>
      <c r="D255" s="144"/>
      <c r="E255" s="9" t="s">
        <v>44</v>
      </c>
      <c r="F255" s="135" t="s">
        <v>969</v>
      </c>
      <c r="G255" s="10" t="s">
        <v>22</v>
      </c>
      <c r="H255" s="143" t="s">
        <v>3586</v>
      </c>
    </row>
    <row r="256" spans="1:8" hidden="1" x14ac:dyDescent="0.25">
      <c r="B256" s="10" t="s">
        <v>2319</v>
      </c>
      <c r="C256" s="16" t="s">
        <v>54</v>
      </c>
      <c r="D256" s="133"/>
      <c r="E256" s="9" t="s">
        <v>55</v>
      </c>
      <c r="F256" s="11"/>
      <c r="G256" s="10" t="s">
        <v>22</v>
      </c>
      <c r="H256" s="143" t="s">
        <v>3586</v>
      </c>
    </row>
    <row r="257" spans="1:8" hidden="1" x14ac:dyDescent="0.25">
      <c r="B257" s="10" t="s">
        <v>2319</v>
      </c>
      <c r="C257" s="41" t="s">
        <v>32</v>
      </c>
      <c r="D257" s="144"/>
      <c r="E257" s="9" t="s">
        <v>57</v>
      </c>
      <c r="F257" s="135" t="s">
        <v>969</v>
      </c>
      <c r="G257" s="10" t="s">
        <v>22</v>
      </c>
      <c r="H257" s="143" t="s">
        <v>3586</v>
      </c>
    </row>
    <row r="258" spans="1:8" hidden="1" x14ac:dyDescent="0.25">
      <c r="B258" s="10" t="s">
        <v>2319</v>
      </c>
      <c r="C258" s="41" t="s">
        <v>32</v>
      </c>
      <c r="D258" s="133"/>
      <c r="E258" s="9" t="s">
        <v>127</v>
      </c>
      <c r="F258" s="135" t="s">
        <v>969</v>
      </c>
      <c r="G258" s="10" t="s">
        <v>22</v>
      </c>
      <c r="H258" s="143" t="s">
        <v>3586</v>
      </c>
    </row>
    <row r="259" spans="1:8" x14ac:dyDescent="0.25">
      <c r="A259">
        <v>1</v>
      </c>
      <c r="B259" s="10" t="s">
        <v>2303</v>
      </c>
      <c r="C259" s="10" t="s">
        <v>19</v>
      </c>
      <c r="D259" s="144" t="s">
        <v>1843</v>
      </c>
      <c r="E259" s="9" t="s">
        <v>20</v>
      </c>
      <c r="F259" s="11" t="s">
        <v>59</v>
      </c>
      <c r="G259" s="10" t="s">
        <v>22</v>
      </c>
      <c r="H259" s="143" t="s">
        <v>3586</v>
      </c>
    </row>
    <row r="260" spans="1:8" hidden="1" x14ac:dyDescent="0.25">
      <c r="B260" s="10" t="s">
        <v>2303</v>
      </c>
      <c r="C260" s="10" t="s">
        <v>19</v>
      </c>
      <c r="D260" s="133"/>
      <c r="E260" s="9" t="s">
        <v>35</v>
      </c>
      <c r="F260" s="11" t="s">
        <v>66</v>
      </c>
      <c r="G260" s="10" t="s">
        <v>22</v>
      </c>
      <c r="H260" s="143" t="s">
        <v>3586</v>
      </c>
    </row>
    <row r="261" spans="1:8" hidden="1" x14ac:dyDescent="0.25">
      <c r="B261" s="10" t="s">
        <v>2303</v>
      </c>
      <c r="C261" s="10" t="s">
        <v>69</v>
      </c>
      <c r="D261" s="144"/>
      <c r="E261" s="9" t="s">
        <v>70</v>
      </c>
      <c r="F261" s="11" t="s">
        <v>615</v>
      </c>
      <c r="G261" s="10" t="s">
        <v>22</v>
      </c>
      <c r="H261" s="143" t="s">
        <v>3586</v>
      </c>
    </row>
    <row r="262" spans="1:8" x14ac:dyDescent="0.25">
      <c r="A262">
        <v>1</v>
      </c>
      <c r="B262" s="10" t="s">
        <v>61</v>
      </c>
      <c r="C262" s="10" t="s">
        <v>62</v>
      </c>
      <c r="D262" s="133" t="s">
        <v>3614</v>
      </c>
      <c r="E262" s="9">
        <v>141121057</v>
      </c>
      <c r="F262" s="11"/>
      <c r="G262" s="10" t="s">
        <v>22</v>
      </c>
      <c r="H262" s="143" t="s">
        <v>3586</v>
      </c>
    </row>
    <row r="263" spans="1:8" hidden="1" x14ac:dyDescent="0.25">
      <c r="B263" s="10" t="s">
        <v>61</v>
      </c>
      <c r="C263" s="10" t="s">
        <v>62</v>
      </c>
      <c r="D263" s="144"/>
      <c r="E263" s="9" t="s">
        <v>74</v>
      </c>
      <c r="F263" s="11"/>
      <c r="G263" s="10" t="s">
        <v>22</v>
      </c>
      <c r="H263" s="143" t="s">
        <v>3586</v>
      </c>
    </row>
    <row r="264" spans="1:8" x14ac:dyDescent="0.25">
      <c r="A264">
        <v>1</v>
      </c>
      <c r="B264" s="129" t="s">
        <v>3555</v>
      </c>
      <c r="C264" s="10" t="s">
        <v>455</v>
      </c>
      <c r="D264" s="133" t="s">
        <v>3034</v>
      </c>
      <c r="E264" s="9" t="s">
        <v>456</v>
      </c>
      <c r="F264" s="11"/>
      <c r="G264" s="10" t="s">
        <v>442</v>
      </c>
      <c r="H264" s="143" t="s">
        <v>3586</v>
      </c>
    </row>
    <row r="265" spans="1:8" x14ac:dyDescent="0.25">
      <c r="A265">
        <v>1</v>
      </c>
      <c r="B265" s="129" t="s">
        <v>3555</v>
      </c>
      <c r="C265" s="16" t="s">
        <v>467</v>
      </c>
      <c r="D265" s="144" t="s">
        <v>3034</v>
      </c>
      <c r="E265" s="9" t="s">
        <v>468</v>
      </c>
      <c r="F265" s="11" t="s">
        <v>41</v>
      </c>
      <c r="G265" s="10" t="s">
        <v>442</v>
      </c>
      <c r="H265" s="143" t="s">
        <v>3586</v>
      </c>
    </row>
    <row r="266" spans="1:8" x14ac:dyDescent="0.25">
      <c r="A266">
        <v>1</v>
      </c>
      <c r="B266" s="129" t="s">
        <v>3555</v>
      </c>
      <c r="C266" s="10" t="s">
        <v>467</v>
      </c>
      <c r="D266" s="133" t="s">
        <v>3034</v>
      </c>
      <c r="E266" s="9" t="s">
        <v>470</v>
      </c>
      <c r="F266" s="11" t="s">
        <v>41</v>
      </c>
      <c r="G266" s="10" t="s">
        <v>442</v>
      </c>
      <c r="H266" s="143" t="s">
        <v>3586</v>
      </c>
    </row>
    <row r="267" spans="1:8" x14ac:dyDescent="0.25">
      <c r="A267">
        <v>1</v>
      </c>
      <c r="B267" s="129" t="s">
        <v>3555</v>
      </c>
      <c r="C267" s="10" t="s">
        <v>472</v>
      </c>
      <c r="D267" s="144" t="s">
        <v>3034</v>
      </c>
      <c r="E267" s="9"/>
      <c r="F267" s="11"/>
      <c r="G267" s="10" t="s">
        <v>442</v>
      </c>
      <c r="H267" s="143" t="s">
        <v>3586</v>
      </c>
    </row>
    <row r="268" spans="1:8" x14ac:dyDescent="0.25">
      <c r="A268">
        <v>1</v>
      </c>
      <c r="B268" s="129" t="s">
        <v>3555</v>
      </c>
      <c r="C268" s="10" t="s">
        <v>733</v>
      </c>
      <c r="D268" s="133" t="s">
        <v>3034</v>
      </c>
      <c r="E268" s="9" t="s">
        <v>734</v>
      </c>
      <c r="F268" s="11" t="s">
        <v>735</v>
      </c>
      <c r="G268" s="10" t="s">
        <v>442</v>
      </c>
      <c r="H268" s="143" t="s">
        <v>3586</v>
      </c>
    </row>
    <row r="269" spans="1:8" x14ac:dyDescent="0.25">
      <c r="A269">
        <v>1</v>
      </c>
      <c r="B269" s="10" t="s">
        <v>370</v>
      </c>
      <c r="C269" s="10" t="s">
        <v>459</v>
      </c>
      <c r="D269" s="144" t="s">
        <v>1847</v>
      </c>
      <c r="E269" s="9" t="s">
        <v>371</v>
      </c>
      <c r="F269" s="11"/>
      <c r="G269" s="10" t="s">
        <v>442</v>
      </c>
      <c r="H269" s="143" t="s">
        <v>3586</v>
      </c>
    </row>
    <row r="270" spans="1:8" hidden="1" x14ac:dyDescent="0.25">
      <c r="B270" s="10" t="s">
        <v>370</v>
      </c>
      <c r="C270" s="10" t="s">
        <v>608</v>
      </c>
      <c r="D270" s="144"/>
      <c r="E270" s="9" t="s">
        <v>529</v>
      </c>
      <c r="F270" s="11" t="s">
        <v>283</v>
      </c>
      <c r="G270" s="10" t="s">
        <v>442</v>
      </c>
      <c r="H270" s="143" t="s">
        <v>3586</v>
      </c>
    </row>
    <row r="271" spans="1:8" hidden="1" x14ac:dyDescent="0.25">
      <c r="B271" s="10" t="s">
        <v>370</v>
      </c>
      <c r="C271" s="10" t="s">
        <v>608</v>
      </c>
      <c r="D271" s="133"/>
      <c r="E271" s="9" t="s">
        <v>609</v>
      </c>
      <c r="F271" s="11" t="s">
        <v>283</v>
      </c>
      <c r="G271" s="10" t="s">
        <v>442</v>
      </c>
      <c r="H271" s="143" t="s">
        <v>3586</v>
      </c>
    </row>
    <row r="272" spans="1:8" x14ac:dyDescent="0.25">
      <c r="A272">
        <v>1</v>
      </c>
      <c r="B272" s="10" t="s">
        <v>2319</v>
      </c>
      <c r="C272" s="10" t="s">
        <v>686</v>
      </c>
      <c r="D272" s="144" t="s">
        <v>1843</v>
      </c>
      <c r="E272" s="9"/>
      <c r="F272" s="11"/>
      <c r="G272" s="10" t="s">
        <v>442</v>
      </c>
      <c r="H272" s="143" t="s">
        <v>3586</v>
      </c>
    </row>
    <row r="273" spans="1:8" hidden="1" x14ac:dyDescent="0.25">
      <c r="B273" s="10" t="s">
        <v>2319</v>
      </c>
      <c r="C273" s="10"/>
      <c r="D273" s="133"/>
      <c r="E273" s="9"/>
      <c r="F273" s="11"/>
      <c r="G273" s="10" t="s">
        <v>442</v>
      </c>
      <c r="H273" s="143" t="s">
        <v>3586</v>
      </c>
    </row>
    <row r="274" spans="1:8" hidden="1" x14ac:dyDescent="0.25">
      <c r="B274" s="10" t="s">
        <v>2319</v>
      </c>
      <c r="C274" s="10"/>
      <c r="D274" s="144"/>
      <c r="E274" s="9"/>
      <c r="F274" s="11"/>
      <c r="G274" s="10" t="s">
        <v>442</v>
      </c>
      <c r="H274" s="143" t="s">
        <v>3586</v>
      </c>
    </row>
    <row r="275" spans="1:8" x14ac:dyDescent="0.25">
      <c r="A275">
        <v>1</v>
      </c>
      <c r="B275" s="10" t="s">
        <v>444</v>
      </c>
      <c r="C275" s="44" t="s">
        <v>445</v>
      </c>
      <c r="D275" s="133" t="s">
        <v>1817</v>
      </c>
      <c r="E275" s="9" t="s">
        <v>446</v>
      </c>
      <c r="F275" s="11"/>
      <c r="G275" s="10" t="s">
        <v>442</v>
      </c>
      <c r="H275" s="143" t="s">
        <v>3586</v>
      </c>
    </row>
    <row r="276" spans="1:8" hidden="1" x14ac:dyDescent="0.25">
      <c r="B276" s="10" t="s">
        <v>444</v>
      </c>
      <c r="C276" s="44" t="s">
        <v>445</v>
      </c>
      <c r="D276" s="144"/>
      <c r="E276" s="9" t="s">
        <v>547</v>
      </c>
      <c r="F276" s="11" t="s">
        <v>90</v>
      </c>
      <c r="G276" s="10" t="s">
        <v>442</v>
      </c>
      <c r="H276" s="143" t="s">
        <v>3586</v>
      </c>
    </row>
    <row r="277" spans="1:8" hidden="1" x14ac:dyDescent="0.25">
      <c r="B277" s="10" t="s">
        <v>444</v>
      </c>
      <c r="C277" s="44" t="s">
        <v>445</v>
      </c>
      <c r="D277" s="133"/>
      <c r="E277" s="9" t="s">
        <v>549</v>
      </c>
      <c r="F277" s="11" t="s">
        <v>550</v>
      </c>
      <c r="G277" s="10" t="s">
        <v>442</v>
      </c>
      <c r="H277" s="143" t="s">
        <v>3586</v>
      </c>
    </row>
    <row r="278" spans="1:8" hidden="1" x14ac:dyDescent="0.25">
      <c r="B278" s="10" t="s">
        <v>444</v>
      </c>
      <c r="C278" s="44" t="s">
        <v>445</v>
      </c>
      <c r="D278" s="144"/>
      <c r="E278" s="9">
        <v>18566</v>
      </c>
      <c r="F278" s="11">
        <v>2006</v>
      </c>
      <c r="G278" s="10" t="s">
        <v>442</v>
      </c>
      <c r="H278" s="143" t="s">
        <v>3586</v>
      </c>
    </row>
    <row r="279" spans="1:8" hidden="1" x14ac:dyDescent="0.25">
      <c r="B279" s="10" t="s">
        <v>444</v>
      </c>
      <c r="C279" s="44" t="s">
        <v>445</v>
      </c>
      <c r="D279" s="133"/>
      <c r="E279" s="9" t="s">
        <v>581</v>
      </c>
      <c r="F279" s="11" t="s">
        <v>90</v>
      </c>
      <c r="G279" s="10" t="s">
        <v>442</v>
      </c>
      <c r="H279" s="143" t="s">
        <v>3586</v>
      </c>
    </row>
    <row r="280" spans="1:8" hidden="1" x14ac:dyDescent="0.25">
      <c r="B280" s="10" t="s">
        <v>444</v>
      </c>
      <c r="C280" s="44" t="s">
        <v>445</v>
      </c>
      <c r="D280" s="144"/>
      <c r="E280" s="9" t="s">
        <v>626</v>
      </c>
      <c r="F280" s="11" t="s">
        <v>550</v>
      </c>
      <c r="G280" s="10" t="s">
        <v>442</v>
      </c>
      <c r="H280" s="143" t="s">
        <v>3586</v>
      </c>
    </row>
    <row r="281" spans="1:8" hidden="1" x14ac:dyDescent="0.25">
      <c r="B281" s="10" t="s">
        <v>444</v>
      </c>
      <c r="C281" s="44" t="s">
        <v>445</v>
      </c>
      <c r="D281" s="133"/>
      <c r="E281" s="9" t="s">
        <v>628</v>
      </c>
      <c r="F281" s="11" t="s">
        <v>550</v>
      </c>
      <c r="G281" s="10" t="s">
        <v>442</v>
      </c>
      <c r="H281" s="143" t="s">
        <v>3586</v>
      </c>
    </row>
    <row r="282" spans="1:8" hidden="1" x14ac:dyDescent="0.25">
      <c r="B282" s="10" t="s">
        <v>444</v>
      </c>
      <c r="C282" s="44" t="s">
        <v>630</v>
      </c>
      <c r="D282" s="144"/>
      <c r="E282" s="9" t="s">
        <v>631</v>
      </c>
      <c r="F282" s="11" t="s">
        <v>59</v>
      </c>
      <c r="G282" s="10" t="s">
        <v>442</v>
      </c>
      <c r="H282" s="143" t="s">
        <v>3586</v>
      </c>
    </row>
    <row r="283" spans="1:8" hidden="1" x14ac:dyDescent="0.25">
      <c r="B283" s="10" t="s">
        <v>444</v>
      </c>
      <c r="C283" s="44" t="s">
        <v>630</v>
      </c>
      <c r="D283" s="133"/>
      <c r="E283" s="9"/>
      <c r="F283" s="11" t="s">
        <v>59</v>
      </c>
      <c r="G283" s="10" t="s">
        <v>442</v>
      </c>
      <c r="H283" s="143" t="s">
        <v>3586</v>
      </c>
    </row>
    <row r="284" spans="1:8" hidden="1" x14ac:dyDescent="0.25">
      <c r="B284" s="10" t="s">
        <v>444</v>
      </c>
      <c r="C284" s="44" t="s">
        <v>445</v>
      </c>
      <c r="D284" s="144"/>
      <c r="E284" s="9" t="s">
        <v>672</v>
      </c>
      <c r="F284" s="11"/>
      <c r="G284" s="10" t="s">
        <v>442</v>
      </c>
      <c r="H284" s="143" t="s">
        <v>3586</v>
      </c>
    </row>
    <row r="285" spans="1:8" hidden="1" x14ac:dyDescent="0.25">
      <c r="B285" s="10" t="s">
        <v>444</v>
      </c>
      <c r="C285" s="44" t="s">
        <v>445</v>
      </c>
      <c r="D285" s="133"/>
      <c r="E285" s="9" t="s">
        <v>674</v>
      </c>
      <c r="F285" s="11"/>
      <c r="G285" s="10" t="s">
        <v>442</v>
      </c>
      <c r="H285" s="143" t="s">
        <v>3586</v>
      </c>
    </row>
    <row r="286" spans="1:8" hidden="1" x14ac:dyDescent="0.25">
      <c r="B286" s="10" t="s">
        <v>444</v>
      </c>
      <c r="C286" s="44" t="s">
        <v>445</v>
      </c>
      <c r="D286" s="144"/>
      <c r="E286" s="9" t="s">
        <v>752</v>
      </c>
      <c r="F286" s="11"/>
      <c r="G286" s="10" t="s">
        <v>442</v>
      </c>
      <c r="H286" s="143" t="s">
        <v>3586</v>
      </c>
    </row>
    <row r="287" spans="1:8" x14ac:dyDescent="0.25">
      <c r="A287">
        <v>1</v>
      </c>
      <c r="B287" s="133" t="s">
        <v>3621</v>
      </c>
      <c r="C287" s="133" t="s">
        <v>482</v>
      </c>
      <c r="D287" s="133" t="s">
        <v>3622</v>
      </c>
      <c r="E287" s="9" t="s">
        <v>483</v>
      </c>
      <c r="F287" s="11"/>
      <c r="G287" s="10" t="s">
        <v>442</v>
      </c>
      <c r="H287" s="143" t="s">
        <v>3587</v>
      </c>
    </row>
    <row r="288" spans="1:8" hidden="1" x14ac:dyDescent="0.25">
      <c r="B288" s="10" t="s">
        <v>481</v>
      </c>
      <c r="C288" s="10" t="s">
        <v>485</v>
      </c>
      <c r="D288" s="144"/>
      <c r="E288" s="9" t="s">
        <v>486</v>
      </c>
      <c r="F288" s="11" t="s">
        <v>487</v>
      </c>
      <c r="G288" s="10" t="s">
        <v>442</v>
      </c>
      <c r="H288" s="143" t="s">
        <v>3587</v>
      </c>
    </row>
    <row r="289" spans="1:8" hidden="1" x14ac:dyDescent="0.25">
      <c r="B289" s="133" t="s">
        <v>481</v>
      </c>
      <c r="C289" s="10" t="s">
        <v>482</v>
      </c>
      <c r="D289" s="133"/>
      <c r="E289" s="9" t="s">
        <v>552</v>
      </c>
      <c r="F289" s="11"/>
      <c r="G289" s="10" t="s">
        <v>442</v>
      </c>
      <c r="H289" s="143" t="s">
        <v>3587</v>
      </c>
    </row>
    <row r="290" spans="1:8" hidden="1" x14ac:dyDescent="0.25">
      <c r="B290" s="10" t="s">
        <v>481</v>
      </c>
      <c r="C290" s="10" t="s">
        <v>482</v>
      </c>
      <c r="D290" s="144"/>
      <c r="E290" s="9" t="s">
        <v>554</v>
      </c>
      <c r="F290" s="11"/>
      <c r="G290" s="10" t="s">
        <v>442</v>
      </c>
      <c r="H290" s="143" t="s">
        <v>3587</v>
      </c>
    </row>
    <row r="291" spans="1:8" hidden="1" x14ac:dyDescent="0.25">
      <c r="B291" s="32" t="s">
        <v>481</v>
      </c>
      <c r="C291" s="32" t="s">
        <v>2370</v>
      </c>
      <c r="D291" s="133"/>
      <c r="E291" s="9" t="s">
        <v>641</v>
      </c>
      <c r="F291" s="11"/>
      <c r="G291" s="10" t="s">
        <v>442</v>
      </c>
      <c r="H291" s="143" t="s">
        <v>3587</v>
      </c>
    </row>
    <row r="292" spans="1:8" hidden="1" x14ac:dyDescent="0.25">
      <c r="B292" s="10" t="s">
        <v>481</v>
      </c>
      <c r="C292" s="32" t="s">
        <v>2370</v>
      </c>
      <c r="D292" s="144"/>
      <c r="E292" s="9" t="s">
        <v>643</v>
      </c>
      <c r="F292" s="11"/>
      <c r="G292" s="10" t="s">
        <v>442</v>
      </c>
      <c r="H292" s="143" t="s">
        <v>3587</v>
      </c>
    </row>
    <row r="293" spans="1:8" hidden="1" x14ac:dyDescent="0.25">
      <c r="B293" s="10" t="s">
        <v>481</v>
      </c>
      <c r="C293" s="10" t="s">
        <v>645</v>
      </c>
      <c r="D293" s="133"/>
      <c r="E293" s="9" t="s">
        <v>646</v>
      </c>
      <c r="F293" s="11"/>
      <c r="G293" s="10" t="s">
        <v>442</v>
      </c>
      <c r="H293" s="143" t="s">
        <v>3587</v>
      </c>
    </row>
    <row r="294" spans="1:8" hidden="1" x14ac:dyDescent="0.25">
      <c r="B294" s="10" t="s">
        <v>481</v>
      </c>
      <c r="C294" s="10" t="s">
        <v>648</v>
      </c>
      <c r="D294" s="144"/>
      <c r="E294" s="9" t="s">
        <v>649</v>
      </c>
      <c r="F294" s="11"/>
      <c r="G294" s="10" t="s">
        <v>442</v>
      </c>
      <c r="H294" s="143" t="s">
        <v>3587</v>
      </c>
    </row>
    <row r="295" spans="1:8" hidden="1" x14ac:dyDescent="0.25">
      <c r="B295" s="10" t="s">
        <v>481</v>
      </c>
      <c r="C295" s="10" t="s">
        <v>648</v>
      </c>
      <c r="D295" s="133"/>
      <c r="E295" s="9" t="s">
        <v>651</v>
      </c>
      <c r="F295" s="11"/>
      <c r="G295" s="10" t="s">
        <v>442</v>
      </c>
      <c r="H295" s="143" t="s">
        <v>3587</v>
      </c>
    </row>
    <row r="296" spans="1:8" hidden="1" x14ac:dyDescent="0.25">
      <c r="B296" s="10" t="s">
        <v>481</v>
      </c>
      <c r="C296" s="10" t="s">
        <v>678</v>
      </c>
      <c r="D296" s="144"/>
      <c r="E296" s="9" t="s">
        <v>679</v>
      </c>
      <c r="F296" s="11"/>
      <c r="G296" s="10" t="s">
        <v>442</v>
      </c>
      <c r="H296" s="143" t="s">
        <v>3587</v>
      </c>
    </row>
    <row r="297" spans="1:8" hidden="1" x14ac:dyDescent="0.25">
      <c r="B297" s="10" t="s">
        <v>481</v>
      </c>
      <c r="C297" s="10" t="s">
        <v>648</v>
      </c>
      <c r="D297" s="133"/>
      <c r="E297" s="9" t="s">
        <v>681</v>
      </c>
      <c r="F297" s="11"/>
      <c r="G297" s="10" t="s">
        <v>442</v>
      </c>
      <c r="H297" s="143" t="s">
        <v>3587</v>
      </c>
    </row>
    <row r="298" spans="1:8" hidden="1" x14ac:dyDescent="0.25">
      <c r="B298" s="10" t="s">
        <v>481</v>
      </c>
      <c r="C298" s="10" t="s">
        <v>683</v>
      </c>
      <c r="D298" s="144"/>
      <c r="E298" s="9" t="s">
        <v>684</v>
      </c>
      <c r="F298" s="11"/>
      <c r="G298" s="10" t="s">
        <v>442</v>
      </c>
      <c r="H298" s="143" t="s">
        <v>3587</v>
      </c>
    </row>
    <row r="299" spans="1:8" hidden="1" x14ac:dyDescent="0.25">
      <c r="B299" s="10" t="s">
        <v>481</v>
      </c>
      <c r="C299" s="10" t="s">
        <v>708</v>
      </c>
      <c r="D299" s="133"/>
      <c r="E299" s="9" t="s">
        <v>709</v>
      </c>
      <c r="F299" s="11" t="s">
        <v>710</v>
      </c>
      <c r="G299" s="10" t="s">
        <v>442</v>
      </c>
      <c r="H299" s="143" t="s">
        <v>3587</v>
      </c>
    </row>
    <row r="300" spans="1:8" x14ac:dyDescent="0.25">
      <c r="A300">
        <v>1</v>
      </c>
      <c r="B300" s="10" t="s">
        <v>690</v>
      </c>
      <c r="C300" s="10" t="s">
        <v>691</v>
      </c>
      <c r="D300" s="144" t="s">
        <v>3034</v>
      </c>
      <c r="E300" s="9" t="s">
        <v>692</v>
      </c>
      <c r="F300" s="11"/>
      <c r="G300" s="10" t="s">
        <v>442</v>
      </c>
      <c r="H300" s="143" t="s">
        <v>3586</v>
      </c>
    </row>
    <row r="301" spans="1:8" x14ac:dyDescent="0.25">
      <c r="A301">
        <v>1</v>
      </c>
      <c r="B301" s="10" t="s">
        <v>690</v>
      </c>
      <c r="C301" s="10" t="s">
        <v>691</v>
      </c>
      <c r="D301" s="133" t="s">
        <v>3034</v>
      </c>
      <c r="E301" s="9" t="s">
        <v>694</v>
      </c>
      <c r="F301" s="11"/>
      <c r="G301" s="10" t="s">
        <v>442</v>
      </c>
      <c r="H301" s="143" t="s">
        <v>3586</v>
      </c>
    </row>
    <row r="302" spans="1:8" x14ac:dyDescent="0.25">
      <c r="A302">
        <v>1</v>
      </c>
      <c r="B302" s="10" t="s">
        <v>61</v>
      </c>
      <c r="C302" s="33" t="s">
        <v>62</v>
      </c>
      <c r="D302" s="144" t="s">
        <v>3614</v>
      </c>
      <c r="E302" s="9"/>
      <c r="F302" s="11"/>
      <c r="G302" s="10" t="s">
        <v>442</v>
      </c>
      <c r="H302" s="143" t="s">
        <v>3586</v>
      </c>
    </row>
    <row r="303" spans="1:8" x14ac:dyDescent="0.25">
      <c r="A303">
        <v>1</v>
      </c>
      <c r="B303" s="10" t="s">
        <v>325</v>
      </c>
      <c r="C303" s="10" t="s">
        <v>593</v>
      </c>
      <c r="D303" s="144" t="s">
        <v>3034</v>
      </c>
      <c r="E303" s="9" t="s">
        <v>761</v>
      </c>
      <c r="F303" s="11"/>
      <c r="G303" s="10" t="s">
        <v>442</v>
      </c>
      <c r="H303" s="143" t="s">
        <v>3586</v>
      </c>
    </row>
    <row r="304" spans="1:8" x14ac:dyDescent="0.25">
      <c r="A304">
        <v>1</v>
      </c>
      <c r="B304" s="10" t="s">
        <v>325</v>
      </c>
      <c r="C304" s="10" t="s">
        <v>593</v>
      </c>
      <c r="D304" s="133" t="s">
        <v>3034</v>
      </c>
      <c r="E304" s="9" t="s">
        <v>594</v>
      </c>
      <c r="F304" s="11"/>
      <c r="G304" s="10" t="s">
        <v>442</v>
      </c>
      <c r="H304" s="143" t="s">
        <v>3586</v>
      </c>
    </row>
    <row r="305" spans="1:8" x14ac:dyDescent="0.25">
      <c r="A305">
        <v>1</v>
      </c>
      <c r="B305" s="129" t="s">
        <v>3554</v>
      </c>
      <c r="C305" s="129" t="s">
        <v>175</v>
      </c>
      <c r="D305" s="144" t="s">
        <v>3034</v>
      </c>
      <c r="E305" s="131" t="s">
        <v>176</v>
      </c>
      <c r="F305" s="132" t="s">
        <v>159</v>
      </c>
      <c r="G305" s="129" t="s">
        <v>132</v>
      </c>
      <c r="H305" s="143" t="s">
        <v>3586</v>
      </c>
    </row>
    <row r="306" spans="1:8" x14ac:dyDescent="0.25">
      <c r="A306">
        <v>1</v>
      </c>
      <c r="B306" s="10" t="s">
        <v>191</v>
      </c>
      <c r="C306" s="10" t="s">
        <v>192</v>
      </c>
      <c r="D306" s="133" t="s">
        <v>3614</v>
      </c>
      <c r="E306" s="9" t="s">
        <v>193</v>
      </c>
      <c r="F306" s="11" t="s">
        <v>194</v>
      </c>
      <c r="G306" s="10" t="s">
        <v>132</v>
      </c>
      <c r="H306" s="143" t="s">
        <v>3587</v>
      </c>
    </row>
    <row r="307" spans="1:8" x14ac:dyDescent="0.25">
      <c r="A307">
        <v>1</v>
      </c>
      <c r="B307" s="33" t="s">
        <v>2319</v>
      </c>
      <c r="C307" s="10"/>
      <c r="D307" s="133" t="s">
        <v>3034</v>
      </c>
      <c r="E307" s="9"/>
      <c r="F307" s="11"/>
      <c r="G307" s="10" t="s">
        <v>132</v>
      </c>
      <c r="H307" s="143" t="s">
        <v>3586</v>
      </c>
    </row>
    <row r="308" spans="1:8" x14ac:dyDescent="0.25">
      <c r="A308">
        <v>1</v>
      </c>
      <c r="B308" s="129" t="s">
        <v>28</v>
      </c>
      <c r="C308" s="10" t="s">
        <v>175</v>
      </c>
      <c r="D308" s="144" t="s">
        <v>3034</v>
      </c>
      <c r="E308" s="9" t="s">
        <v>176</v>
      </c>
      <c r="F308" s="11" t="s">
        <v>159</v>
      </c>
      <c r="G308" s="10" t="s">
        <v>132</v>
      </c>
      <c r="H308" s="143" t="s">
        <v>3586</v>
      </c>
    </row>
    <row r="309" spans="1:8" x14ac:dyDescent="0.25">
      <c r="A309">
        <v>1</v>
      </c>
      <c r="B309" s="129" t="s">
        <v>3555</v>
      </c>
      <c r="C309" s="10" t="s">
        <v>455</v>
      </c>
      <c r="D309" s="133" t="s">
        <v>3034</v>
      </c>
      <c r="E309" s="9" t="s">
        <v>2279</v>
      </c>
      <c r="F309" s="11" t="s">
        <v>59</v>
      </c>
      <c r="G309" s="10" t="s">
        <v>2074</v>
      </c>
      <c r="H309" s="143" t="s">
        <v>3588</v>
      </c>
    </row>
    <row r="310" spans="1:8" x14ac:dyDescent="0.25">
      <c r="A310">
        <v>1</v>
      </c>
      <c r="B310" s="10" t="s">
        <v>2319</v>
      </c>
      <c r="C310" s="10" t="s">
        <v>54</v>
      </c>
      <c r="D310" s="144" t="s">
        <v>3034</v>
      </c>
      <c r="E310" s="9" t="s">
        <v>2237</v>
      </c>
      <c r="F310" s="11"/>
      <c r="G310" s="10" t="s">
        <v>2074</v>
      </c>
      <c r="H310" s="143" t="s">
        <v>3588</v>
      </c>
    </row>
    <row r="311" spans="1:8" x14ac:dyDescent="0.25">
      <c r="A311">
        <v>1</v>
      </c>
      <c r="B311" s="129" t="s">
        <v>3555</v>
      </c>
      <c r="C311" s="41" t="s">
        <v>455</v>
      </c>
      <c r="D311" s="133" t="s">
        <v>3034</v>
      </c>
      <c r="E311" s="9" t="s">
        <v>2699</v>
      </c>
      <c r="F311" s="11" t="s">
        <v>59</v>
      </c>
      <c r="G311" s="10" t="s">
        <v>1842</v>
      </c>
      <c r="H311" s="143" t="s">
        <v>3588</v>
      </c>
    </row>
    <row r="312" spans="1:8" x14ac:dyDescent="0.25">
      <c r="A312">
        <v>1</v>
      </c>
      <c r="B312" s="10" t="s">
        <v>28</v>
      </c>
      <c r="C312" s="41" t="s">
        <v>29</v>
      </c>
      <c r="D312" s="144" t="s">
        <v>3034</v>
      </c>
      <c r="E312" s="9" t="s">
        <v>2728</v>
      </c>
      <c r="F312" s="11"/>
      <c r="G312" s="10" t="s">
        <v>1842</v>
      </c>
      <c r="H312" s="143" t="s">
        <v>3588</v>
      </c>
    </row>
    <row r="313" spans="1:8" x14ac:dyDescent="0.25">
      <c r="A313">
        <v>1</v>
      </c>
      <c r="B313" s="10" t="s">
        <v>61</v>
      </c>
      <c r="C313" s="41" t="s">
        <v>2990</v>
      </c>
      <c r="D313" s="133" t="s">
        <v>3034</v>
      </c>
      <c r="E313" s="9" t="s">
        <v>2739</v>
      </c>
      <c r="F313" s="11"/>
      <c r="G313" s="10" t="s">
        <v>1842</v>
      </c>
      <c r="H313" s="143" t="s">
        <v>3588</v>
      </c>
    </row>
    <row r="314" spans="1:8" x14ac:dyDescent="0.25">
      <c r="A314">
        <v>1</v>
      </c>
      <c r="B314" s="129" t="s">
        <v>3554</v>
      </c>
      <c r="C314" s="44" t="s">
        <v>64</v>
      </c>
      <c r="D314" s="144" t="s">
        <v>3034</v>
      </c>
      <c r="E314" s="9" t="s">
        <v>2938</v>
      </c>
      <c r="F314" s="11" t="s">
        <v>66</v>
      </c>
      <c r="G314" s="45" t="s">
        <v>3481</v>
      </c>
      <c r="H314" s="143" t="s">
        <v>3588</v>
      </c>
    </row>
    <row r="315" spans="1:8" x14ac:dyDescent="0.25">
      <c r="A315">
        <v>1</v>
      </c>
      <c r="B315" s="129" t="s">
        <v>3555</v>
      </c>
      <c r="C315" s="41" t="s">
        <v>455</v>
      </c>
      <c r="D315" s="133" t="s">
        <v>3034</v>
      </c>
      <c r="E315" s="9" t="s">
        <v>2869</v>
      </c>
      <c r="F315" s="11"/>
      <c r="G315" s="45" t="s">
        <v>3481</v>
      </c>
      <c r="H315" s="143" t="s">
        <v>3588</v>
      </c>
    </row>
    <row r="316" spans="1:8" x14ac:dyDescent="0.25">
      <c r="A316">
        <v>1</v>
      </c>
      <c r="B316" s="129" t="s">
        <v>3555</v>
      </c>
      <c r="C316" s="41" t="s">
        <v>2151</v>
      </c>
      <c r="D316" s="144" t="s">
        <v>3034</v>
      </c>
      <c r="E316" s="9" t="s">
        <v>2897</v>
      </c>
      <c r="F316" s="11" t="s">
        <v>2898</v>
      </c>
      <c r="G316" s="45" t="s">
        <v>3481</v>
      </c>
      <c r="H316" s="143" t="s">
        <v>3588</v>
      </c>
    </row>
    <row r="317" spans="1:8" x14ac:dyDescent="0.25">
      <c r="A317">
        <v>1</v>
      </c>
      <c r="B317" s="129" t="s">
        <v>3555</v>
      </c>
      <c r="C317" s="41" t="s">
        <v>2988</v>
      </c>
      <c r="D317" s="133" t="s">
        <v>3034</v>
      </c>
      <c r="E317" s="9" t="s">
        <v>2900</v>
      </c>
      <c r="F317" s="11" t="s">
        <v>124</v>
      </c>
      <c r="G317" s="45" t="s">
        <v>3481</v>
      </c>
      <c r="H317" s="143" t="s">
        <v>3588</v>
      </c>
    </row>
    <row r="318" spans="1:8" x14ac:dyDescent="0.25">
      <c r="A318">
        <v>1</v>
      </c>
      <c r="B318" s="10" t="s">
        <v>2978</v>
      </c>
      <c r="C318" s="41" t="s">
        <v>2982</v>
      </c>
      <c r="D318" s="144" t="s">
        <v>3034</v>
      </c>
      <c r="E318" s="9" t="s">
        <v>2926</v>
      </c>
      <c r="F318" s="11"/>
      <c r="G318" s="45" t="s">
        <v>3481</v>
      </c>
      <c r="H318" s="143" t="s">
        <v>3588</v>
      </c>
    </row>
    <row r="319" spans="1:8" x14ac:dyDescent="0.25">
      <c r="A319">
        <v>1</v>
      </c>
      <c r="B319" s="10" t="s">
        <v>370</v>
      </c>
      <c r="C319" s="10" t="s">
        <v>608</v>
      </c>
      <c r="D319" s="144" t="s">
        <v>3034</v>
      </c>
      <c r="E319" s="9"/>
      <c r="F319" s="11"/>
      <c r="G319" s="45" t="s">
        <v>3481</v>
      </c>
      <c r="H319" s="143" t="s">
        <v>3588</v>
      </c>
    </row>
    <row r="320" spans="1:8" x14ac:dyDescent="0.25">
      <c r="A320">
        <v>1</v>
      </c>
      <c r="B320" s="10" t="s">
        <v>18</v>
      </c>
      <c r="C320" s="41" t="s">
        <v>32</v>
      </c>
      <c r="D320" s="133" t="s">
        <v>1843</v>
      </c>
      <c r="E320" s="9" t="s">
        <v>2873</v>
      </c>
      <c r="F320" s="135" t="s">
        <v>969</v>
      </c>
      <c r="G320" s="45" t="s">
        <v>3481</v>
      </c>
      <c r="H320" s="143" t="s">
        <v>3588</v>
      </c>
    </row>
    <row r="321" spans="1:8" hidden="1" x14ac:dyDescent="0.25">
      <c r="B321" s="10" t="s">
        <v>18</v>
      </c>
      <c r="C321" s="41" t="s">
        <v>32</v>
      </c>
      <c r="D321" s="144"/>
      <c r="E321" s="9" t="s">
        <v>2880</v>
      </c>
      <c r="F321" s="135" t="s">
        <v>969</v>
      </c>
      <c r="G321" s="45" t="s">
        <v>3481</v>
      </c>
      <c r="H321" s="143" t="s">
        <v>3588</v>
      </c>
    </row>
    <row r="322" spans="1:8" hidden="1" x14ac:dyDescent="0.25">
      <c r="B322" s="10" t="s">
        <v>18</v>
      </c>
      <c r="C322" s="41" t="s">
        <v>32</v>
      </c>
      <c r="D322" s="133"/>
      <c r="E322" s="9" t="s">
        <v>2881</v>
      </c>
      <c r="F322" s="135" t="s">
        <v>969</v>
      </c>
      <c r="G322" s="45" t="s">
        <v>3481</v>
      </c>
      <c r="H322" s="143" t="s">
        <v>3588</v>
      </c>
    </row>
    <row r="323" spans="1:8" x14ac:dyDescent="0.25">
      <c r="A323">
        <v>1</v>
      </c>
      <c r="B323" s="10" t="s">
        <v>18</v>
      </c>
      <c r="C323" s="41" t="s">
        <v>3466</v>
      </c>
      <c r="D323" s="144" t="s">
        <v>1843</v>
      </c>
      <c r="E323" s="9" t="s">
        <v>2882</v>
      </c>
      <c r="F323" s="11"/>
      <c r="G323" s="45" t="s">
        <v>3481</v>
      </c>
      <c r="H323" s="143" t="s">
        <v>3588</v>
      </c>
    </row>
    <row r="324" spans="1:8" hidden="1" x14ac:dyDescent="0.25">
      <c r="B324" s="10" t="s">
        <v>2303</v>
      </c>
      <c r="C324" s="31" t="s">
        <v>2302</v>
      </c>
      <c r="D324" s="133"/>
      <c r="E324" s="9" t="s">
        <v>1889</v>
      </c>
      <c r="F324" s="11" t="s">
        <v>124</v>
      </c>
      <c r="G324" s="45" t="s">
        <v>3481</v>
      </c>
      <c r="H324" s="143" t="s">
        <v>3588</v>
      </c>
    </row>
    <row r="325" spans="1:8" hidden="1" x14ac:dyDescent="0.25">
      <c r="B325" s="10" t="s">
        <v>2303</v>
      </c>
      <c r="C325" s="10" t="s">
        <v>2302</v>
      </c>
      <c r="D325" s="144"/>
      <c r="E325" s="9" t="s">
        <v>1862</v>
      </c>
      <c r="F325" s="11" t="s">
        <v>124</v>
      </c>
      <c r="G325" s="45" t="s">
        <v>3481</v>
      </c>
      <c r="H325" s="143" t="s">
        <v>3588</v>
      </c>
    </row>
    <row r="326" spans="1:8" x14ac:dyDescent="0.25">
      <c r="A326">
        <v>1</v>
      </c>
      <c r="B326" s="133" t="s">
        <v>3601</v>
      </c>
      <c r="C326" s="41" t="s">
        <v>2981</v>
      </c>
      <c r="D326" s="144" t="s">
        <v>3034</v>
      </c>
      <c r="E326" s="9" t="s">
        <v>2929</v>
      </c>
      <c r="F326" s="11"/>
      <c r="G326" s="45" t="s">
        <v>3481</v>
      </c>
      <c r="H326" s="143" t="s">
        <v>3588</v>
      </c>
    </row>
    <row r="327" spans="1:8" x14ac:dyDescent="0.25">
      <c r="A327">
        <v>1</v>
      </c>
      <c r="B327" s="10" t="s">
        <v>444</v>
      </c>
      <c r="C327" s="44" t="s">
        <v>445</v>
      </c>
      <c r="D327" s="133" t="s">
        <v>3034</v>
      </c>
      <c r="E327" s="9" t="s">
        <v>752</v>
      </c>
      <c r="F327" s="11" t="s">
        <v>232</v>
      </c>
      <c r="G327" s="45" t="s">
        <v>3481</v>
      </c>
      <c r="H327" s="143" t="s">
        <v>3588</v>
      </c>
    </row>
    <row r="328" spans="1:8" x14ac:dyDescent="0.25">
      <c r="A328">
        <v>1</v>
      </c>
      <c r="B328" s="10" t="s">
        <v>444</v>
      </c>
      <c r="C328" s="41" t="s">
        <v>3470</v>
      </c>
      <c r="D328" s="144" t="s">
        <v>3034</v>
      </c>
      <c r="E328" s="9" t="s">
        <v>2841</v>
      </c>
      <c r="F328" s="11" t="s">
        <v>232</v>
      </c>
      <c r="G328" s="45" t="s">
        <v>3481</v>
      </c>
      <c r="H328" s="143" t="s">
        <v>3588</v>
      </c>
    </row>
    <row r="329" spans="1:8" x14ac:dyDescent="0.25">
      <c r="A329">
        <v>1</v>
      </c>
      <c r="B329" s="10" t="s">
        <v>1399</v>
      </c>
      <c r="C329" s="44" t="s">
        <v>2980</v>
      </c>
      <c r="D329" s="133" t="s">
        <v>3034</v>
      </c>
      <c r="E329" s="9" t="s">
        <v>2931</v>
      </c>
      <c r="F329" s="11" t="s">
        <v>41</v>
      </c>
      <c r="G329" s="45" t="s">
        <v>3481</v>
      </c>
      <c r="H329" s="143" t="s">
        <v>3588</v>
      </c>
    </row>
    <row r="330" spans="1:8" x14ac:dyDescent="0.25">
      <c r="A330">
        <v>1</v>
      </c>
      <c r="B330" s="10" t="s">
        <v>61</v>
      </c>
      <c r="C330" s="41" t="s">
        <v>2990</v>
      </c>
      <c r="D330" s="144" t="s">
        <v>3034</v>
      </c>
      <c r="E330" s="9" t="s">
        <v>2891</v>
      </c>
      <c r="F330" s="11"/>
      <c r="G330" s="45" t="s">
        <v>3481</v>
      </c>
      <c r="H330" s="143" t="s">
        <v>3588</v>
      </c>
    </row>
    <row r="331" spans="1:8" x14ac:dyDescent="0.25">
      <c r="A331">
        <v>1</v>
      </c>
      <c r="B331" s="10" t="s">
        <v>61</v>
      </c>
      <c r="C331" s="41" t="s">
        <v>62</v>
      </c>
      <c r="D331" s="133" t="s">
        <v>3034</v>
      </c>
      <c r="E331" s="9" t="s">
        <v>2892</v>
      </c>
      <c r="F331" s="11" t="s">
        <v>2893</v>
      </c>
      <c r="G331" s="45" t="s">
        <v>3481</v>
      </c>
      <c r="H331" s="143" t="s">
        <v>3588</v>
      </c>
    </row>
    <row r="332" spans="1:8" x14ac:dyDescent="0.25">
      <c r="A332">
        <v>1</v>
      </c>
      <c r="B332" s="10" t="s">
        <v>3608</v>
      </c>
      <c r="C332" s="10" t="s">
        <v>2902</v>
      </c>
      <c r="D332" s="144" t="s">
        <v>3034</v>
      </c>
      <c r="E332" s="9" t="s">
        <v>2903</v>
      </c>
      <c r="F332" s="11" t="s">
        <v>2904</v>
      </c>
      <c r="G332" s="45" t="s">
        <v>3481</v>
      </c>
      <c r="H332" s="143" t="s">
        <v>3588</v>
      </c>
    </row>
    <row r="333" spans="1:8" x14ac:dyDescent="0.25">
      <c r="A333">
        <v>1</v>
      </c>
      <c r="B333" s="10" t="s">
        <v>3599</v>
      </c>
      <c r="C333" s="10" t="s">
        <v>2905</v>
      </c>
      <c r="D333" s="133" t="s">
        <v>3034</v>
      </c>
      <c r="E333" s="9" t="s">
        <v>2906</v>
      </c>
      <c r="F333" s="11" t="s">
        <v>2907</v>
      </c>
      <c r="G333" s="45" t="s">
        <v>3481</v>
      </c>
      <c r="H333" s="143" t="s">
        <v>3588</v>
      </c>
    </row>
    <row r="334" spans="1:8" x14ac:dyDescent="0.25">
      <c r="A334">
        <v>1</v>
      </c>
      <c r="B334" s="10" t="s">
        <v>3609</v>
      </c>
      <c r="C334" s="41" t="s">
        <v>2987</v>
      </c>
      <c r="D334" s="144" t="s">
        <v>3034</v>
      </c>
      <c r="E334" s="9" t="s">
        <v>2909</v>
      </c>
      <c r="F334" s="11" t="s">
        <v>2910</v>
      </c>
      <c r="G334" s="45" t="s">
        <v>3481</v>
      </c>
      <c r="H334" s="143" t="s">
        <v>3588</v>
      </c>
    </row>
    <row r="335" spans="1:8" x14ac:dyDescent="0.25">
      <c r="A335">
        <v>1</v>
      </c>
      <c r="B335" s="10" t="s">
        <v>3610</v>
      </c>
      <c r="C335" s="41" t="s">
        <v>2986</v>
      </c>
      <c r="D335" s="133" t="s">
        <v>3034</v>
      </c>
      <c r="E335" s="9" t="s">
        <v>2912</v>
      </c>
      <c r="F335" s="11" t="s">
        <v>159</v>
      </c>
      <c r="G335" s="45" t="s">
        <v>3481</v>
      </c>
      <c r="H335" s="143" t="s">
        <v>3588</v>
      </c>
    </row>
    <row r="336" spans="1:8" x14ac:dyDescent="0.25">
      <c r="A336">
        <v>1</v>
      </c>
      <c r="B336" s="10" t="s">
        <v>3591</v>
      </c>
      <c r="C336" s="41" t="s">
        <v>2985</v>
      </c>
      <c r="D336" s="144" t="s">
        <v>3034</v>
      </c>
      <c r="E336" s="9" t="s">
        <v>2914</v>
      </c>
      <c r="F336" s="11"/>
      <c r="G336" s="45" t="s">
        <v>3481</v>
      </c>
      <c r="H336" s="143" t="s">
        <v>3588</v>
      </c>
    </row>
    <row r="337" spans="1:8" x14ac:dyDescent="0.25">
      <c r="A337">
        <v>1</v>
      </c>
      <c r="B337" s="10" t="s">
        <v>3592</v>
      </c>
      <c r="C337" s="44" t="s">
        <v>1270</v>
      </c>
      <c r="D337" s="133" t="s">
        <v>3034</v>
      </c>
      <c r="E337" s="9" t="s">
        <v>2916</v>
      </c>
      <c r="F337" s="11" t="s">
        <v>194</v>
      </c>
      <c r="G337" s="45" t="s">
        <v>3481</v>
      </c>
      <c r="H337" s="143" t="s">
        <v>3588</v>
      </c>
    </row>
    <row r="338" spans="1:8" x14ac:dyDescent="0.25">
      <c r="A338">
        <v>1</v>
      </c>
      <c r="B338" s="10" t="s">
        <v>3593</v>
      </c>
      <c r="C338" s="41" t="s">
        <v>2984</v>
      </c>
      <c r="D338" s="144" t="s">
        <v>3034</v>
      </c>
      <c r="E338" s="9" t="s">
        <v>2918</v>
      </c>
      <c r="F338" s="11" t="s">
        <v>1370</v>
      </c>
      <c r="G338" s="45" t="s">
        <v>3481</v>
      </c>
      <c r="H338" s="143" t="s">
        <v>3588</v>
      </c>
    </row>
    <row r="339" spans="1:8" x14ac:dyDescent="0.25">
      <c r="A339">
        <v>1</v>
      </c>
      <c r="B339" s="10" t="s">
        <v>3611</v>
      </c>
      <c r="C339" s="41" t="s">
        <v>2983</v>
      </c>
      <c r="D339" s="133" t="s">
        <v>3034</v>
      </c>
      <c r="E339" s="9" t="s">
        <v>2920</v>
      </c>
      <c r="F339" s="11" t="s">
        <v>41</v>
      </c>
      <c r="G339" s="45" t="s">
        <v>3481</v>
      </c>
      <c r="H339" s="143" t="s">
        <v>3588</v>
      </c>
    </row>
    <row r="340" spans="1:8" x14ac:dyDescent="0.25">
      <c r="A340">
        <v>1</v>
      </c>
      <c r="B340" s="10" t="s">
        <v>3594</v>
      </c>
      <c r="C340" s="10" t="s">
        <v>1288</v>
      </c>
      <c r="D340" s="144" t="s">
        <v>3034</v>
      </c>
      <c r="E340" s="9" t="s">
        <v>2922</v>
      </c>
      <c r="F340" s="11" t="s">
        <v>79</v>
      </c>
      <c r="G340" s="45" t="s">
        <v>3481</v>
      </c>
      <c r="H340" s="143" t="s">
        <v>3588</v>
      </c>
    </row>
    <row r="341" spans="1:8" x14ac:dyDescent="0.25">
      <c r="A341">
        <v>1</v>
      </c>
      <c r="B341" s="10" t="s">
        <v>3594</v>
      </c>
      <c r="C341" s="10" t="s">
        <v>1288</v>
      </c>
      <c r="D341" s="133" t="s">
        <v>3034</v>
      </c>
      <c r="E341" s="9" t="s">
        <v>2924</v>
      </c>
      <c r="F341" s="11" t="s">
        <v>41</v>
      </c>
      <c r="G341" s="45" t="s">
        <v>3481</v>
      </c>
      <c r="H341" s="143" t="s">
        <v>3588</v>
      </c>
    </row>
    <row r="342" spans="1:8" x14ac:dyDescent="0.25">
      <c r="A342">
        <v>1</v>
      </c>
      <c r="B342" s="10" t="s">
        <v>325</v>
      </c>
      <c r="C342" s="41" t="s">
        <v>1936</v>
      </c>
      <c r="D342" s="144" t="s">
        <v>3034</v>
      </c>
      <c r="E342" s="9" t="s">
        <v>2878</v>
      </c>
      <c r="F342" s="11" t="s">
        <v>232</v>
      </c>
      <c r="G342" s="45" t="s">
        <v>3481</v>
      </c>
      <c r="H342" s="143" t="s">
        <v>3588</v>
      </c>
    </row>
    <row r="343" spans="1:8" x14ac:dyDescent="0.25">
      <c r="A343">
        <v>1</v>
      </c>
      <c r="B343" s="10" t="s">
        <v>325</v>
      </c>
      <c r="C343" s="41" t="s">
        <v>593</v>
      </c>
      <c r="D343" s="133" t="s">
        <v>3034</v>
      </c>
      <c r="E343" s="9" t="s">
        <v>2935</v>
      </c>
      <c r="F343" s="11" t="s">
        <v>2936</v>
      </c>
      <c r="G343" s="45" t="s">
        <v>3481</v>
      </c>
      <c r="H343" s="143" t="s">
        <v>3588</v>
      </c>
    </row>
    <row r="344" spans="1:8" x14ac:dyDescent="0.25">
      <c r="A344">
        <v>1</v>
      </c>
      <c r="B344" s="129" t="s">
        <v>3554</v>
      </c>
      <c r="C344" s="10" t="s">
        <v>1144</v>
      </c>
      <c r="D344" s="144" t="s">
        <v>3034</v>
      </c>
      <c r="E344" s="9" t="s">
        <v>1145</v>
      </c>
      <c r="F344" s="11" t="s">
        <v>124</v>
      </c>
      <c r="G344" s="10" t="s">
        <v>1101</v>
      </c>
      <c r="H344" s="143" t="s">
        <v>3586</v>
      </c>
    </row>
    <row r="345" spans="1:8" x14ac:dyDescent="0.25">
      <c r="A345">
        <v>1</v>
      </c>
      <c r="B345" s="26" t="s">
        <v>2319</v>
      </c>
      <c r="C345" s="41" t="s">
        <v>32</v>
      </c>
      <c r="D345" s="133" t="s">
        <v>3614</v>
      </c>
      <c r="E345" s="27" t="s">
        <v>2352</v>
      </c>
      <c r="F345" s="135" t="s">
        <v>969</v>
      </c>
      <c r="G345" s="10" t="s">
        <v>1101</v>
      </c>
      <c r="H345" s="143" t="s">
        <v>3586</v>
      </c>
    </row>
    <row r="346" spans="1:8" x14ac:dyDescent="0.25">
      <c r="A346">
        <v>1</v>
      </c>
      <c r="B346" s="10" t="s">
        <v>2303</v>
      </c>
      <c r="C346" s="44" t="s">
        <v>19</v>
      </c>
      <c r="D346" s="133" t="s">
        <v>1843</v>
      </c>
      <c r="E346" s="9" t="s">
        <v>1249</v>
      </c>
      <c r="F346" s="11" t="s">
        <v>296</v>
      </c>
      <c r="G346" s="10" t="s">
        <v>1101</v>
      </c>
      <c r="H346" s="143" t="s">
        <v>3586</v>
      </c>
    </row>
    <row r="347" spans="1:8" hidden="1" x14ac:dyDescent="0.25">
      <c r="B347" s="10" t="s">
        <v>2303</v>
      </c>
      <c r="C347" s="10" t="s">
        <v>19</v>
      </c>
      <c r="D347" s="144"/>
      <c r="E347" s="9" t="s">
        <v>1250</v>
      </c>
      <c r="F347" s="11" t="s">
        <v>66</v>
      </c>
      <c r="G347" s="10" t="s">
        <v>1101</v>
      </c>
      <c r="H347" s="143" t="s">
        <v>3586</v>
      </c>
    </row>
    <row r="348" spans="1:8" hidden="1" x14ac:dyDescent="0.25">
      <c r="B348" s="10" t="s">
        <v>2303</v>
      </c>
      <c r="C348" s="10" t="s">
        <v>19</v>
      </c>
      <c r="D348" s="133"/>
      <c r="E348" s="9" t="s">
        <v>1246</v>
      </c>
      <c r="F348" s="11" t="s">
        <v>66</v>
      </c>
      <c r="G348" s="10" t="s">
        <v>1101</v>
      </c>
      <c r="H348" s="143" t="s">
        <v>3586</v>
      </c>
    </row>
    <row r="349" spans="1:8" hidden="1" x14ac:dyDescent="0.25">
      <c r="B349" s="10" t="s">
        <v>2303</v>
      </c>
      <c r="C349" s="10" t="s">
        <v>69</v>
      </c>
      <c r="D349" s="144"/>
      <c r="E349" s="9" t="s">
        <v>1247</v>
      </c>
      <c r="F349" s="11" t="s">
        <v>124</v>
      </c>
      <c r="G349" s="10" t="s">
        <v>1101</v>
      </c>
      <c r="H349" s="143" t="s">
        <v>3586</v>
      </c>
    </row>
    <row r="350" spans="1:8" hidden="1" x14ac:dyDescent="0.25">
      <c r="B350" s="25" t="s">
        <v>690</v>
      </c>
      <c r="C350" s="10"/>
      <c r="D350" s="133"/>
      <c r="E350" s="9"/>
      <c r="F350" s="11"/>
      <c r="G350" s="25" t="s">
        <v>1101</v>
      </c>
      <c r="H350" s="143" t="s">
        <v>3586</v>
      </c>
    </row>
    <row r="351" spans="1:8" x14ac:dyDescent="0.25">
      <c r="A351">
        <v>1</v>
      </c>
      <c r="B351" s="26" t="s">
        <v>690</v>
      </c>
      <c r="C351" s="26" t="s">
        <v>2350</v>
      </c>
      <c r="D351" s="144" t="s">
        <v>1847</v>
      </c>
      <c r="E351" s="27" t="s">
        <v>2349</v>
      </c>
      <c r="F351" s="28" t="s">
        <v>2348</v>
      </c>
      <c r="G351" s="10" t="s">
        <v>1101</v>
      </c>
      <c r="H351" s="143" t="s">
        <v>3586</v>
      </c>
    </row>
    <row r="352" spans="1:8" hidden="1" x14ac:dyDescent="0.25">
      <c r="B352" s="26" t="s">
        <v>690</v>
      </c>
      <c r="C352" s="26" t="s">
        <v>2350</v>
      </c>
      <c r="D352" s="133"/>
      <c r="E352" s="27" t="s">
        <v>2351</v>
      </c>
      <c r="F352" s="28" t="s">
        <v>2348</v>
      </c>
      <c r="G352" s="10" t="s">
        <v>1101</v>
      </c>
      <c r="H352" s="143" t="s">
        <v>3586</v>
      </c>
    </row>
    <row r="353" spans="1:8" hidden="1" x14ac:dyDescent="0.25">
      <c r="B353" s="26" t="s">
        <v>690</v>
      </c>
      <c r="C353" s="10"/>
      <c r="D353" s="144"/>
      <c r="E353" s="9"/>
      <c r="F353" s="11"/>
      <c r="G353" s="10" t="s">
        <v>1101</v>
      </c>
      <c r="H353" s="143" t="s">
        <v>3586</v>
      </c>
    </row>
    <row r="354" spans="1:8" x14ac:dyDescent="0.25">
      <c r="A354">
        <v>1</v>
      </c>
      <c r="B354" s="10" t="s">
        <v>61</v>
      </c>
      <c r="C354" s="10" t="s">
        <v>62</v>
      </c>
      <c r="D354" s="133" t="s">
        <v>3034</v>
      </c>
      <c r="E354" s="9" t="s">
        <v>1248</v>
      </c>
      <c r="F354" s="11"/>
      <c r="G354" s="10" t="s">
        <v>1101</v>
      </c>
      <c r="H354" s="143" t="s">
        <v>3586</v>
      </c>
    </row>
    <row r="355" spans="1:8" x14ac:dyDescent="0.25">
      <c r="A355">
        <v>1</v>
      </c>
      <c r="B355" s="10" t="s">
        <v>325</v>
      </c>
      <c r="C355" s="10" t="s">
        <v>1147</v>
      </c>
      <c r="D355" s="144" t="s">
        <v>3034</v>
      </c>
      <c r="E355" s="9" t="s">
        <v>1148</v>
      </c>
      <c r="F355" s="11"/>
      <c r="G355" s="10" t="s">
        <v>1101</v>
      </c>
      <c r="H355" s="143" t="s">
        <v>3586</v>
      </c>
    </row>
    <row r="356" spans="1:8" x14ac:dyDescent="0.25">
      <c r="A356">
        <v>1</v>
      </c>
      <c r="B356" s="10" t="s">
        <v>325</v>
      </c>
      <c r="C356" s="10" t="s">
        <v>336</v>
      </c>
      <c r="D356" s="133" t="s">
        <v>3034</v>
      </c>
      <c r="E356" s="9" t="s">
        <v>185</v>
      </c>
      <c r="F356" s="11"/>
      <c r="G356" s="10" t="s">
        <v>1101</v>
      </c>
      <c r="H356" s="143" t="s">
        <v>3586</v>
      </c>
    </row>
    <row r="357" spans="1:8" x14ac:dyDescent="0.25">
      <c r="A357">
        <v>1</v>
      </c>
      <c r="B357" s="10" t="s">
        <v>2306</v>
      </c>
      <c r="C357" s="10" t="s">
        <v>244</v>
      </c>
      <c r="D357" s="133" t="s">
        <v>3034</v>
      </c>
      <c r="E357" s="9" t="s">
        <v>245</v>
      </c>
      <c r="F357" s="11" t="s">
        <v>246</v>
      </c>
      <c r="G357" s="10" t="s">
        <v>248</v>
      </c>
      <c r="H357" s="143" t="s">
        <v>3586</v>
      </c>
    </row>
    <row r="358" spans="1:8" x14ac:dyDescent="0.25">
      <c r="A358">
        <v>1</v>
      </c>
      <c r="B358" s="10" t="s">
        <v>2307</v>
      </c>
      <c r="C358" s="10" t="s">
        <v>268</v>
      </c>
      <c r="D358" s="144" t="s">
        <v>3034</v>
      </c>
      <c r="E358" s="9" t="s">
        <v>269</v>
      </c>
      <c r="F358" s="11" t="s">
        <v>236</v>
      </c>
      <c r="G358" s="10" t="s">
        <v>248</v>
      </c>
      <c r="H358" s="143" t="s">
        <v>3586</v>
      </c>
    </row>
    <row r="359" spans="1:8" x14ac:dyDescent="0.25">
      <c r="A359">
        <v>1</v>
      </c>
      <c r="B359" s="10" t="s">
        <v>2307</v>
      </c>
      <c r="C359" s="10" t="s">
        <v>268</v>
      </c>
      <c r="D359" s="133" t="s">
        <v>3034</v>
      </c>
      <c r="E359" s="9"/>
      <c r="F359" s="11"/>
      <c r="G359" s="10" t="s">
        <v>248</v>
      </c>
      <c r="H359" s="143" t="s">
        <v>3586</v>
      </c>
    </row>
    <row r="360" spans="1:8" x14ac:dyDescent="0.25">
      <c r="A360">
        <v>1</v>
      </c>
      <c r="B360" s="10" t="s">
        <v>2308</v>
      </c>
      <c r="C360" s="10" t="s">
        <v>272</v>
      </c>
      <c r="D360" s="144" t="s">
        <v>3034</v>
      </c>
      <c r="E360" s="9" t="s">
        <v>273</v>
      </c>
      <c r="F360" s="11" t="s">
        <v>236</v>
      </c>
      <c r="G360" s="10" t="s">
        <v>248</v>
      </c>
      <c r="H360" s="143" t="s">
        <v>3586</v>
      </c>
    </row>
    <row r="361" spans="1:8" x14ac:dyDescent="0.25">
      <c r="A361">
        <v>1</v>
      </c>
      <c r="B361" s="10" t="s">
        <v>2308</v>
      </c>
      <c r="C361" s="10" t="s">
        <v>272</v>
      </c>
      <c r="D361" s="133" t="s">
        <v>3034</v>
      </c>
      <c r="E361" s="9"/>
      <c r="F361" s="11"/>
      <c r="G361" s="10" t="s">
        <v>248</v>
      </c>
      <c r="H361" s="143" t="s">
        <v>3586</v>
      </c>
    </row>
    <row r="362" spans="1:8" x14ac:dyDescent="0.25">
      <c r="A362">
        <v>1</v>
      </c>
      <c r="B362" s="10" t="s">
        <v>2309</v>
      </c>
      <c r="C362" s="10" t="s">
        <v>250</v>
      </c>
      <c r="D362" s="144" t="s">
        <v>3034</v>
      </c>
      <c r="E362" s="9" t="s">
        <v>251</v>
      </c>
      <c r="F362" s="11" t="s">
        <v>252</v>
      </c>
      <c r="G362" s="10" t="s">
        <v>248</v>
      </c>
      <c r="H362" s="143" t="s">
        <v>3586</v>
      </c>
    </row>
    <row r="363" spans="1:8" x14ac:dyDescent="0.25">
      <c r="A363">
        <v>1</v>
      </c>
      <c r="B363" s="10" t="s">
        <v>2310</v>
      </c>
      <c r="C363" s="10" t="s">
        <v>253</v>
      </c>
      <c r="D363" s="133" t="s">
        <v>3034</v>
      </c>
      <c r="E363" s="9" t="s">
        <v>254</v>
      </c>
      <c r="F363" s="11" t="s">
        <v>255</v>
      </c>
      <c r="G363" s="10" t="s">
        <v>248</v>
      </c>
      <c r="H363" s="143" t="s">
        <v>3586</v>
      </c>
    </row>
    <row r="364" spans="1:8" x14ac:dyDescent="0.25">
      <c r="A364">
        <v>1</v>
      </c>
      <c r="B364" s="10" t="s">
        <v>2311</v>
      </c>
      <c r="C364" s="10" t="s">
        <v>274</v>
      </c>
      <c r="D364" s="144" t="s">
        <v>3034</v>
      </c>
      <c r="E364" s="9" t="s">
        <v>275</v>
      </c>
      <c r="F364" s="11" t="s">
        <v>236</v>
      </c>
      <c r="G364" s="10" t="s">
        <v>248</v>
      </c>
      <c r="H364" s="143" t="s">
        <v>3586</v>
      </c>
    </row>
    <row r="365" spans="1:8" x14ac:dyDescent="0.25">
      <c r="A365">
        <v>1</v>
      </c>
      <c r="B365" s="33" t="s">
        <v>2311</v>
      </c>
      <c r="C365" s="10" t="s">
        <v>274</v>
      </c>
      <c r="D365" s="133" t="s">
        <v>3034</v>
      </c>
      <c r="E365" s="9"/>
      <c r="F365" s="11"/>
      <c r="G365" s="10" t="s">
        <v>248</v>
      </c>
      <c r="H365" s="143" t="s">
        <v>3586</v>
      </c>
    </row>
    <row r="366" spans="1:8" x14ac:dyDescent="0.25">
      <c r="A366">
        <v>1</v>
      </c>
      <c r="B366" s="10" t="s">
        <v>2312</v>
      </c>
      <c r="C366" s="10" t="s">
        <v>257</v>
      </c>
      <c r="D366" s="144" t="s">
        <v>3034</v>
      </c>
      <c r="E366" s="9" t="s">
        <v>258</v>
      </c>
      <c r="F366" s="11" t="s">
        <v>246</v>
      </c>
      <c r="G366" s="10" t="s">
        <v>248</v>
      </c>
      <c r="H366" s="143" t="s">
        <v>3586</v>
      </c>
    </row>
    <row r="367" spans="1:8" x14ac:dyDescent="0.25">
      <c r="A367">
        <v>1</v>
      </c>
      <c r="B367" s="10" t="s">
        <v>2313</v>
      </c>
      <c r="C367" s="10" t="s">
        <v>259</v>
      </c>
      <c r="D367" s="133" t="s">
        <v>3034</v>
      </c>
      <c r="E367" s="9" t="s">
        <v>260</v>
      </c>
      <c r="F367" s="11" t="s">
        <v>261</v>
      </c>
      <c r="G367" s="10" t="s">
        <v>248</v>
      </c>
      <c r="H367" s="143" t="s">
        <v>3586</v>
      </c>
    </row>
    <row r="368" spans="1:8" x14ac:dyDescent="0.25">
      <c r="A368">
        <v>1</v>
      </c>
      <c r="B368" s="10" t="s">
        <v>2314</v>
      </c>
      <c r="C368" s="10" t="s">
        <v>276</v>
      </c>
      <c r="D368" s="144" t="s">
        <v>3034</v>
      </c>
      <c r="E368" s="9" t="s">
        <v>277</v>
      </c>
      <c r="F368" s="11" t="s">
        <v>278</v>
      </c>
      <c r="G368" s="10" t="s">
        <v>248</v>
      </c>
      <c r="H368" s="143" t="s">
        <v>3586</v>
      </c>
    </row>
    <row r="369" spans="1:8" x14ac:dyDescent="0.25">
      <c r="A369">
        <v>1</v>
      </c>
      <c r="B369" s="10" t="s">
        <v>2314</v>
      </c>
      <c r="C369" s="10" t="s">
        <v>276</v>
      </c>
      <c r="D369" s="133" t="s">
        <v>3034</v>
      </c>
      <c r="E369" s="9"/>
      <c r="F369" s="11"/>
      <c r="G369" s="10" t="s">
        <v>248</v>
      </c>
      <c r="H369" s="143" t="s">
        <v>3586</v>
      </c>
    </row>
    <row r="370" spans="1:8" x14ac:dyDescent="0.25">
      <c r="A370">
        <v>1</v>
      </c>
      <c r="B370" s="10" t="s">
        <v>2315</v>
      </c>
      <c r="C370" s="10" t="s">
        <v>262</v>
      </c>
      <c r="D370" s="144" t="s">
        <v>3034</v>
      </c>
      <c r="E370" s="9" t="s">
        <v>263</v>
      </c>
      <c r="F370" s="11"/>
      <c r="G370" s="10" t="s">
        <v>248</v>
      </c>
      <c r="H370" s="143" t="s">
        <v>3586</v>
      </c>
    </row>
    <row r="371" spans="1:8" x14ac:dyDescent="0.25">
      <c r="A371">
        <v>1</v>
      </c>
      <c r="B371" s="10" t="s">
        <v>2303</v>
      </c>
      <c r="C371" s="10" t="s">
        <v>19</v>
      </c>
      <c r="D371" s="133" t="s">
        <v>3034</v>
      </c>
      <c r="E371" s="9" t="s">
        <v>298</v>
      </c>
      <c r="F371" s="11" t="s">
        <v>124</v>
      </c>
      <c r="G371" s="10" t="s">
        <v>248</v>
      </c>
      <c r="H371" s="143" t="s">
        <v>3586</v>
      </c>
    </row>
    <row r="372" spans="1:8" x14ac:dyDescent="0.25">
      <c r="A372">
        <v>1</v>
      </c>
      <c r="B372" s="133" t="s">
        <v>3623</v>
      </c>
      <c r="C372" s="10" t="s">
        <v>300</v>
      </c>
      <c r="D372" s="144" t="s">
        <v>3615</v>
      </c>
      <c r="E372" s="9">
        <v>330</v>
      </c>
      <c r="F372" s="11"/>
      <c r="G372" s="10" t="s">
        <v>248</v>
      </c>
      <c r="H372" s="143" t="s">
        <v>3586</v>
      </c>
    </row>
    <row r="373" spans="1:8" hidden="1" x14ac:dyDescent="0.25">
      <c r="B373" s="133" t="s">
        <v>3623</v>
      </c>
      <c r="C373" s="10" t="s">
        <v>300</v>
      </c>
      <c r="D373" s="133"/>
      <c r="E373" s="9">
        <v>331</v>
      </c>
      <c r="F373" s="11"/>
      <c r="G373" s="10" t="s">
        <v>248</v>
      </c>
      <c r="H373" s="143" t="s">
        <v>3586</v>
      </c>
    </row>
    <row r="374" spans="1:8" hidden="1" x14ac:dyDescent="0.25">
      <c r="B374" s="133" t="s">
        <v>3623</v>
      </c>
      <c r="C374" s="10" t="s">
        <v>300</v>
      </c>
      <c r="D374" s="144"/>
      <c r="E374" s="9">
        <v>329</v>
      </c>
      <c r="F374" s="11"/>
      <c r="G374" s="10" t="s">
        <v>248</v>
      </c>
      <c r="H374" s="143" t="s">
        <v>3586</v>
      </c>
    </row>
    <row r="375" spans="1:8" hidden="1" x14ac:dyDescent="0.25">
      <c r="B375" s="133" t="s">
        <v>3623</v>
      </c>
      <c r="C375" s="10" t="s">
        <v>300</v>
      </c>
      <c r="D375" s="133"/>
      <c r="E375" s="9">
        <v>287</v>
      </c>
      <c r="F375" s="11"/>
      <c r="G375" s="10" t="s">
        <v>248</v>
      </c>
      <c r="H375" s="143" t="s">
        <v>3586</v>
      </c>
    </row>
    <row r="376" spans="1:8" hidden="1" x14ac:dyDescent="0.25">
      <c r="B376" s="133" t="s">
        <v>3623</v>
      </c>
      <c r="C376" s="10" t="s">
        <v>305</v>
      </c>
      <c r="D376" s="144"/>
      <c r="E376" s="9">
        <v>4164</v>
      </c>
      <c r="F376" s="11"/>
      <c r="G376" s="10" t="s">
        <v>248</v>
      </c>
      <c r="H376" s="143" t="s">
        <v>3586</v>
      </c>
    </row>
    <row r="377" spans="1:8" hidden="1" x14ac:dyDescent="0.25">
      <c r="B377" s="133" t="s">
        <v>3623</v>
      </c>
      <c r="C377" s="10" t="s">
        <v>305</v>
      </c>
      <c r="D377" s="133"/>
      <c r="E377" s="9">
        <v>4163</v>
      </c>
      <c r="F377" s="11"/>
      <c r="G377" s="10" t="s">
        <v>248</v>
      </c>
      <c r="H377" s="143" t="s">
        <v>3586</v>
      </c>
    </row>
    <row r="378" spans="1:8" hidden="1" x14ac:dyDescent="0.25">
      <c r="B378" s="133" t="s">
        <v>3623</v>
      </c>
      <c r="C378" s="10" t="s">
        <v>338</v>
      </c>
      <c r="D378" s="144"/>
      <c r="E378" s="9"/>
      <c r="F378" s="11"/>
      <c r="G378" s="10" t="s">
        <v>248</v>
      </c>
      <c r="H378" s="143" t="s">
        <v>3586</v>
      </c>
    </row>
    <row r="379" spans="1:8" hidden="1" x14ac:dyDescent="0.25">
      <c r="B379" s="133" t="s">
        <v>3623</v>
      </c>
      <c r="C379" s="10" t="s">
        <v>338</v>
      </c>
      <c r="D379" s="133"/>
      <c r="E379" s="9"/>
      <c r="F379" s="11"/>
      <c r="G379" s="10" t="s">
        <v>248</v>
      </c>
      <c r="H379" s="143" t="s">
        <v>3586</v>
      </c>
    </row>
    <row r="380" spans="1:8" x14ac:dyDescent="0.25">
      <c r="A380">
        <v>1</v>
      </c>
      <c r="B380" s="10" t="s">
        <v>311</v>
      </c>
      <c r="C380" s="10" t="s">
        <v>307</v>
      </c>
      <c r="D380" s="144" t="s">
        <v>1847</v>
      </c>
      <c r="E380" s="9">
        <v>929</v>
      </c>
      <c r="F380" s="11"/>
      <c r="G380" s="10" t="s">
        <v>248</v>
      </c>
      <c r="H380" s="143" t="s">
        <v>3586</v>
      </c>
    </row>
    <row r="381" spans="1:8" hidden="1" x14ac:dyDescent="0.25">
      <c r="B381" s="10" t="s">
        <v>311</v>
      </c>
      <c r="C381" s="10" t="s">
        <v>307</v>
      </c>
      <c r="D381" s="133"/>
      <c r="E381" s="9">
        <v>930</v>
      </c>
      <c r="F381" s="11"/>
      <c r="G381" s="10" t="s">
        <v>248</v>
      </c>
      <c r="H381" s="143" t="s">
        <v>3586</v>
      </c>
    </row>
    <row r="382" spans="1:8" hidden="1" x14ac:dyDescent="0.25">
      <c r="B382" s="10" t="s">
        <v>311</v>
      </c>
      <c r="C382" s="10" t="s">
        <v>307</v>
      </c>
      <c r="D382" s="144"/>
      <c r="E382" s="9">
        <v>973</v>
      </c>
      <c r="F382" s="11"/>
      <c r="G382" s="10" t="s">
        <v>248</v>
      </c>
      <c r="H382" s="143" t="s">
        <v>3586</v>
      </c>
    </row>
    <row r="383" spans="1:8" hidden="1" x14ac:dyDescent="0.25">
      <c r="B383" s="10" t="s">
        <v>311</v>
      </c>
      <c r="C383" s="10" t="s">
        <v>307</v>
      </c>
      <c r="D383" s="133"/>
      <c r="E383" s="9">
        <v>972</v>
      </c>
      <c r="F383" s="11"/>
      <c r="G383" s="10" t="s">
        <v>248</v>
      </c>
      <c r="H383" s="143" t="s">
        <v>3586</v>
      </c>
    </row>
    <row r="384" spans="1:8" x14ac:dyDescent="0.25">
      <c r="A384">
        <v>1</v>
      </c>
      <c r="B384" s="10" t="s">
        <v>311</v>
      </c>
      <c r="C384" s="10" t="s">
        <v>312</v>
      </c>
      <c r="D384" s="144" t="s">
        <v>1847</v>
      </c>
      <c r="E384" s="9" t="s">
        <v>313</v>
      </c>
      <c r="F384" s="11" t="s">
        <v>124</v>
      </c>
      <c r="G384" s="10" t="s">
        <v>248</v>
      </c>
      <c r="H384" s="143" t="s">
        <v>3586</v>
      </c>
    </row>
    <row r="385" spans="1:8" hidden="1" x14ac:dyDescent="0.25">
      <c r="B385" s="10" t="s">
        <v>311</v>
      </c>
      <c r="C385" s="10" t="s">
        <v>312</v>
      </c>
      <c r="D385" s="133"/>
      <c r="E385" s="9" t="s">
        <v>315</v>
      </c>
      <c r="F385" s="11" t="s">
        <v>124</v>
      </c>
      <c r="G385" s="10" t="s">
        <v>248</v>
      </c>
      <c r="H385" s="143" t="s">
        <v>3586</v>
      </c>
    </row>
    <row r="386" spans="1:8" hidden="1" x14ac:dyDescent="0.25">
      <c r="B386" s="10" t="s">
        <v>311</v>
      </c>
      <c r="C386" s="10" t="s">
        <v>312</v>
      </c>
      <c r="D386" s="144"/>
      <c r="E386" s="9">
        <v>13100181</v>
      </c>
      <c r="F386" s="11"/>
      <c r="G386" s="10" t="s">
        <v>248</v>
      </c>
      <c r="H386" s="143" t="s">
        <v>3586</v>
      </c>
    </row>
    <row r="387" spans="1:8" hidden="1" x14ac:dyDescent="0.25">
      <c r="B387" s="10" t="s">
        <v>311</v>
      </c>
      <c r="C387" s="10" t="s">
        <v>312</v>
      </c>
      <c r="D387" s="133"/>
      <c r="E387" s="2">
        <v>13100182</v>
      </c>
      <c r="F387" s="1"/>
      <c r="G387" s="3" t="s">
        <v>248</v>
      </c>
      <c r="H387" s="143" t="s">
        <v>3586</v>
      </c>
    </row>
    <row r="388" spans="1:8" x14ac:dyDescent="0.25">
      <c r="A388">
        <v>1</v>
      </c>
      <c r="B388" s="10" t="s">
        <v>311</v>
      </c>
      <c r="C388" s="10" t="s">
        <v>319</v>
      </c>
      <c r="D388" s="144" t="s">
        <v>1843</v>
      </c>
      <c r="E388" s="2" t="s">
        <v>320</v>
      </c>
      <c r="F388" s="1"/>
      <c r="G388" s="3" t="s">
        <v>248</v>
      </c>
      <c r="H388" s="143" t="s">
        <v>3586</v>
      </c>
    </row>
    <row r="389" spans="1:8" hidden="1" x14ac:dyDescent="0.25">
      <c r="B389" s="10" t="s">
        <v>311</v>
      </c>
      <c r="C389" s="10" t="s">
        <v>319</v>
      </c>
      <c r="D389" s="133"/>
      <c r="E389" s="2" t="s">
        <v>321</v>
      </c>
      <c r="F389" s="1"/>
      <c r="G389" s="3" t="s">
        <v>248</v>
      </c>
      <c r="H389" s="143" t="s">
        <v>3586</v>
      </c>
    </row>
    <row r="390" spans="1:8" hidden="1" x14ac:dyDescent="0.25">
      <c r="B390" s="10" t="s">
        <v>311</v>
      </c>
      <c r="C390" s="10" t="s">
        <v>319</v>
      </c>
      <c r="D390" s="144"/>
      <c r="E390" s="2" t="s">
        <v>323</v>
      </c>
      <c r="F390" s="1"/>
      <c r="G390" s="3" t="s">
        <v>248</v>
      </c>
      <c r="H390" s="143" t="s">
        <v>3586</v>
      </c>
    </row>
    <row r="391" spans="1:8" x14ac:dyDescent="0.25">
      <c r="A391">
        <v>1</v>
      </c>
      <c r="B391" s="10" t="s">
        <v>2305</v>
      </c>
      <c r="C391" s="10" t="s">
        <v>266</v>
      </c>
      <c r="D391" s="133" t="s">
        <v>3034</v>
      </c>
      <c r="E391" s="2" t="s">
        <v>267</v>
      </c>
      <c r="F391" s="1"/>
      <c r="G391" s="3" t="s">
        <v>248</v>
      </c>
      <c r="H391" s="143" t="s">
        <v>3586</v>
      </c>
    </row>
    <row r="392" spans="1:8" x14ac:dyDescent="0.25">
      <c r="A392">
        <v>1</v>
      </c>
      <c r="B392" s="10" t="s">
        <v>2305</v>
      </c>
      <c r="C392" s="33" t="s">
        <v>2382</v>
      </c>
      <c r="D392" s="144" t="s">
        <v>3034</v>
      </c>
      <c r="E392" s="9" t="s">
        <v>285</v>
      </c>
      <c r="F392" s="1"/>
      <c r="G392" s="3" t="s">
        <v>248</v>
      </c>
      <c r="H392" s="143" t="s">
        <v>3586</v>
      </c>
    </row>
    <row r="393" spans="1:8" x14ac:dyDescent="0.25">
      <c r="A393">
        <v>1</v>
      </c>
      <c r="B393" s="10" t="s">
        <v>2305</v>
      </c>
      <c r="C393" s="10" t="s">
        <v>286</v>
      </c>
      <c r="D393" s="133" t="s">
        <v>3034</v>
      </c>
      <c r="E393" s="9" t="s">
        <v>287</v>
      </c>
      <c r="F393" s="1" t="s">
        <v>288</v>
      </c>
      <c r="G393" s="3" t="s">
        <v>248</v>
      </c>
      <c r="H393" s="143" t="s">
        <v>3586</v>
      </c>
    </row>
    <row r="394" spans="1:8" x14ac:dyDescent="0.25">
      <c r="A394">
        <v>1</v>
      </c>
      <c r="B394" s="133" t="s">
        <v>3624</v>
      </c>
      <c r="C394" s="10" t="s">
        <v>294</v>
      </c>
      <c r="D394" s="144" t="s">
        <v>3034</v>
      </c>
      <c r="E394" s="145" t="s">
        <v>295</v>
      </c>
      <c r="F394" s="1" t="s">
        <v>296</v>
      </c>
      <c r="G394" s="3" t="s">
        <v>248</v>
      </c>
      <c r="H394" s="143" t="s">
        <v>3586</v>
      </c>
    </row>
    <row r="395" spans="1:8" x14ac:dyDescent="0.25">
      <c r="A395">
        <v>1</v>
      </c>
      <c r="B395" s="10" t="s">
        <v>325</v>
      </c>
      <c r="C395" s="10" t="s">
        <v>2327</v>
      </c>
      <c r="D395" s="144" t="s">
        <v>3034</v>
      </c>
      <c r="E395" s="2" t="s">
        <v>326</v>
      </c>
      <c r="F395" s="1" t="s">
        <v>327</v>
      </c>
      <c r="G395" s="3" t="s">
        <v>248</v>
      </c>
      <c r="H395" s="143" t="s">
        <v>3586</v>
      </c>
    </row>
    <row r="396" spans="1:8" x14ac:dyDescent="0.25">
      <c r="A396">
        <v>1</v>
      </c>
      <c r="B396" s="10" t="s">
        <v>325</v>
      </c>
      <c r="C396" s="44" t="s">
        <v>1936</v>
      </c>
      <c r="D396" s="133" t="s">
        <v>3034</v>
      </c>
      <c r="E396" s="142" t="s">
        <v>3471</v>
      </c>
      <c r="F396" s="1"/>
      <c r="G396" s="3" t="s">
        <v>248</v>
      </c>
      <c r="H396" s="143" t="s">
        <v>3586</v>
      </c>
    </row>
    <row r="397" spans="1:8" x14ac:dyDescent="0.25">
      <c r="A397">
        <v>1</v>
      </c>
      <c r="B397" s="10" t="s">
        <v>325</v>
      </c>
      <c r="C397" s="3" t="s">
        <v>330</v>
      </c>
      <c r="D397" s="144" t="s">
        <v>3034</v>
      </c>
      <c r="E397" s="2" t="s">
        <v>331</v>
      </c>
      <c r="F397" s="1" t="s">
        <v>332</v>
      </c>
      <c r="G397" s="3" t="s">
        <v>248</v>
      </c>
      <c r="H397" s="143" t="s">
        <v>3586</v>
      </c>
    </row>
    <row r="398" spans="1:8" x14ac:dyDescent="0.25">
      <c r="A398">
        <v>1</v>
      </c>
      <c r="B398" s="10" t="s">
        <v>325</v>
      </c>
      <c r="C398" s="3" t="s">
        <v>334</v>
      </c>
      <c r="D398" s="133" t="s">
        <v>3034</v>
      </c>
      <c r="E398" s="2" t="s">
        <v>185</v>
      </c>
      <c r="F398" s="1"/>
      <c r="G398" s="3" t="s">
        <v>248</v>
      </c>
      <c r="H398" s="143" t="s">
        <v>3586</v>
      </c>
    </row>
    <row r="399" spans="1:8" x14ac:dyDescent="0.25">
      <c r="A399">
        <v>1</v>
      </c>
      <c r="B399" s="10" t="s">
        <v>325</v>
      </c>
      <c r="C399" s="3" t="s">
        <v>336</v>
      </c>
      <c r="D399" s="144" t="s">
        <v>3034</v>
      </c>
      <c r="E399" s="2" t="s">
        <v>337</v>
      </c>
      <c r="F399" s="11"/>
      <c r="G399" s="3" t="s">
        <v>248</v>
      </c>
      <c r="H399" s="143" t="s">
        <v>3586</v>
      </c>
    </row>
    <row r="400" spans="1:8" x14ac:dyDescent="0.25">
      <c r="A400">
        <v>1</v>
      </c>
      <c r="B400" s="129" t="s">
        <v>3555</v>
      </c>
      <c r="C400" s="3" t="s">
        <v>455</v>
      </c>
      <c r="D400" s="133" t="s">
        <v>3034</v>
      </c>
      <c r="E400" s="2" t="s">
        <v>1074</v>
      </c>
      <c r="F400" s="1" t="s">
        <v>969</v>
      </c>
      <c r="G400" s="3" t="s">
        <v>1004</v>
      </c>
      <c r="H400" s="143" t="s">
        <v>3586</v>
      </c>
    </row>
    <row r="401" spans="1:8" x14ac:dyDescent="0.25">
      <c r="A401">
        <v>1</v>
      </c>
      <c r="B401" s="10" t="s">
        <v>2319</v>
      </c>
      <c r="C401" s="3" t="s">
        <v>2318</v>
      </c>
      <c r="D401" s="144" t="s">
        <v>3034</v>
      </c>
      <c r="E401" s="2" t="s">
        <v>1097</v>
      </c>
      <c r="F401" s="136" t="s">
        <v>969</v>
      </c>
      <c r="G401" s="3" t="s">
        <v>1004</v>
      </c>
      <c r="H401" s="143" t="s">
        <v>3586</v>
      </c>
    </row>
    <row r="402" spans="1:8" x14ac:dyDescent="0.25">
      <c r="A402">
        <v>1</v>
      </c>
      <c r="B402" s="10" t="s">
        <v>61</v>
      </c>
      <c r="C402" s="3" t="s">
        <v>62</v>
      </c>
      <c r="D402" s="133" t="s">
        <v>3034</v>
      </c>
      <c r="E402" s="9" t="s">
        <v>1096</v>
      </c>
      <c r="F402" s="11"/>
      <c r="G402" s="3" t="s">
        <v>1004</v>
      </c>
      <c r="H402" s="143" t="s">
        <v>3586</v>
      </c>
    </row>
    <row r="403" spans="1:8" x14ac:dyDescent="0.25">
      <c r="A403">
        <v>1</v>
      </c>
      <c r="B403" s="10" t="s">
        <v>325</v>
      </c>
      <c r="C403" s="10" t="s">
        <v>1936</v>
      </c>
      <c r="D403" s="144" t="s">
        <v>3034</v>
      </c>
      <c r="E403" s="9" t="s">
        <v>1094</v>
      </c>
      <c r="F403" s="11" t="s">
        <v>969</v>
      </c>
      <c r="G403" s="10" t="s">
        <v>1004</v>
      </c>
      <c r="H403" s="143" t="s">
        <v>3586</v>
      </c>
    </row>
    <row r="404" spans="1:8" x14ac:dyDescent="0.25">
      <c r="A404">
        <v>1</v>
      </c>
      <c r="B404" s="138" t="s">
        <v>3555</v>
      </c>
      <c r="C404" s="3" t="s">
        <v>455</v>
      </c>
      <c r="D404" s="133" t="s">
        <v>3034</v>
      </c>
      <c r="E404" s="2" t="s">
        <v>1758</v>
      </c>
      <c r="F404" s="1" t="s">
        <v>59</v>
      </c>
      <c r="G404" s="10" t="s">
        <v>1730</v>
      </c>
      <c r="H404" s="143" t="s">
        <v>3586</v>
      </c>
    </row>
    <row r="405" spans="1:8" hidden="1" x14ac:dyDescent="0.25">
      <c r="B405" s="3" t="s">
        <v>370</v>
      </c>
      <c r="C405" s="3" t="s">
        <v>2326</v>
      </c>
      <c r="D405" s="133"/>
      <c r="E405" s="2" t="s">
        <v>371</v>
      </c>
      <c r="F405" s="1" t="s">
        <v>232</v>
      </c>
      <c r="G405" s="133" t="s">
        <v>3625</v>
      </c>
      <c r="H405" s="143" t="s">
        <v>3586</v>
      </c>
    </row>
    <row r="406" spans="1:8" x14ac:dyDescent="0.25">
      <c r="A406">
        <v>1</v>
      </c>
      <c r="B406" s="146" t="s">
        <v>3652</v>
      </c>
      <c r="D406">
        <v>12</v>
      </c>
      <c r="G406" s="10" t="s">
        <v>1730</v>
      </c>
      <c r="H406" s="143" t="s">
        <v>3587</v>
      </c>
    </row>
    <row r="407" spans="1:8" x14ac:dyDescent="0.25">
      <c r="A407">
        <v>1</v>
      </c>
      <c r="B407" s="146" t="s">
        <v>3653</v>
      </c>
      <c r="D407">
        <v>12</v>
      </c>
      <c r="G407" s="10" t="s">
        <v>1730</v>
      </c>
      <c r="H407" s="143" t="s">
        <v>3587</v>
      </c>
    </row>
    <row r="408" spans="1:8" ht="30" x14ac:dyDescent="0.25">
      <c r="B408" s="147" t="s">
        <v>3654</v>
      </c>
      <c r="D408" s="148" t="s">
        <v>3614</v>
      </c>
    </row>
    <row r="409" spans="1:8" ht="30" x14ac:dyDescent="0.25">
      <c r="B409" s="147" t="s">
        <v>3655</v>
      </c>
      <c r="D409" s="148" t="s">
        <v>3614</v>
      </c>
    </row>
  </sheetData>
  <autoFilter ref="B1:H405" xr:uid="{00000000-0009-0000-0000-000008000000}">
    <filterColumn colId="2">
      <customFilters>
        <customFilter operator="notEqual" val=" "/>
      </customFilters>
    </filterColumn>
    <sortState xmlns:xlrd2="http://schemas.microsoft.com/office/spreadsheetml/2017/richdata2" ref="B2:H405">
      <sortCondition ref="G2:G405"/>
      <sortCondition ref="B2:B405"/>
    </sortState>
  </autoFilter>
  <phoneticPr fontId="53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3"/>
  <sheetViews>
    <sheetView topLeftCell="A43" zoomScale="70" zoomScaleNormal="70" workbookViewId="0">
      <selection activeCell="M19" sqref="M19"/>
    </sheetView>
  </sheetViews>
  <sheetFormatPr defaultRowHeight="15" x14ac:dyDescent="0.25"/>
  <cols>
    <col min="1" max="1" width="3.42578125" bestFit="1" customWidth="1"/>
    <col min="2" max="2" width="37.85546875" style="48" customWidth="1"/>
    <col min="3" max="3" width="11.85546875" style="48" bestFit="1" customWidth="1"/>
    <col min="4" max="4" width="14.140625" customWidth="1"/>
    <col min="5" max="5" width="20.85546875" style="49" customWidth="1"/>
    <col min="6" max="6" width="12.85546875" style="49" customWidth="1"/>
    <col min="7" max="7" width="3.42578125" bestFit="1" customWidth="1"/>
  </cols>
  <sheetData>
    <row r="1" spans="1:7" x14ac:dyDescent="0.25">
      <c r="A1" s="115" t="s">
        <v>1</v>
      </c>
      <c r="B1" s="98" t="s">
        <v>3479</v>
      </c>
      <c r="C1" s="99" t="s">
        <v>7</v>
      </c>
      <c r="D1" s="100" t="s">
        <v>8</v>
      </c>
      <c r="E1" s="99" t="s">
        <v>3480</v>
      </c>
      <c r="F1" s="101" t="s">
        <v>3478</v>
      </c>
      <c r="G1" s="89" t="s">
        <v>1</v>
      </c>
    </row>
    <row r="2" spans="1:7" x14ac:dyDescent="0.25">
      <c r="A2" s="107">
        <v>1</v>
      </c>
      <c r="B2" s="121" t="s">
        <v>3477</v>
      </c>
      <c r="C2" s="70" t="s">
        <v>22</v>
      </c>
      <c r="D2" s="53"/>
      <c r="E2" s="62"/>
      <c r="F2" s="82" t="s">
        <v>3497</v>
      </c>
      <c r="G2" s="90">
        <v>1</v>
      </c>
    </row>
    <row r="3" spans="1:7" x14ac:dyDescent="0.25">
      <c r="A3" s="108">
        <v>2</v>
      </c>
      <c r="B3" s="122" t="s">
        <v>3477</v>
      </c>
      <c r="C3" s="71" t="s">
        <v>22</v>
      </c>
      <c r="D3" s="50"/>
      <c r="E3" s="63"/>
      <c r="F3" s="83" t="s">
        <v>3496</v>
      </c>
      <c r="G3" s="91">
        <v>2</v>
      </c>
    </row>
    <row r="4" spans="1:7" x14ac:dyDescent="0.25">
      <c r="A4" s="108">
        <v>3</v>
      </c>
      <c r="B4" s="122" t="s">
        <v>3477</v>
      </c>
      <c r="C4" s="71" t="s">
        <v>22</v>
      </c>
      <c r="D4" s="50"/>
      <c r="E4" s="63"/>
      <c r="F4" s="83" t="s">
        <v>3498</v>
      </c>
      <c r="G4" s="91">
        <v>3</v>
      </c>
    </row>
    <row r="5" spans="1:7" x14ac:dyDescent="0.25">
      <c r="A5" s="108">
        <v>4</v>
      </c>
      <c r="B5" s="122" t="s">
        <v>3477</v>
      </c>
      <c r="C5" s="71" t="s">
        <v>22</v>
      </c>
      <c r="D5" s="50"/>
      <c r="E5" s="63"/>
      <c r="F5" s="83" t="s">
        <v>3499</v>
      </c>
      <c r="G5" s="91">
        <v>4</v>
      </c>
    </row>
    <row r="6" spans="1:7" x14ac:dyDescent="0.25">
      <c r="A6" s="108">
        <v>5</v>
      </c>
      <c r="B6" s="122" t="s">
        <v>3477</v>
      </c>
      <c r="C6" s="71" t="s">
        <v>22</v>
      </c>
      <c r="D6" s="50"/>
      <c r="E6" s="63"/>
      <c r="F6" s="83" t="s">
        <v>3500</v>
      </c>
      <c r="G6" s="91">
        <v>5</v>
      </c>
    </row>
    <row r="7" spans="1:7" x14ac:dyDescent="0.25">
      <c r="A7" s="108">
        <v>6</v>
      </c>
      <c r="B7" s="122" t="s">
        <v>3477</v>
      </c>
      <c r="C7" s="71" t="s">
        <v>22</v>
      </c>
      <c r="D7" s="50"/>
      <c r="E7" s="63"/>
      <c r="F7" s="83" t="s">
        <v>3501</v>
      </c>
      <c r="G7" s="91">
        <v>6</v>
      </c>
    </row>
    <row r="8" spans="1:7" x14ac:dyDescent="0.25">
      <c r="A8" s="108">
        <v>7</v>
      </c>
      <c r="B8" s="122" t="s">
        <v>3477</v>
      </c>
      <c r="C8" s="71" t="s">
        <v>22</v>
      </c>
      <c r="D8" s="50"/>
      <c r="E8" s="63"/>
      <c r="F8" s="83" t="s">
        <v>3502</v>
      </c>
      <c r="G8" s="91">
        <v>7</v>
      </c>
    </row>
    <row r="9" spans="1:7" x14ac:dyDescent="0.25">
      <c r="A9" s="109">
        <v>8</v>
      </c>
      <c r="B9" s="123" t="s">
        <v>3477</v>
      </c>
      <c r="C9" s="72" t="s">
        <v>22</v>
      </c>
      <c r="D9" s="51"/>
      <c r="E9" s="64"/>
      <c r="F9" s="84" t="s">
        <v>3503</v>
      </c>
      <c r="G9" s="92">
        <v>8</v>
      </c>
    </row>
    <row r="10" spans="1:7" x14ac:dyDescent="0.25">
      <c r="A10" s="110">
        <v>9</v>
      </c>
      <c r="B10" s="47" t="s">
        <v>3477</v>
      </c>
      <c r="C10" s="73" t="s">
        <v>132</v>
      </c>
      <c r="D10" s="54"/>
      <c r="E10" s="65"/>
      <c r="F10" s="85">
        <v>41012412379</v>
      </c>
      <c r="G10" s="93">
        <v>1</v>
      </c>
    </row>
    <row r="11" spans="1:7" x14ac:dyDescent="0.25">
      <c r="A11" s="111">
        <v>10</v>
      </c>
      <c r="B11" s="46" t="s">
        <v>3477</v>
      </c>
      <c r="C11" s="74" t="s">
        <v>1730</v>
      </c>
      <c r="D11" s="55"/>
      <c r="E11" s="66"/>
      <c r="F11" s="86" t="s">
        <v>3544</v>
      </c>
      <c r="G11" s="94">
        <v>1</v>
      </c>
    </row>
    <row r="12" spans="1:7" x14ac:dyDescent="0.25">
      <c r="A12" s="112">
        <v>11</v>
      </c>
      <c r="B12" s="124" t="s">
        <v>3477</v>
      </c>
      <c r="C12" s="75" t="s">
        <v>1004</v>
      </c>
      <c r="D12" s="76"/>
      <c r="E12" s="67"/>
      <c r="F12" s="87" t="s">
        <v>3474</v>
      </c>
      <c r="G12" s="95">
        <v>1</v>
      </c>
    </row>
    <row r="13" spans="1:7" x14ac:dyDescent="0.25">
      <c r="A13" s="108">
        <v>12</v>
      </c>
      <c r="B13" s="122" t="s">
        <v>3477</v>
      </c>
      <c r="C13" s="77" t="s">
        <v>1004</v>
      </c>
      <c r="D13" s="50"/>
      <c r="E13" s="63"/>
      <c r="F13" s="83" t="s">
        <v>3475</v>
      </c>
      <c r="G13" s="91">
        <v>2</v>
      </c>
    </row>
    <row r="14" spans="1:7" x14ac:dyDescent="0.25">
      <c r="A14" s="113">
        <v>13</v>
      </c>
      <c r="B14" s="125" t="s">
        <v>3477</v>
      </c>
      <c r="C14" s="78" t="s">
        <v>1004</v>
      </c>
      <c r="D14" s="56"/>
      <c r="E14" s="68"/>
      <c r="F14" s="88" t="s">
        <v>3476</v>
      </c>
      <c r="G14" s="96">
        <v>3</v>
      </c>
    </row>
    <row r="15" spans="1:7" x14ac:dyDescent="0.25">
      <c r="A15" s="111">
        <v>14</v>
      </c>
      <c r="B15" s="46" t="s">
        <v>3477</v>
      </c>
      <c r="C15" s="74" t="s">
        <v>442</v>
      </c>
      <c r="D15" s="55"/>
      <c r="E15" s="66"/>
      <c r="F15" s="86" t="s">
        <v>3526</v>
      </c>
      <c r="G15" s="94">
        <v>1</v>
      </c>
    </row>
    <row r="16" spans="1:7" x14ac:dyDescent="0.25">
      <c r="A16" s="112">
        <v>15</v>
      </c>
      <c r="B16" s="124" t="s">
        <v>3477</v>
      </c>
      <c r="C16" s="79" t="s">
        <v>1101</v>
      </c>
      <c r="D16" s="52"/>
      <c r="E16" s="69"/>
      <c r="F16" s="87" t="s">
        <v>1166</v>
      </c>
      <c r="G16" s="95">
        <v>1</v>
      </c>
    </row>
    <row r="17" spans="1:7" x14ac:dyDescent="0.25">
      <c r="A17" s="108">
        <v>16</v>
      </c>
      <c r="B17" s="122" t="s">
        <v>3477</v>
      </c>
      <c r="C17" s="71" t="s">
        <v>1101</v>
      </c>
      <c r="D17" s="50"/>
      <c r="E17" s="63"/>
      <c r="F17" s="83" t="s">
        <v>1163</v>
      </c>
      <c r="G17" s="91">
        <v>2</v>
      </c>
    </row>
    <row r="18" spans="1:7" x14ac:dyDescent="0.25">
      <c r="A18" s="108">
        <v>17</v>
      </c>
      <c r="B18" s="122" t="s">
        <v>3477</v>
      </c>
      <c r="C18" s="71" t="s">
        <v>1101</v>
      </c>
      <c r="D18" s="50"/>
      <c r="E18" s="63"/>
      <c r="F18" s="83" t="s">
        <v>1151</v>
      </c>
      <c r="G18" s="91">
        <v>3</v>
      </c>
    </row>
    <row r="19" spans="1:7" x14ac:dyDescent="0.25">
      <c r="A19" s="108">
        <v>18</v>
      </c>
      <c r="B19" s="122" t="s">
        <v>3477</v>
      </c>
      <c r="C19" s="71" t="s">
        <v>1101</v>
      </c>
      <c r="D19" s="50"/>
      <c r="E19" s="63"/>
      <c r="F19" s="83" t="s">
        <v>3541</v>
      </c>
      <c r="G19" s="91">
        <v>4</v>
      </c>
    </row>
    <row r="20" spans="1:7" x14ac:dyDescent="0.25">
      <c r="A20" s="108">
        <v>19</v>
      </c>
      <c r="B20" s="122" t="s">
        <v>3477</v>
      </c>
      <c r="C20" s="71" t="s">
        <v>1101</v>
      </c>
      <c r="D20" s="50"/>
      <c r="E20" s="63"/>
      <c r="F20" s="83" t="s">
        <v>3542</v>
      </c>
      <c r="G20" s="91">
        <v>5</v>
      </c>
    </row>
    <row r="21" spans="1:7" x14ac:dyDescent="0.25">
      <c r="A21" s="108">
        <v>20</v>
      </c>
      <c r="B21" s="122" t="s">
        <v>3477</v>
      </c>
      <c r="C21" s="71" t="s">
        <v>1101</v>
      </c>
      <c r="D21" s="50"/>
      <c r="E21" s="63"/>
      <c r="F21" s="83" t="s">
        <v>3543</v>
      </c>
      <c r="G21" s="91">
        <v>6</v>
      </c>
    </row>
    <row r="22" spans="1:7" x14ac:dyDescent="0.25">
      <c r="A22" s="113">
        <v>21</v>
      </c>
      <c r="B22" s="125" t="s">
        <v>3477</v>
      </c>
      <c r="C22" s="80" t="s">
        <v>1101</v>
      </c>
      <c r="D22" s="56"/>
      <c r="E22" s="68"/>
      <c r="F22" s="88"/>
      <c r="G22" s="96">
        <v>7</v>
      </c>
    </row>
    <row r="23" spans="1:7" x14ac:dyDescent="0.25">
      <c r="A23" s="107">
        <v>22</v>
      </c>
      <c r="B23" s="121" t="s">
        <v>3477</v>
      </c>
      <c r="C23" s="81" t="s">
        <v>1262</v>
      </c>
      <c r="D23" s="53"/>
      <c r="E23" s="62"/>
      <c r="F23" s="82">
        <v>41012412367</v>
      </c>
      <c r="G23" s="90">
        <v>1</v>
      </c>
    </row>
    <row r="24" spans="1:7" x14ac:dyDescent="0.25">
      <c r="A24" s="108">
        <v>23</v>
      </c>
      <c r="B24" s="122" t="s">
        <v>3477</v>
      </c>
      <c r="C24" s="71" t="s">
        <v>1262</v>
      </c>
      <c r="D24" s="50"/>
      <c r="E24" s="63"/>
      <c r="F24" s="83">
        <v>41012412381</v>
      </c>
      <c r="G24" s="91">
        <v>2</v>
      </c>
    </row>
    <row r="25" spans="1:7" x14ac:dyDescent="0.25">
      <c r="A25" s="109">
        <v>24</v>
      </c>
      <c r="B25" s="123" t="s">
        <v>3477</v>
      </c>
      <c r="C25" s="72" t="s">
        <v>1262</v>
      </c>
      <c r="D25" s="51"/>
      <c r="E25" s="64"/>
      <c r="F25" s="84"/>
      <c r="G25" s="92">
        <v>3</v>
      </c>
    </row>
    <row r="26" spans="1:7" x14ac:dyDescent="0.25">
      <c r="A26" s="112">
        <v>25</v>
      </c>
      <c r="B26" s="124" t="s">
        <v>3477</v>
      </c>
      <c r="C26" s="79" t="s">
        <v>2110</v>
      </c>
      <c r="D26" s="52"/>
      <c r="E26" s="69"/>
      <c r="F26" s="87" t="s">
        <v>3504</v>
      </c>
      <c r="G26" s="95">
        <v>1</v>
      </c>
    </row>
    <row r="27" spans="1:7" x14ac:dyDescent="0.25">
      <c r="A27" s="108">
        <v>26</v>
      </c>
      <c r="B27" s="122" t="s">
        <v>3477</v>
      </c>
      <c r="C27" s="71" t="s">
        <v>2110</v>
      </c>
      <c r="D27" s="50"/>
      <c r="E27" s="63"/>
      <c r="F27" s="83" t="s">
        <v>3505</v>
      </c>
      <c r="G27" s="91">
        <v>2</v>
      </c>
    </row>
    <row r="28" spans="1:7" x14ac:dyDescent="0.25">
      <c r="A28" s="108">
        <v>27</v>
      </c>
      <c r="B28" s="122" t="s">
        <v>3477</v>
      </c>
      <c r="C28" s="71" t="s">
        <v>2110</v>
      </c>
      <c r="D28" s="50"/>
      <c r="E28" s="63"/>
      <c r="F28" s="83" t="s">
        <v>3506</v>
      </c>
      <c r="G28" s="91">
        <v>3</v>
      </c>
    </row>
    <row r="29" spans="1:7" x14ac:dyDescent="0.25">
      <c r="A29" s="108">
        <v>28</v>
      </c>
      <c r="B29" s="122" t="s">
        <v>3477</v>
      </c>
      <c r="C29" s="71" t="s">
        <v>2110</v>
      </c>
      <c r="D29" s="50"/>
      <c r="E29" s="63"/>
      <c r="F29" s="83" t="s">
        <v>3507</v>
      </c>
      <c r="G29" s="91">
        <v>4</v>
      </c>
    </row>
    <row r="30" spans="1:7" x14ac:dyDescent="0.25">
      <c r="A30" s="108">
        <v>29</v>
      </c>
      <c r="B30" s="122" t="s">
        <v>3477</v>
      </c>
      <c r="C30" s="71" t="s">
        <v>2110</v>
      </c>
      <c r="D30" s="50"/>
      <c r="E30" s="63"/>
      <c r="F30" s="83" t="s">
        <v>3508</v>
      </c>
      <c r="G30" s="91">
        <v>5</v>
      </c>
    </row>
    <row r="31" spans="1:7" x14ac:dyDescent="0.25">
      <c r="A31" s="108">
        <v>30</v>
      </c>
      <c r="B31" s="122" t="s">
        <v>3477</v>
      </c>
      <c r="C31" s="71" t="s">
        <v>2110</v>
      </c>
      <c r="D31" s="50"/>
      <c r="E31" s="63"/>
      <c r="F31" s="83" t="s">
        <v>3509</v>
      </c>
      <c r="G31" s="91">
        <v>6</v>
      </c>
    </row>
    <row r="32" spans="1:7" x14ac:dyDescent="0.25">
      <c r="A32" s="108">
        <v>31</v>
      </c>
      <c r="B32" s="122" t="s">
        <v>3477</v>
      </c>
      <c r="C32" s="71" t="s">
        <v>2110</v>
      </c>
      <c r="D32" s="50"/>
      <c r="E32" s="63"/>
      <c r="F32" s="83" t="s">
        <v>3510</v>
      </c>
      <c r="G32" s="91">
        <v>7</v>
      </c>
    </row>
    <row r="33" spans="1:7" x14ac:dyDescent="0.25">
      <c r="A33" s="108">
        <v>32</v>
      </c>
      <c r="B33" s="122" t="s">
        <v>3477</v>
      </c>
      <c r="C33" s="71" t="s">
        <v>2110</v>
      </c>
      <c r="D33" s="50"/>
      <c r="E33" s="63"/>
      <c r="F33" s="83" t="s">
        <v>3511</v>
      </c>
      <c r="G33" s="91">
        <v>8</v>
      </c>
    </row>
    <row r="34" spans="1:7" x14ac:dyDescent="0.25">
      <c r="A34" s="108">
        <v>33</v>
      </c>
      <c r="B34" s="122" t="s">
        <v>3477</v>
      </c>
      <c r="C34" s="71" t="s">
        <v>2110</v>
      </c>
      <c r="D34" s="50"/>
      <c r="E34" s="63"/>
      <c r="F34" s="83" t="s">
        <v>3512</v>
      </c>
      <c r="G34" s="91">
        <v>9</v>
      </c>
    </row>
    <row r="35" spans="1:7" x14ac:dyDescent="0.25">
      <c r="A35" s="108">
        <v>34</v>
      </c>
      <c r="B35" s="122" t="s">
        <v>3477</v>
      </c>
      <c r="C35" s="71" t="s">
        <v>2110</v>
      </c>
      <c r="D35" s="50"/>
      <c r="E35" s="63"/>
      <c r="F35" s="83" t="s">
        <v>3513</v>
      </c>
      <c r="G35" s="91">
        <v>10</v>
      </c>
    </row>
    <row r="36" spans="1:7" x14ac:dyDescent="0.25">
      <c r="A36" s="108">
        <v>35</v>
      </c>
      <c r="B36" s="122" t="s">
        <v>3477</v>
      </c>
      <c r="C36" s="71" t="s">
        <v>2110</v>
      </c>
      <c r="D36" s="50"/>
      <c r="E36" s="63"/>
      <c r="F36" s="83" t="s">
        <v>3514</v>
      </c>
      <c r="G36" s="91">
        <v>11</v>
      </c>
    </row>
    <row r="37" spans="1:7" x14ac:dyDescent="0.25">
      <c r="A37" s="108">
        <v>36</v>
      </c>
      <c r="B37" s="122" t="s">
        <v>3477</v>
      </c>
      <c r="C37" s="71" t="s">
        <v>2110</v>
      </c>
      <c r="D37" s="50"/>
      <c r="E37" s="63"/>
      <c r="F37" s="83" t="s">
        <v>3515</v>
      </c>
      <c r="G37" s="91">
        <v>12</v>
      </c>
    </row>
    <row r="38" spans="1:7" x14ac:dyDescent="0.25">
      <c r="A38" s="108">
        <v>37</v>
      </c>
      <c r="B38" s="122" t="s">
        <v>3477</v>
      </c>
      <c r="C38" s="71" t="s">
        <v>2110</v>
      </c>
      <c r="D38" s="50"/>
      <c r="E38" s="63"/>
      <c r="F38" s="83" t="s">
        <v>3516</v>
      </c>
      <c r="G38" s="91">
        <v>13</v>
      </c>
    </row>
    <row r="39" spans="1:7" x14ac:dyDescent="0.25">
      <c r="A39" s="108">
        <v>38</v>
      </c>
      <c r="B39" s="122" t="s">
        <v>3477</v>
      </c>
      <c r="C39" s="71" t="s">
        <v>2110</v>
      </c>
      <c r="D39" s="50"/>
      <c r="E39" s="63"/>
      <c r="F39" s="83" t="s">
        <v>3517</v>
      </c>
      <c r="G39" s="91">
        <v>14</v>
      </c>
    </row>
    <row r="40" spans="1:7" x14ac:dyDescent="0.25">
      <c r="A40" s="108">
        <v>39</v>
      </c>
      <c r="B40" s="122" t="s">
        <v>3477</v>
      </c>
      <c r="C40" s="71" t="s">
        <v>2110</v>
      </c>
      <c r="D40" s="50"/>
      <c r="E40" s="63"/>
      <c r="F40" s="83" t="s">
        <v>3518</v>
      </c>
      <c r="G40" s="91">
        <v>15</v>
      </c>
    </row>
    <row r="41" spans="1:7" x14ac:dyDescent="0.25">
      <c r="A41" s="108">
        <v>40</v>
      </c>
      <c r="B41" s="122" t="s">
        <v>3477</v>
      </c>
      <c r="C41" s="71" t="s">
        <v>2110</v>
      </c>
      <c r="D41" s="50"/>
      <c r="E41" s="63"/>
      <c r="F41" s="83" t="s">
        <v>3519</v>
      </c>
      <c r="G41" s="91">
        <v>16</v>
      </c>
    </row>
    <row r="42" spans="1:7" x14ac:dyDescent="0.25">
      <c r="A42" s="108">
        <v>41</v>
      </c>
      <c r="B42" s="122" t="s">
        <v>3477</v>
      </c>
      <c r="C42" s="71" t="s">
        <v>2110</v>
      </c>
      <c r="D42" s="50"/>
      <c r="E42" s="63"/>
      <c r="F42" s="83" t="s">
        <v>3520</v>
      </c>
      <c r="G42" s="91">
        <v>17</v>
      </c>
    </row>
    <row r="43" spans="1:7" x14ac:dyDescent="0.25">
      <c r="A43" s="108">
        <v>42</v>
      </c>
      <c r="B43" s="122" t="s">
        <v>3477</v>
      </c>
      <c r="C43" s="71" t="s">
        <v>2110</v>
      </c>
      <c r="D43" s="50"/>
      <c r="E43" s="63"/>
      <c r="F43" s="83" t="s">
        <v>3521</v>
      </c>
      <c r="G43" s="91">
        <v>18</v>
      </c>
    </row>
    <row r="44" spans="1:7" x14ac:dyDescent="0.25">
      <c r="A44" s="108">
        <v>43</v>
      </c>
      <c r="B44" s="122" t="s">
        <v>3477</v>
      </c>
      <c r="C44" s="71" t="s">
        <v>2110</v>
      </c>
      <c r="D44" s="50"/>
      <c r="E44" s="63"/>
      <c r="F44" s="83" t="s">
        <v>3522</v>
      </c>
      <c r="G44" s="91">
        <v>19</v>
      </c>
    </row>
    <row r="45" spans="1:7" x14ac:dyDescent="0.25">
      <c r="A45" s="108">
        <v>44</v>
      </c>
      <c r="B45" s="122" t="s">
        <v>3477</v>
      </c>
      <c r="C45" s="71" t="s">
        <v>2110</v>
      </c>
      <c r="D45" s="50"/>
      <c r="E45" s="63"/>
      <c r="F45" s="83" t="s">
        <v>3523</v>
      </c>
      <c r="G45" s="91">
        <v>20</v>
      </c>
    </row>
    <row r="46" spans="1:7" x14ac:dyDescent="0.25">
      <c r="A46" s="108">
        <v>45</v>
      </c>
      <c r="B46" s="122" t="s">
        <v>3477</v>
      </c>
      <c r="C46" s="71" t="s">
        <v>2110</v>
      </c>
      <c r="D46" s="50"/>
      <c r="E46" s="63"/>
      <c r="F46" s="83" t="s">
        <v>3524</v>
      </c>
      <c r="G46" s="91">
        <v>21</v>
      </c>
    </row>
    <row r="47" spans="1:7" x14ac:dyDescent="0.25">
      <c r="A47" s="113">
        <v>46</v>
      </c>
      <c r="B47" s="125" t="s">
        <v>3477</v>
      </c>
      <c r="C47" s="80" t="s">
        <v>2110</v>
      </c>
      <c r="D47" s="56"/>
      <c r="E47" s="68"/>
      <c r="F47" s="88" t="s">
        <v>3525</v>
      </c>
      <c r="G47" s="97">
        <v>22</v>
      </c>
    </row>
    <row r="48" spans="1:7" x14ac:dyDescent="0.25">
      <c r="A48" s="107">
        <v>47</v>
      </c>
      <c r="B48" s="121" t="s">
        <v>3477</v>
      </c>
      <c r="C48" s="81" t="s">
        <v>2048</v>
      </c>
      <c r="D48" s="53"/>
      <c r="E48" s="62"/>
      <c r="F48" s="57" t="s">
        <v>3527</v>
      </c>
      <c r="G48" s="102">
        <v>1</v>
      </c>
    </row>
    <row r="49" spans="1:7" x14ac:dyDescent="0.25">
      <c r="A49" s="108">
        <v>48</v>
      </c>
      <c r="B49" s="122" t="s">
        <v>3477</v>
      </c>
      <c r="C49" s="71" t="s">
        <v>2048</v>
      </c>
      <c r="D49" s="50"/>
      <c r="E49" s="63"/>
      <c r="F49" s="58" t="s">
        <v>3528</v>
      </c>
      <c r="G49" s="103">
        <v>2</v>
      </c>
    </row>
    <row r="50" spans="1:7" x14ac:dyDescent="0.25">
      <c r="A50" s="108">
        <v>49</v>
      </c>
      <c r="B50" s="122" t="s">
        <v>3477</v>
      </c>
      <c r="C50" s="71" t="s">
        <v>2048</v>
      </c>
      <c r="D50" s="50"/>
      <c r="E50" s="63"/>
      <c r="F50" s="58" t="s">
        <v>3529</v>
      </c>
      <c r="G50" s="103">
        <v>3</v>
      </c>
    </row>
    <row r="51" spans="1:7" x14ac:dyDescent="0.25">
      <c r="A51" s="108">
        <v>50</v>
      </c>
      <c r="B51" s="122" t="s">
        <v>3477</v>
      </c>
      <c r="C51" s="71" t="s">
        <v>2048</v>
      </c>
      <c r="D51" s="50"/>
      <c r="E51" s="63"/>
      <c r="F51" s="58" t="s">
        <v>3530</v>
      </c>
      <c r="G51" s="103">
        <v>4</v>
      </c>
    </row>
    <row r="52" spans="1:7" x14ac:dyDescent="0.25">
      <c r="A52" s="109">
        <v>51</v>
      </c>
      <c r="B52" s="123" t="s">
        <v>3477</v>
      </c>
      <c r="C52" s="72" t="s">
        <v>2048</v>
      </c>
      <c r="D52" s="51"/>
      <c r="E52" s="64"/>
      <c r="F52" s="59" t="s">
        <v>3531</v>
      </c>
      <c r="G52" s="104">
        <v>5</v>
      </c>
    </row>
    <row r="53" spans="1:7" x14ac:dyDescent="0.25">
      <c r="A53" s="112">
        <v>52</v>
      </c>
      <c r="B53" s="124" t="s">
        <v>3477</v>
      </c>
      <c r="C53" s="79" t="s">
        <v>3481</v>
      </c>
      <c r="D53" s="52"/>
      <c r="E53" s="69"/>
      <c r="F53" s="60" t="s">
        <v>3535</v>
      </c>
      <c r="G53" s="102">
        <v>1</v>
      </c>
    </row>
    <row r="54" spans="1:7" x14ac:dyDescent="0.25">
      <c r="A54" s="108">
        <v>53</v>
      </c>
      <c r="B54" s="122" t="s">
        <v>3477</v>
      </c>
      <c r="C54" s="71" t="s">
        <v>3481</v>
      </c>
      <c r="D54" s="50"/>
      <c r="E54" s="63"/>
      <c r="F54" s="58" t="s">
        <v>3536</v>
      </c>
      <c r="G54" s="103">
        <v>2</v>
      </c>
    </row>
    <row r="55" spans="1:7" x14ac:dyDescent="0.25">
      <c r="A55" s="108">
        <v>54</v>
      </c>
      <c r="B55" s="122" t="s">
        <v>3477</v>
      </c>
      <c r="C55" s="71" t="s">
        <v>3481</v>
      </c>
      <c r="D55" s="50"/>
      <c r="E55" s="63"/>
      <c r="F55" s="58" t="s">
        <v>3537</v>
      </c>
      <c r="G55" s="103">
        <v>3</v>
      </c>
    </row>
    <row r="56" spans="1:7" x14ac:dyDescent="0.25">
      <c r="A56" s="108">
        <v>55</v>
      </c>
      <c r="B56" s="122" t="s">
        <v>3477</v>
      </c>
      <c r="C56" s="71" t="s">
        <v>3481</v>
      </c>
      <c r="D56" s="50"/>
      <c r="E56" s="63"/>
      <c r="F56" s="58" t="s">
        <v>3538</v>
      </c>
      <c r="G56" s="103">
        <v>4</v>
      </c>
    </row>
    <row r="57" spans="1:7" x14ac:dyDescent="0.25">
      <c r="A57" s="108">
        <v>56</v>
      </c>
      <c r="B57" s="122" t="s">
        <v>3477</v>
      </c>
      <c r="C57" s="71" t="s">
        <v>3481</v>
      </c>
      <c r="D57" s="50"/>
      <c r="E57" s="63"/>
      <c r="F57" s="58" t="s">
        <v>3539</v>
      </c>
      <c r="G57" s="103">
        <v>5</v>
      </c>
    </row>
    <row r="58" spans="1:7" x14ac:dyDescent="0.25">
      <c r="A58" s="113">
        <v>57</v>
      </c>
      <c r="B58" s="125" t="s">
        <v>3477</v>
      </c>
      <c r="C58" s="80" t="s">
        <v>3481</v>
      </c>
      <c r="D58" s="56"/>
      <c r="E58" s="68"/>
      <c r="F58" s="61" t="s">
        <v>3540</v>
      </c>
      <c r="G58" s="105">
        <v>6</v>
      </c>
    </row>
    <row r="59" spans="1:7" x14ac:dyDescent="0.25">
      <c r="A59" s="107">
        <v>58</v>
      </c>
      <c r="B59" s="121" t="s">
        <v>3477</v>
      </c>
      <c r="C59" s="70" t="s">
        <v>2074</v>
      </c>
      <c r="D59" s="53"/>
      <c r="E59" s="62"/>
      <c r="F59" s="57" t="s">
        <v>3532</v>
      </c>
      <c r="G59" s="106">
        <v>1</v>
      </c>
    </row>
    <row r="60" spans="1:7" x14ac:dyDescent="0.25">
      <c r="A60" s="108">
        <v>59</v>
      </c>
      <c r="B60" s="122" t="s">
        <v>3477</v>
      </c>
      <c r="C60" s="71" t="s">
        <v>2074</v>
      </c>
      <c r="D60" s="50"/>
      <c r="E60" s="63"/>
      <c r="F60" s="58" t="s">
        <v>3533</v>
      </c>
      <c r="G60" s="103">
        <v>2</v>
      </c>
    </row>
    <row r="61" spans="1:7" x14ac:dyDescent="0.25">
      <c r="A61" s="109">
        <v>60</v>
      </c>
      <c r="B61" s="123" t="s">
        <v>3477</v>
      </c>
      <c r="C61" s="72" t="s">
        <v>2074</v>
      </c>
      <c r="D61" s="51"/>
      <c r="E61" s="64"/>
      <c r="F61" s="59" t="s">
        <v>3534</v>
      </c>
      <c r="G61" s="104">
        <v>3</v>
      </c>
    </row>
    <row r="62" spans="1:7" x14ac:dyDescent="0.25">
      <c r="A62" s="112">
        <v>61</v>
      </c>
      <c r="B62" s="124" t="s">
        <v>3477</v>
      </c>
      <c r="C62" s="79" t="s">
        <v>1186</v>
      </c>
      <c r="D62" s="52"/>
      <c r="E62" s="69"/>
      <c r="F62" s="60" t="s">
        <v>3491</v>
      </c>
      <c r="G62" s="102">
        <v>1</v>
      </c>
    </row>
    <row r="63" spans="1:7" x14ac:dyDescent="0.25">
      <c r="A63" s="108">
        <v>62</v>
      </c>
      <c r="B63" s="122" t="s">
        <v>3477</v>
      </c>
      <c r="C63" s="71" t="s">
        <v>1186</v>
      </c>
      <c r="D63" s="50"/>
      <c r="E63" s="63"/>
      <c r="F63" s="58" t="s">
        <v>3492</v>
      </c>
      <c r="G63" s="103">
        <v>2</v>
      </c>
    </row>
    <row r="64" spans="1:7" x14ac:dyDescent="0.25">
      <c r="A64" s="113">
        <v>63</v>
      </c>
      <c r="B64" s="125" t="s">
        <v>3477</v>
      </c>
      <c r="C64" s="80" t="s">
        <v>1186</v>
      </c>
      <c r="D64" s="56"/>
      <c r="E64" s="68"/>
      <c r="F64" s="61" t="s">
        <v>3493</v>
      </c>
      <c r="G64" s="105">
        <v>3</v>
      </c>
    </row>
    <row r="65" spans="1:7" x14ac:dyDescent="0.25">
      <c r="A65" s="107">
        <v>64</v>
      </c>
      <c r="B65" s="121" t="s">
        <v>3477</v>
      </c>
      <c r="C65" s="70" t="s">
        <v>3482</v>
      </c>
      <c r="D65" s="53"/>
      <c r="E65" s="62"/>
      <c r="F65" s="57" t="s">
        <v>3483</v>
      </c>
      <c r="G65" s="106">
        <v>1</v>
      </c>
    </row>
    <row r="66" spans="1:7" x14ac:dyDescent="0.25">
      <c r="A66" s="108">
        <v>65</v>
      </c>
      <c r="B66" s="122" t="s">
        <v>3477</v>
      </c>
      <c r="C66" s="71" t="s">
        <v>3482</v>
      </c>
      <c r="D66" s="50"/>
      <c r="E66" s="63"/>
      <c r="F66" s="58" t="s">
        <v>3484</v>
      </c>
      <c r="G66" s="103">
        <v>2</v>
      </c>
    </row>
    <row r="67" spans="1:7" x14ac:dyDescent="0.25">
      <c r="A67" s="108">
        <v>66</v>
      </c>
      <c r="B67" s="122" t="s">
        <v>3477</v>
      </c>
      <c r="C67" s="71" t="s">
        <v>3482</v>
      </c>
      <c r="D67" s="50"/>
      <c r="E67" s="63"/>
      <c r="F67" s="58" t="s">
        <v>3485</v>
      </c>
      <c r="G67" s="103">
        <v>2</v>
      </c>
    </row>
    <row r="68" spans="1:7" x14ac:dyDescent="0.25">
      <c r="A68" s="108">
        <v>67</v>
      </c>
      <c r="B68" s="122" t="s">
        <v>3477</v>
      </c>
      <c r="C68" s="71" t="s">
        <v>3482</v>
      </c>
      <c r="D68" s="50"/>
      <c r="E68" s="63"/>
      <c r="F68" s="58" t="s">
        <v>3486</v>
      </c>
      <c r="G68" s="103">
        <v>3</v>
      </c>
    </row>
    <row r="69" spans="1:7" x14ac:dyDescent="0.25">
      <c r="A69" s="108">
        <v>68</v>
      </c>
      <c r="B69" s="122" t="s">
        <v>3477</v>
      </c>
      <c r="C69" s="71" t="s">
        <v>3482</v>
      </c>
      <c r="D69" s="50"/>
      <c r="E69" s="63"/>
      <c r="F69" s="58" t="s">
        <v>3487</v>
      </c>
      <c r="G69" s="103">
        <v>4</v>
      </c>
    </row>
    <row r="70" spans="1:7" x14ac:dyDescent="0.25">
      <c r="A70" s="108">
        <v>69</v>
      </c>
      <c r="B70" s="122" t="s">
        <v>3477</v>
      </c>
      <c r="C70" s="71" t="s">
        <v>3482</v>
      </c>
      <c r="D70" s="50"/>
      <c r="E70" s="63"/>
      <c r="F70" s="58" t="s">
        <v>3488</v>
      </c>
      <c r="G70" s="103">
        <v>5</v>
      </c>
    </row>
    <row r="71" spans="1:7" x14ac:dyDescent="0.25">
      <c r="A71" s="108">
        <v>70</v>
      </c>
      <c r="B71" s="122" t="s">
        <v>3477</v>
      </c>
      <c r="C71" s="71" t="s">
        <v>3482</v>
      </c>
      <c r="D71" s="50"/>
      <c r="E71" s="63"/>
      <c r="F71" s="58" t="s">
        <v>3489</v>
      </c>
      <c r="G71" s="103">
        <v>6</v>
      </c>
    </row>
    <row r="72" spans="1:7" x14ac:dyDescent="0.25">
      <c r="A72" s="114">
        <v>71</v>
      </c>
      <c r="B72" s="126" t="s">
        <v>3477</v>
      </c>
      <c r="C72" s="116" t="s">
        <v>3482</v>
      </c>
      <c r="D72" s="117"/>
      <c r="E72" s="118"/>
      <c r="F72" s="119" t="s">
        <v>3490</v>
      </c>
      <c r="G72" s="120">
        <v>7</v>
      </c>
    </row>
    <row r="73" spans="1:7" x14ac:dyDescent="0.25">
      <c r="B73" s="47"/>
    </row>
  </sheetData>
  <pageMargins left="0" right="0" top="0" bottom="0" header="0" footer="0"/>
  <pageSetup paperSize="9" scale="96" fitToHeight="0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8"/>
  <sheetViews>
    <sheetView workbookViewId="0">
      <pane ySplit="1" topLeftCell="A2" activePane="bottomLeft" state="frozen"/>
      <selection pane="bottomLeft" activeCell="E6" sqref="E6"/>
    </sheetView>
  </sheetViews>
  <sheetFormatPr defaultColWidth="9.140625" defaultRowHeight="15" x14ac:dyDescent="0.25"/>
  <cols>
    <col min="1" max="1" width="5.7109375" style="1" hidden="1" customWidth="1"/>
    <col min="2" max="2" width="5.42578125" style="2" customWidth="1"/>
    <col min="3" max="3" width="40" style="3" bestFit="1" customWidth="1"/>
    <col min="4" max="4" width="40" style="3" customWidth="1"/>
    <col min="5" max="5" width="32.85546875" style="3" customWidth="1"/>
    <col min="6" max="6" width="19.28515625" style="2" bestFit="1" customWidth="1"/>
    <col min="7" max="7" width="11.42578125" style="1" customWidth="1"/>
    <col min="8" max="8" width="16.42578125" style="2" customWidth="1"/>
    <col min="9" max="9" width="13.5703125" style="3" customWidth="1"/>
    <col min="10" max="10" width="15.7109375" style="3" customWidth="1"/>
    <col min="11" max="11" width="9.42578125" style="1" hidden="1" customWidth="1"/>
    <col min="12" max="12" width="11.42578125" style="1" hidden="1" customWidth="1"/>
    <col min="13" max="13" width="12.7109375" style="1" hidden="1" customWidth="1"/>
    <col min="14" max="14" width="16.42578125" style="3" hidden="1" customWidth="1"/>
    <col min="15" max="15" width="11.42578125" style="1" hidden="1" customWidth="1"/>
    <col min="16" max="16" width="9.140625" style="3" hidden="1" customWidth="1"/>
    <col min="17" max="17" width="12.5703125" style="1" hidden="1" customWidth="1"/>
    <col min="18" max="18" width="9.140625" hidden="1" customWidth="1"/>
    <col min="19" max="19" width="12.28515625" style="1" hidden="1" customWidth="1"/>
    <col min="20" max="20" width="20.42578125" style="4" customWidth="1"/>
    <col min="21" max="21" width="9.140625" style="3" bestFit="1" customWidth="1"/>
    <col min="22" max="16384" width="9.140625" style="3"/>
  </cols>
  <sheetData>
    <row r="1" spans="1:20" s="1" customFormat="1" ht="45" x14ac:dyDescent="0.25">
      <c r="A1" s="5" t="s">
        <v>0</v>
      </c>
      <c r="B1" s="6" t="s">
        <v>1</v>
      </c>
      <c r="C1" s="6" t="s">
        <v>2</v>
      </c>
      <c r="D1" s="6"/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7" t="s">
        <v>17</v>
      </c>
    </row>
    <row r="2" spans="1:20" ht="30" x14ac:dyDescent="0.25">
      <c r="A2" s="8"/>
      <c r="B2" s="22">
        <v>30</v>
      </c>
      <c r="C2" s="10" t="s">
        <v>2004</v>
      </c>
      <c r="D2" s="10"/>
      <c r="E2" s="10" t="s">
        <v>2005</v>
      </c>
      <c r="F2" s="9" t="s">
        <v>2006</v>
      </c>
      <c r="G2" s="11"/>
      <c r="H2" s="9" t="s">
        <v>2007</v>
      </c>
      <c r="I2" s="10" t="s">
        <v>2008</v>
      </c>
      <c r="J2" s="10" t="s">
        <v>2009</v>
      </c>
      <c r="K2" s="11"/>
      <c r="L2" s="23"/>
      <c r="M2" s="11"/>
      <c r="N2" s="10"/>
      <c r="O2" s="11"/>
      <c r="P2" s="10"/>
      <c r="Q2" s="11"/>
      <c r="R2" s="11"/>
      <c r="S2" s="12"/>
      <c r="T2" s="3"/>
    </row>
    <row r="3" spans="1:20" x14ac:dyDescent="0.25">
      <c r="A3" s="8"/>
      <c r="B3" s="22">
        <v>32</v>
      </c>
      <c r="C3" s="10" t="s">
        <v>2010</v>
      </c>
      <c r="D3" s="10"/>
      <c r="E3" s="10" t="s">
        <v>2011</v>
      </c>
      <c r="F3" s="9" t="s">
        <v>2012</v>
      </c>
      <c r="G3" s="11" t="s">
        <v>124</v>
      </c>
      <c r="H3" s="9" t="s">
        <v>2013</v>
      </c>
      <c r="I3" s="10" t="s">
        <v>2008</v>
      </c>
      <c r="J3" s="10" t="s">
        <v>766</v>
      </c>
      <c r="K3" s="11"/>
      <c r="L3" s="23"/>
      <c r="M3" s="11"/>
      <c r="N3" s="10"/>
      <c r="O3" s="11"/>
      <c r="P3" s="10"/>
      <c r="Q3" s="11"/>
      <c r="R3" s="11"/>
      <c r="S3" s="12"/>
      <c r="T3" s="3"/>
    </row>
    <row r="4" spans="1:20" x14ac:dyDescent="0.25">
      <c r="A4" s="8"/>
      <c r="B4" s="22">
        <v>400</v>
      </c>
      <c r="C4" s="10" t="s">
        <v>2014</v>
      </c>
      <c r="D4" s="10"/>
      <c r="E4" s="10" t="s">
        <v>2015</v>
      </c>
      <c r="F4" s="9" t="s">
        <v>2016</v>
      </c>
      <c r="G4" s="11" t="s">
        <v>2017</v>
      </c>
      <c r="H4" s="9" t="s">
        <v>2018</v>
      </c>
      <c r="I4" s="10" t="s">
        <v>2008</v>
      </c>
      <c r="J4" s="10" t="s">
        <v>766</v>
      </c>
      <c r="K4" s="11"/>
      <c r="L4" s="12"/>
      <c r="M4" s="11"/>
      <c r="N4" s="10"/>
      <c r="O4" s="11"/>
      <c r="P4" s="10"/>
      <c r="Q4" s="11"/>
      <c r="R4" s="11"/>
      <c r="S4" s="12"/>
      <c r="T4" s="3"/>
    </row>
    <row r="5" spans="1:20" x14ac:dyDescent="0.25">
      <c r="A5" s="8"/>
      <c r="B5" s="22">
        <v>1</v>
      </c>
      <c r="C5" s="10" t="s">
        <v>884</v>
      </c>
      <c r="D5" s="10"/>
      <c r="E5" s="10" t="s">
        <v>885</v>
      </c>
      <c r="F5" s="9" t="s">
        <v>2019</v>
      </c>
      <c r="G5" s="11" t="s">
        <v>2020</v>
      </c>
      <c r="H5" s="9"/>
      <c r="I5" s="10" t="s">
        <v>2008</v>
      </c>
      <c r="J5" s="10" t="s">
        <v>766</v>
      </c>
      <c r="K5" s="11"/>
      <c r="L5" s="23"/>
      <c r="M5" s="11"/>
      <c r="N5" s="10"/>
      <c r="O5" s="11"/>
      <c r="P5" s="10"/>
      <c r="Q5" s="11"/>
      <c r="R5" s="11"/>
      <c r="S5" s="12"/>
      <c r="T5" s="3"/>
    </row>
    <row r="6" spans="1:20" x14ac:dyDescent="0.25">
      <c r="A6" s="8"/>
      <c r="B6" s="22">
        <v>2</v>
      </c>
      <c r="C6" s="10" t="s">
        <v>2021</v>
      </c>
      <c r="D6" s="10"/>
      <c r="E6" s="10" t="s">
        <v>2022</v>
      </c>
      <c r="F6" s="9" t="s">
        <v>2023</v>
      </c>
      <c r="G6" s="11" t="s">
        <v>90</v>
      </c>
      <c r="H6" s="9" t="s">
        <v>2024</v>
      </c>
      <c r="I6" s="10" t="s">
        <v>2008</v>
      </c>
      <c r="J6" s="10" t="s">
        <v>766</v>
      </c>
      <c r="K6" s="11"/>
      <c r="L6" s="23"/>
      <c r="M6" s="11"/>
      <c r="N6" s="10"/>
      <c r="O6" s="11"/>
      <c r="P6" s="10"/>
      <c r="Q6" s="11"/>
      <c r="R6" s="11"/>
      <c r="S6" s="12"/>
      <c r="T6" s="3"/>
    </row>
    <row r="7" spans="1:20" x14ac:dyDescent="0.25">
      <c r="A7" s="8"/>
      <c r="B7" s="22">
        <v>31</v>
      </c>
      <c r="C7" s="10" t="s">
        <v>499</v>
      </c>
      <c r="D7" s="10"/>
      <c r="E7" s="10" t="s">
        <v>2025</v>
      </c>
      <c r="F7" s="9" t="s">
        <v>2026</v>
      </c>
      <c r="G7" s="11" t="s">
        <v>969</v>
      </c>
      <c r="H7" s="9" t="s">
        <v>2027</v>
      </c>
      <c r="I7" s="10" t="s">
        <v>2008</v>
      </c>
      <c r="J7" s="10" t="s">
        <v>2028</v>
      </c>
      <c r="K7" s="11"/>
      <c r="L7" s="23"/>
      <c r="M7" s="11"/>
      <c r="N7" s="10"/>
      <c r="O7" s="11"/>
      <c r="P7" s="10"/>
      <c r="Q7" s="11"/>
      <c r="R7" s="11"/>
      <c r="S7" s="12"/>
      <c r="T7" s="3"/>
    </row>
    <row r="8" spans="1:20" x14ac:dyDescent="0.25">
      <c r="A8" s="8"/>
      <c r="B8" s="22">
        <v>713</v>
      </c>
      <c r="C8" s="10" t="s">
        <v>499</v>
      </c>
      <c r="D8" s="10"/>
      <c r="E8" s="41" t="s">
        <v>3460</v>
      </c>
      <c r="F8" s="9" t="s">
        <v>2029</v>
      </c>
      <c r="G8" s="11" t="s">
        <v>41</v>
      </c>
      <c r="H8" s="9" t="s">
        <v>2030</v>
      </c>
      <c r="I8" s="10" t="s">
        <v>2031</v>
      </c>
      <c r="J8" s="10" t="s">
        <v>1935</v>
      </c>
      <c r="K8" s="11"/>
      <c r="L8" s="12"/>
      <c r="M8" s="11"/>
      <c r="N8" s="10"/>
      <c r="O8" s="11"/>
      <c r="P8" s="10"/>
      <c r="Q8" s="11"/>
      <c r="R8" s="11"/>
      <c r="S8" s="12"/>
      <c r="T8" s="3"/>
    </row>
    <row r="9" spans="1:20" x14ac:dyDescent="0.25">
      <c r="A9" s="8"/>
      <c r="B9" s="22">
        <v>430</v>
      </c>
      <c r="C9" s="10" t="s">
        <v>1672</v>
      </c>
      <c r="D9" s="10"/>
      <c r="E9" s="10" t="s">
        <v>1673</v>
      </c>
      <c r="F9" s="9" t="s">
        <v>1674</v>
      </c>
      <c r="G9" s="11"/>
      <c r="H9" s="9" t="s">
        <v>1675</v>
      </c>
      <c r="I9" s="10" t="s">
        <v>1421</v>
      </c>
      <c r="J9" s="10" t="s">
        <v>1671</v>
      </c>
      <c r="K9" s="11"/>
      <c r="L9" s="12"/>
      <c r="M9" s="11"/>
      <c r="N9" s="10"/>
      <c r="O9" s="11"/>
      <c r="P9" s="10"/>
      <c r="Q9" s="11"/>
      <c r="R9" s="11"/>
      <c r="S9" s="12"/>
      <c r="T9" s="3"/>
    </row>
    <row r="10" spans="1:20" x14ac:dyDescent="0.25">
      <c r="A10" s="8"/>
      <c r="B10" s="22">
        <v>677</v>
      </c>
      <c r="C10" s="10" t="s">
        <v>1712</v>
      </c>
      <c r="D10" s="10"/>
      <c r="E10" s="10" t="s">
        <v>1713</v>
      </c>
      <c r="F10" s="9" t="s">
        <v>1714</v>
      </c>
      <c r="G10" s="11"/>
      <c r="H10" s="9" t="s">
        <v>1715</v>
      </c>
      <c r="I10" s="10" t="s">
        <v>1716</v>
      </c>
      <c r="J10" s="10" t="s">
        <v>1717</v>
      </c>
      <c r="K10" s="11"/>
      <c r="L10" s="12"/>
      <c r="M10" s="11"/>
      <c r="N10" s="10"/>
      <c r="O10" s="11"/>
      <c r="P10" s="10"/>
      <c r="Q10" s="11"/>
      <c r="R10" s="11"/>
      <c r="S10" s="12"/>
      <c r="T10" s="3"/>
    </row>
    <row r="11" spans="1:20" x14ac:dyDescent="0.25">
      <c r="A11" s="8"/>
      <c r="B11" s="22">
        <v>698</v>
      </c>
      <c r="C11" s="10" t="s">
        <v>1672</v>
      </c>
      <c r="D11" s="10"/>
      <c r="E11" s="10" t="s">
        <v>1723</v>
      </c>
      <c r="F11" s="9" t="s">
        <v>1724</v>
      </c>
      <c r="G11" s="11"/>
      <c r="H11" s="9" t="s">
        <v>1725</v>
      </c>
      <c r="I11" s="10" t="s">
        <v>1716</v>
      </c>
      <c r="J11" s="10" t="s">
        <v>985</v>
      </c>
      <c r="K11" s="11"/>
      <c r="L11" s="12"/>
      <c r="M11" s="11"/>
      <c r="N11" s="10"/>
      <c r="O11" s="11"/>
      <c r="P11" s="10"/>
      <c r="Q11" s="11"/>
      <c r="R11" s="11"/>
      <c r="S11" s="12"/>
      <c r="T11" s="3"/>
    </row>
    <row r="12" spans="1:20" x14ac:dyDescent="0.25">
      <c r="A12" s="8"/>
      <c r="B12" s="22">
        <v>697</v>
      </c>
      <c r="C12" s="10" t="s">
        <v>1672</v>
      </c>
      <c r="D12" s="10"/>
      <c r="E12" s="10" t="s">
        <v>1673</v>
      </c>
      <c r="F12" s="9" t="s">
        <v>1720</v>
      </c>
      <c r="G12" s="11" t="s">
        <v>1721</v>
      </c>
      <c r="H12" s="9" t="s">
        <v>1722</v>
      </c>
      <c r="I12" s="10" t="s">
        <v>1716</v>
      </c>
      <c r="J12" s="10" t="s">
        <v>985</v>
      </c>
      <c r="K12" s="11"/>
      <c r="L12" s="12"/>
      <c r="M12" s="11"/>
      <c r="N12" s="10"/>
      <c r="O12" s="11"/>
      <c r="P12" s="10"/>
      <c r="Q12" s="11"/>
      <c r="R12" s="11"/>
      <c r="S12" s="12"/>
      <c r="T12" s="3"/>
    </row>
    <row r="13" spans="1:20" x14ac:dyDescent="0.25">
      <c r="A13" s="8"/>
      <c r="B13" s="22">
        <v>696</v>
      </c>
      <c r="C13" s="10" t="s">
        <v>1712</v>
      </c>
      <c r="D13" s="10"/>
      <c r="E13" s="10" t="s">
        <v>1713</v>
      </c>
      <c r="F13" s="9" t="s">
        <v>1718</v>
      </c>
      <c r="G13" s="11">
        <v>2016</v>
      </c>
      <c r="H13" s="9" t="s">
        <v>1719</v>
      </c>
      <c r="I13" s="10" t="s">
        <v>1716</v>
      </c>
      <c r="J13" s="10" t="s">
        <v>985</v>
      </c>
      <c r="K13" s="11"/>
      <c r="L13" s="12"/>
      <c r="M13" s="11"/>
      <c r="N13" s="10"/>
      <c r="O13" s="11"/>
      <c r="P13" s="10"/>
      <c r="Q13" s="11"/>
      <c r="R13" s="11"/>
      <c r="S13" s="12"/>
      <c r="T13" s="3"/>
    </row>
    <row r="14" spans="1:20" x14ac:dyDescent="0.25">
      <c r="A14" s="8"/>
      <c r="B14" s="22">
        <v>28</v>
      </c>
      <c r="C14" s="10" t="s">
        <v>499</v>
      </c>
      <c r="D14" s="10"/>
      <c r="E14" s="10" t="s">
        <v>2025</v>
      </c>
      <c r="F14" s="9" t="s">
        <v>2032</v>
      </c>
      <c r="G14" s="11" t="s">
        <v>59</v>
      </c>
      <c r="H14" s="9" t="s">
        <v>2033</v>
      </c>
      <c r="I14" s="10" t="s">
        <v>1186</v>
      </c>
      <c r="J14" s="10" t="s">
        <v>2034</v>
      </c>
      <c r="K14" s="11"/>
      <c r="L14" s="23"/>
      <c r="M14" s="11"/>
      <c r="N14" s="10"/>
      <c r="O14" s="11"/>
      <c r="P14" s="10"/>
      <c r="Q14" s="11"/>
      <c r="R14" s="11"/>
      <c r="S14" s="12"/>
      <c r="T14" s="3"/>
    </row>
    <row r="15" spans="1:20" x14ac:dyDescent="0.25">
      <c r="A15" s="8"/>
      <c r="B15" s="22">
        <v>25</v>
      </c>
      <c r="C15" s="10" t="s">
        <v>499</v>
      </c>
      <c r="D15" s="10"/>
      <c r="E15" s="10" t="s">
        <v>2025</v>
      </c>
      <c r="F15" s="9" t="s">
        <v>2035</v>
      </c>
      <c r="G15" s="11" t="s">
        <v>59</v>
      </c>
      <c r="H15" s="9" t="s">
        <v>2036</v>
      </c>
      <c r="I15" s="10" t="s">
        <v>1186</v>
      </c>
      <c r="J15" s="10" t="s">
        <v>2000</v>
      </c>
      <c r="K15" s="11"/>
      <c r="L15" s="23"/>
      <c r="M15" s="11"/>
      <c r="N15" s="10"/>
      <c r="O15" s="11"/>
      <c r="P15" s="10"/>
      <c r="Q15" s="11"/>
      <c r="R15" s="11"/>
      <c r="S15" s="12"/>
      <c r="T15" s="3"/>
    </row>
    <row r="16" spans="1:20" x14ac:dyDescent="0.25">
      <c r="A16" s="8"/>
      <c r="B16" s="22">
        <v>26</v>
      </c>
      <c r="C16" s="10" t="s">
        <v>2010</v>
      </c>
      <c r="D16" s="10"/>
      <c r="E16" s="10" t="s">
        <v>2037</v>
      </c>
      <c r="F16" s="9" t="s">
        <v>2038</v>
      </c>
      <c r="G16" s="11" t="s">
        <v>159</v>
      </c>
      <c r="H16" s="9" t="s">
        <v>2039</v>
      </c>
      <c r="I16" s="10" t="s">
        <v>1186</v>
      </c>
      <c r="J16" s="10" t="s">
        <v>766</v>
      </c>
      <c r="K16" s="11"/>
      <c r="L16" s="23"/>
      <c r="M16" s="11"/>
      <c r="N16" s="10"/>
      <c r="O16" s="11"/>
      <c r="P16" s="10"/>
      <c r="Q16" s="11"/>
      <c r="R16" s="11"/>
      <c r="S16" s="12"/>
      <c r="T16" s="3"/>
    </row>
    <row r="17" spans="1:20" x14ac:dyDescent="0.25">
      <c r="A17" s="8"/>
      <c r="B17" s="22">
        <v>27</v>
      </c>
      <c r="C17" s="10" t="s">
        <v>499</v>
      </c>
      <c r="D17" s="10"/>
      <c r="E17" s="10" t="s">
        <v>2025</v>
      </c>
      <c r="F17" s="9" t="s">
        <v>2040</v>
      </c>
      <c r="G17" s="11" t="s">
        <v>283</v>
      </c>
      <c r="H17" s="9" t="s">
        <v>2041</v>
      </c>
      <c r="I17" s="10" t="s">
        <v>1186</v>
      </c>
      <c r="J17" s="10" t="s">
        <v>766</v>
      </c>
      <c r="K17" s="11"/>
      <c r="L17" s="23"/>
      <c r="M17" s="11"/>
      <c r="N17" s="10"/>
      <c r="O17" s="11"/>
      <c r="P17" s="10"/>
      <c r="Q17" s="11"/>
      <c r="R17" s="11"/>
      <c r="S17" s="12"/>
      <c r="T17" s="3"/>
    </row>
    <row r="18" spans="1:20" x14ac:dyDescent="0.25">
      <c r="A18" s="8"/>
      <c r="B18" s="22">
        <v>29</v>
      </c>
      <c r="C18" s="10" t="s">
        <v>499</v>
      </c>
      <c r="D18" s="10"/>
      <c r="E18" s="10" t="s">
        <v>2025</v>
      </c>
      <c r="F18" s="9" t="s">
        <v>1775</v>
      </c>
      <c r="G18" s="11" t="s">
        <v>41</v>
      </c>
      <c r="H18" s="9" t="s">
        <v>1776</v>
      </c>
      <c r="I18" s="10" t="s">
        <v>1186</v>
      </c>
      <c r="J18" s="10" t="s">
        <v>2028</v>
      </c>
      <c r="K18" s="11"/>
      <c r="L18" s="23"/>
      <c r="M18" s="11"/>
      <c r="N18" s="10"/>
      <c r="O18" s="11"/>
      <c r="P18" s="10"/>
      <c r="Q18" s="11"/>
      <c r="R18" s="11"/>
      <c r="S18" s="12"/>
      <c r="T18" s="3"/>
    </row>
    <row r="19" spans="1:20" x14ac:dyDescent="0.25">
      <c r="A19" s="8"/>
      <c r="B19" s="22">
        <v>408</v>
      </c>
      <c r="C19" s="10" t="s">
        <v>499</v>
      </c>
      <c r="D19" s="10"/>
      <c r="E19" s="10" t="s">
        <v>901</v>
      </c>
      <c r="F19" s="9" t="s">
        <v>902</v>
      </c>
      <c r="G19" s="11" t="s">
        <v>615</v>
      </c>
      <c r="H19" s="9" t="s">
        <v>903</v>
      </c>
      <c r="I19" s="10" t="s">
        <v>766</v>
      </c>
      <c r="J19" s="10" t="s">
        <v>767</v>
      </c>
      <c r="K19" s="11"/>
      <c r="L19" s="12"/>
      <c r="M19" s="11"/>
      <c r="N19" s="10"/>
      <c r="O19" s="11"/>
      <c r="P19" s="10"/>
      <c r="Q19" s="11"/>
      <c r="R19" s="11"/>
      <c r="S19" s="12"/>
      <c r="T19" s="3"/>
    </row>
    <row r="20" spans="1:20" ht="30" x14ac:dyDescent="0.25">
      <c r="A20" s="8"/>
      <c r="B20" s="22">
        <v>358</v>
      </c>
      <c r="C20" s="10" t="s">
        <v>499</v>
      </c>
      <c r="D20" s="10"/>
      <c r="E20" s="10" t="s">
        <v>901</v>
      </c>
      <c r="F20" s="9" t="s">
        <v>904</v>
      </c>
      <c r="G20" s="11" t="s">
        <v>615</v>
      </c>
      <c r="H20" s="9" t="s">
        <v>905</v>
      </c>
      <c r="I20" s="10" t="s">
        <v>766</v>
      </c>
      <c r="J20" s="10" t="s">
        <v>767</v>
      </c>
      <c r="K20" s="11"/>
      <c r="L20" s="12"/>
      <c r="M20" s="11"/>
      <c r="N20" s="10"/>
      <c r="O20" s="11"/>
      <c r="P20" s="10"/>
      <c r="Q20" s="11"/>
      <c r="R20" s="11"/>
      <c r="S20" s="12"/>
      <c r="T20" s="3"/>
    </row>
    <row r="21" spans="1:20" x14ac:dyDescent="0.25">
      <c r="A21" s="8"/>
      <c r="B21" s="22">
        <v>348</v>
      </c>
      <c r="C21" s="10" t="s">
        <v>884</v>
      </c>
      <c r="D21" s="10"/>
      <c r="E21" s="10" t="s">
        <v>885</v>
      </c>
      <c r="F21" s="9" t="s">
        <v>886</v>
      </c>
      <c r="G21" s="11" t="s">
        <v>41</v>
      </c>
      <c r="H21" s="9" t="s">
        <v>2042</v>
      </c>
      <c r="I21" s="10" t="s">
        <v>766</v>
      </c>
      <c r="J21" s="10" t="s">
        <v>767</v>
      </c>
      <c r="K21" s="11"/>
      <c r="L21" s="24"/>
      <c r="M21" s="11"/>
      <c r="N21" s="10"/>
      <c r="O21" s="11"/>
      <c r="P21" s="10"/>
      <c r="Q21" s="11"/>
      <c r="R21" s="11"/>
      <c r="S21" s="12"/>
      <c r="T21" s="3"/>
    </row>
    <row r="22" spans="1:20" x14ac:dyDescent="0.25">
      <c r="A22" s="8"/>
      <c r="B22" s="22">
        <v>359</v>
      </c>
      <c r="C22" s="10" t="s">
        <v>499</v>
      </c>
      <c r="D22" s="10"/>
      <c r="E22" s="10" t="s">
        <v>901</v>
      </c>
      <c r="F22" s="9" t="s">
        <v>960</v>
      </c>
      <c r="G22" s="11" t="s">
        <v>615</v>
      </c>
      <c r="H22" s="9" t="s">
        <v>961</v>
      </c>
      <c r="I22" s="10" t="s">
        <v>766</v>
      </c>
      <c r="J22" s="10" t="s">
        <v>928</v>
      </c>
      <c r="K22" s="11"/>
      <c r="L22" s="24"/>
      <c r="M22" s="11"/>
      <c r="N22" s="10"/>
      <c r="O22" s="11"/>
      <c r="P22" s="10"/>
      <c r="Q22" s="11"/>
      <c r="R22" s="11"/>
      <c r="S22" s="12"/>
      <c r="T22" s="3"/>
    </row>
    <row r="23" spans="1:20" x14ac:dyDescent="0.25">
      <c r="A23" s="8"/>
      <c r="B23" s="22">
        <v>385</v>
      </c>
      <c r="C23" s="10" t="s">
        <v>884</v>
      </c>
      <c r="D23" s="10"/>
      <c r="E23" s="10" t="s">
        <v>885</v>
      </c>
      <c r="F23" s="9" t="s">
        <v>954</v>
      </c>
      <c r="G23" s="11" t="s">
        <v>41</v>
      </c>
      <c r="H23" s="9" t="s">
        <v>2043</v>
      </c>
      <c r="I23" s="10" t="s">
        <v>766</v>
      </c>
      <c r="J23" s="10" t="s">
        <v>928</v>
      </c>
      <c r="K23" s="11"/>
      <c r="L23" s="24"/>
      <c r="M23" s="11"/>
      <c r="N23" s="10"/>
      <c r="O23" s="11"/>
      <c r="P23" s="10"/>
      <c r="Q23" s="11"/>
      <c r="R23" s="11"/>
      <c r="S23" s="12"/>
      <c r="T23" s="3"/>
    </row>
    <row r="24" spans="1:20" x14ac:dyDescent="0.25">
      <c r="A24" s="8"/>
      <c r="B24" s="22">
        <v>389</v>
      </c>
      <c r="C24" s="10" t="s">
        <v>986</v>
      </c>
      <c r="D24" s="10"/>
      <c r="E24" s="10" t="s">
        <v>987</v>
      </c>
      <c r="F24" s="9" t="s">
        <v>2044</v>
      </c>
      <c r="G24" s="11" t="s">
        <v>47</v>
      </c>
      <c r="H24" s="9" t="s">
        <v>988</v>
      </c>
      <c r="I24" s="10" t="s">
        <v>766</v>
      </c>
      <c r="J24" s="10" t="s">
        <v>1671</v>
      </c>
      <c r="K24" s="11"/>
      <c r="L24" s="24"/>
      <c r="M24" s="11"/>
      <c r="N24" s="10"/>
      <c r="O24" s="11"/>
      <c r="P24" s="10"/>
      <c r="Q24" s="11"/>
      <c r="R24" s="11"/>
      <c r="S24" s="12"/>
      <c r="T24" s="3"/>
    </row>
    <row r="25" spans="1:20" ht="30" x14ac:dyDescent="0.25">
      <c r="A25" s="8"/>
      <c r="B25" s="22">
        <v>185</v>
      </c>
      <c r="C25" s="10" t="s">
        <v>499</v>
      </c>
      <c r="D25" s="10"/>
      <c r="E25" s="10" t="s">
        <v>500</v>
      </c>
      <c r="F25" s="9" t="s">
        <v>501</v>
      </c>
      <c r="G25" s="11"/>
      <c r="H25" s="9" t="s">
        <v>502</v>
      </c>
      <c r="I25" s="10" t="s">
        <v>442</v>
      </c>
      <c r="J25" s="10" t="s">
        <v>466</v>
      </c>
      <c r="K25" s="11"/>
      <c r="L25" s="24"/>
      <c r="M25" s="11"/>
      <c r="N25" s="10"/>
      <c r="O25" s="11"/>
      <c r="P25" s="10"/>
      <c r="Q25" s="11"/>
      <c r="R25" s="11"/>
      <c r="S25" s="12"/>
      <c r="T25" s="3"/>
    </row>
    <row r="26" spans="1:20" x14ac:dyDescent="0.25">
      <c r="A26" s="8"/>
      <c r="B26" s="22">
        <v>47</v>
      </c>
      <c r="C26" s="3" t="s">
        <v>2010</v>
      </c>
      <c r="E26" s="3" t="s">
        <v>2045</v>
      </c>
      <c r="F26" s="2" t="s">
        <v>2046</v>
      </c>
      <c r="H26" s="2" t="s">
        <v>2047</v>
      </c>
      <c r="I26" s="3" t="s">
        <v>2048</v>
      </c>
      <c r="J26" s="3" t="s">
        <v>2049</v>
      </c>
      <c r="K26" s="11"/>
      <c r="L26" s="11"/>
      <c r="M26" s="11"/>
      <c r="N26" s="10"/>
      <c r="O26" s="11"/>
      <c r="P26" s="10"/>
      <c r="Q26" s="11"/>
      <c r="R26" s="11"/>
      <c r="S26" s="12"/>
      <c r="T26" s="3"/>
    </row>
    <row r="27" spans="1:20" x14ac:dyDescent="0.25">
      <c r="A27" s="8"/>
      <c r="B27" s="22">
        <v>48</v>
      </c>
      <c r="C27" s="10" t="s">
        <v>499</v>
      </c>
      <c r="D27" s="10"/>
      <c r="E27" s="10" t="s">
        <v>2050</v>
      </c>
      <c r="F27" s="9" t="s">
        <v>2051</v>
      </c>
      <c r="G27" s="11" t="s">
        <v>124</v>
      </c>
      <c r="H27" s="9" t="s">
        <v>2052</v>
      </c>
      <c r="I27" s="10" t="s">
        <v>2048</v>
      </c>
      <c r="J27" s="10" t="s">
        <v>2053</v>
      </c>
      <c r="K27" s="11"/>
      <c r="L27" s="11"/>
      <c r="M27" s="11"/>
      <c r="N27" s="10"/>
      <c r="O27" s="11"/>
      <c r="P27" s="10"/>
      <c r="Q27" s="11"/>
      <c r="R27" s="11"/>
      <c r="S27" s="12"/>
      <c r="T27" s="3"/>
    </row>
    <row r="28" spans="1:20" x14ac:dyDescent="0.25">
      <c r="A28" s="8"/>
      <c r="B28" s="22">
        <v>49</v>
      </c>
      <c r="C28" s="10" t="s">
        <v>2010</v>
      </c>
      <c r="D28" s="10"/>
      <c r="E28" s="10" t="s">
        <v>2045</v>
      </c>
      <c r="F28" s="9" t="s">
        <v>2054</v>
      </c>
      <c r="G28" s="11"/>
      <c r="H28" s="9" t="s">
        <v>2055</v>
      </c>
      <c r="I28" s="10" t="s">
        <v>2048</v>
      </c>
      <c r="J28" s="10" t="s">
        <v>2053</v>
      </c>
      <c r="K28" s="11"/>
      <c r="L28" s="11"/>
      <c r="M28" s="11"/>
      <c r="N28" s="10"/>
      <c r="O28" s="11"/>
      <c r="P28" s="10"/>
      <c r="Q28" s="11"/>
      <c r="R28" s="11"/>
      <c r="S28" s="12"/>
      <c r="T28" s="3"/>
    </row>
    <row r="29" spans="1:20" x14ac:dyDescent="0.25">
      <c r="A29" s="8"/>
      <c r="B29" s="22">
        <v>44</v>
      </c>
      <c r="C29" s="10" t="s">
        <v>2010</v>
      </c>
      <c r="D29" s="10"/>
      <c r="E29" s="10" t="s">
        <v>2056</v>
      </c>
      <c r="F29" s="9" t="s">
        <v>2057</v>
      </c>
      <c r="G29" s="11" t="s">
        <v>2058</v>
      </c>
      <c r="H29" s="9" t="s">
        <v>2059</v>
      </c>
      <c r="I29" s="10" t="s">
        <v>2048</v>
      </c>
      <c r="J29" s="10" t="s">
        <v>2060</v>
      </c>
      <c r="K29" s="11"/>
      <c r="L29" s="23"/>
      <c r="M29" s="11"/>
      <c r="N29" s="10"/>
      <c r="O29" s="11"/>
      <c r="P29" s="10"/>
      <c r="Q29" s="11"/>
      <c r="R29" s="11"/>
      <c r="S29" s="12"/>
      <c r="T29" s="3"/>
    </row>
    <row r="30" spans="1:20" x14ac:dyDescent="0.25">
      <c r="A30" s="8"/>
      <c r="B30" s="22">
        <v>46</v>
      </c>
      <c r="C30" s="10" t="s">
        <v>499</v>
      </c>
      <c r="D30" s="10"/>
      <c r="E30" s="10" t="s">
        <v>2061</v>
      </c>
      <c r="F30" s="9" t="s">
        <v>2062</v>
      </c>
      <c r="G30" s="11" t="s">
        <v>969</v>
      </c>
      <c r="H30" s="9" t="s">
        <v>2063</v>
      </c>
      <c r="I30" s="10" t="s">
        <v>2048</v>
      </c>
      <c r="J30" s="10" t="s">
        <v>2064</v>
      </c>
      <c r="K30" s="11"/>
      <c r="L30" s="11"/>
      <c r="M30" s="11"/>
      <c r="N30" s="10"/>
      <c r="O30" s="11"/>
      <c r="P30" s="10"/>
      <c r="Q30" s="11"/>
      <c r="R30" s="11"/>
      <c r="S30" s="12"/>
      <c r="T30" s="3"/>
    </row>
    <row r="31" spans="1:20" x14ac:dyDescent="0.25">
      <c r="A31" s="8"/>
      <c r="B31" s="22">
        <v>45</v>
      </c>
      <c r="C31" s="10" t="s">
        <v>2010</v>
      </c>
      <c r="D31" s="10"/>
      <c r="E31" s="10" t="s">
        <v>2045</v>
      </c>
      <c r="F31" s="9" t="s">
        <v>2065</v>
      </c>
      <c r="G31" s="11"/>
      <c r="H31" s="9" t="s">
        <v>2066</v>
      </c>
      <c r="I31" s="10" t="s">
        <v>2048</v>
      </c>
      <c r="J31" s="10" t="s">
        <v>2064</v>
      </c>
      <c r="K31" s="11"/>
      <c r="L31" s="11"/>
      <c r="M31" s="11"/>
      <c r="N31" s="10"/>
      <c r="O31" s="11"/>
      <c r="P31" s="10"/>
      <c r="Q31" s="11"/>
      <c r="R31" s="11"/>
      <c r="S31" s="12"/>
      <c r="T31" s="3"/>
    </row>
    <row r="32" spans="1:20" x14ac:dyDescent="0.25">
      <c r="A32" s="8"/>
      <c r="B32" s="22">
        <v>50</v>
      </c>
      <c r="C32" s="10" t="s">
        <v>499</v>
      </c>
      <c r="D32" s="10"/>
      <c r="E32" s="10" t="s">
        <v>2067</v>
      </c>
      <c r="F32" s="2" t="s">
        <v>2068</v>
      </c>
      <c r="G32" s="1" t="s">
        <v>79</v>
      </c>
      <c r="H32" s="9" t="s">
        <v>2069</v>
      </c>
      <c r="I32" s="10" t="s">
        <v>2048</v>
      </c>
      <c r="J32" s="10" t="s">
        <v>2070</v>
      </c>
      <c r="K32" s="11"/>
      <c r="L32" s="11"/>
      <c r="M32" s="11"/>
      <c r="N32" s="10"/>
      <c r="O32" s="11"/>
      <c r="P32" s="10"/>
      <c r="Q32" s="11"/>
      <c r="R32" s="11"/>
      <c r="S32" s="12"/>
      <c r="T32" s="3"/>
    </row>
    <row r="33" spans="1:20" x14ac:dyDescent="0.25">
      <c r="A33" s="8"/>
      <c r="B33" s="22">
        <v>40</v>
      </c>
      <c r="C33" s="10" t="s">
        <v>2010</v>
      </c>
      <c r="D33" s="10"/>
      <c r="E33" s="10" t="s">
        <v>2071</v>
      </c>
      <c r="F33" s="9" t="s">
        <v>2072</v>
      </c>
      <c r="G33" s="11" t="s">
        <v>2073</v>
      </c>
      <c r="H33" s="9"/>
      <c r="I33" s="10" t="s">
        <v>2074</v>
      </c>
      <c r="J33" s="10" t="s">
        <v>2075</v>
      </c>
      <c r="K33" s="11"/>
      <c r="L33" s="11"/>
      <c r="M33" s="11"/>
      <c r="N33" s="10"/>
      <c r="O33" s="11"/>
      <c r="P33" s="10"/>
      <c r="Q33" s="11"/>
      <c r="R33" s="11"/>
      <c r="S33" s="12"/>
      <c r="T33" s="3"/>
    </row>
    <row r="34" spans="1:20" x14ac:dyDescent="0.25">
      <c r="A34" s="8"/>
      <c r="B34" s="22">
        <v>41</v>
      </c>
      <c r="C34" s="10" t="s">
        <v>2010</v>
      </c>
      <c r="D34" s="10"/>
      <c r="E34" s="10" t="s">
        <v>2076</v>
      </c>
      <c r="F34" s="9" t="s">
        <v>2077</v>
      </c>
      <c r="G34" s="11" t="s">
        <v>236</v>
      </c>
      <c r="H34" s="9"/>
      <c r="I34" s="10" t="s">
        <v>2074</v>
      </c>
      <c r="J34" s="10" t="s">
        <v>2078</v>
      </c>
      <c r="K34" s="11"/>
      <c r="L34" s="11"/>
      <c r="M34" s="11"/>
      <c r="N34" s="10"/>
      <c r="O34" s="11"/>
      <c r="P34" s="10"/>
      <c r="Q34" s="11"/>
      <c r="R34" s="11"/>
      <c r="S34" s="12"/>
      <c r="T34" s="3"/>
    </row>
    <row r="35" spans="1:20" x14ac:dyDescent="0.25">
      <c r="A35" s="8"/>
      <c r="B35" s="22">
        <v>4</v>
      </c>
      <c r="C35" s="10" t="s">
        <v>499</v>
      </c>
      <c r="D35" s="10"/>
      <c r="E35" s="10" t="s">
        <v>2079</v>
      </c>
      <c r="F35" s="9" t="s">
        <v>2080</v>
      </c>
      <c r="G35" s="11" t="s">
        <v>90</v>
      </c>
      <c r="H35" s="9" t="s">
        <v>2081</v>
      </c>
      <c r="I35" s="10" t="s">
        <v>2074</v>
      </c>
      <c r="J35" s="10" t="s">
        <v>2078</v>
      </c>
      <c r="K35" s="11"/>
      <c r="L35" s="11"/>
      <c r="M35" s="11"/>
      <c r="N35" s="10"/>
      <c r="O35" s="11"/>
      <c r="P35" s="10"/>
      <c r="Q35" s="11"/>
      <c r="R35" s="11"/>
      <c r="S35" s="12"/>
      <c r="T35" s="3"/>
    </row>
    <row r="36" spans="1:20" x14ac:dyDescent="0.25">
      <c r="A36" s="8"/>
      <c r="B36" s="22">
        <v>5</v>
      </c>
      <c r="C36" s="10" t="s">
        <v>2010</v>
      </c>
      <c r="D36" s="10"/>
      <c r="E36" s="10" t="s">
        <v>2045</v>
      </c>
      <c r="F36" s="9" t="s">
        <v>2082</v>
      </c>
      <c r="G36" s="11"/>
      <c r="H36" s="9"/>
      <c r="I36" s="10" t="s">
        <v>2074</v>
      </c>
      <c r="J36" s="10" t="s">
        <v>2083</v>
      </c>
      <c r="K36" s="11"/>
      <c r="L36" s="11"/>
      <c r="M36" s="11"/>
      <c r="N36" s="10"/>
      <c r="O36" s="11"/>
      <c r="P36" s="10"/>
      <c r="Q36" s="11"/>
      <c r="R36" s="11"/>
      <c r="S36" s="12"/>
      <c r="T36" s="3"/>
    </row>
    <row r="37" spans="1:20" x14ac:dyDescent="0.25">
      <c r="A37" s="8"/>
      <c r="B37" s="22">
        <v>6</v>
      </c>
      <c r="C37" s="10" t="s">
        <v>499</v>
      </c>
      <c r="D37" s="10"/>
      <c r="E37" s="10" t="s">
        <v>2079</v>
      </c>
      <c r="F37" s="9"/>
      <c r="G37" s="11"/>
      <c r="H37" s="10"/>
      <c r="I37" s="10" t="s">
        <v>2074</v>
      </c>
      <c r="J37" s="10" t="s">
        <v>2083</v>
      </c>
      <c r="K37" s="11"/>
      <c r="L37" s="11"/>
      <c r="M37" s="11"/>
      <c r="N37" s="10"/>
      <c r="O37" s="11"/>
      <c r="P37" s="10"/>
      <c r="Q37" s="11"/>
      <c r="R37" s="11"/>
      <c r="S37" s="12"/>
      <c r="T37" s="3"/>
    </row>
    <row r="38" spans="1:20" ht="30" x14ac:dyDescent="0.25">
      <c r="A38" s="8"/>
      <c r="B38" s="22">
        <v>43</v>
      </c>
      <c r="C38" s="10" t="s">
        <v>499</v>
      </c>
      <c r="D38" s="10"/>
      <c r="E38" s="10" t="s">
        <v>2079</v>
      </c>
      <c r="F38" s="9"/>
      <c r="G38" s="11"/>
      <c r="H38" s="9" t="s">
        <v>2084</v>
      </c>
      <c r="I38" s="10" t="s">
        <v>1842</v>
      </c>
      <c r="J38" s="10" t="s">
        <v>2075</v>
      </c>
      <c r="K38" s="11"/>
      <c r="L38" s="11"/>
      <c r="M38" s="11"/>
      <c r="N38" s="10"/>
      <c r="O38" s="11"/>
      <c r="P38" s="10"/>
      <c r="Q38" s="11"/>
      <c r="R38" s="11"/>
      <c r="S38" s="12"/>
      <c r="T38" s="3"/>
    </row>
    <row r="39" spans="1:20" x14ac:dyDescent="0.25">
      <c r="A39" s="8"/>
      <c r="B39" s="22">
        <v>34</v>
      </c>
      <c r="C39" s="10" t="s">
        <v>499</v>
      </c>
      <c r="D39" s="10"/>
      <c r="E39" s="10" t="s">
        <v>2085</v>
      </c>
      <c r="F39" s="9" t="s">
        <v>2086</v>
      </c>
      <c r="G39" s="11"/>
      <c r="H39" s="9" t="s">
        <v>2087</v>
      </c>
      <c r="I39" s="10" t="s">
        <v>1842</v>
      </c>
      <c r="J39" s="10" t="s">
        <v>2088</v>
      </c>
      <c r="K39" s="11"/>
      <c r="L39" s="11"/>
      <c r="M39" s="11"/>
      <c r="N39" s="10"/>
      <c r="O39" s="11"/>
      <c r="P39" s="10"/>
      <c r="Q39" s="11"/>
      <c r="R39" s="11"/>
      <c r="S39" s="12"/>
      <c r="T39" s="3"/>
    </row>
    <row r="40" spans="1:20" x14ac:dyDescent="0.25">
      <c r="A40" s="8"/>
      <c r="B40" s="22">
        <v>3</v>
      </c>
      <c r="C40" s="10" t="s">
        <v>2021</v>
      </c>
      <c r="D40" s="10"/>
      <c r="E40" s="10" t="s">
        <v>2089</v>
      </c>
      <c r="F40" s="9"/>
      <c r="G40" s="11"/>
      <c r="H40" s="9" t="s">
        <v>2090</v>
      </c>
      <c r="I40" s="10" t="s">
        <v>1842</v>
      </c>
      <c r="J40" s="10" t="s">
        <v>2088</v>
      </c>
      <c r="K40" s="11"/>
      <c r="L40" s="11"/>
      <c r="M40" s="11"/>
      <c r="N40" s="10"/>
      <c r="O40" s="11"/>
      <c r="P40" s="10"/>
      <c r="Q40" s="11"/>
      <c r="R40" s="11"/>
      <c r="S40" s="12"/>
      <c r="T40" s="3"/>
    </row>
    <row r="41" spans="1:20" x14ac:dyDescent="0.25">
      <c r="A41" s="8"/>
      <c r="B41" s="22">
        <v>33</v>
      </c>
      <c r="C41" s="10" t="s">
        <v>2010</v>
      </c>
      <c r="D41" s="10"/>
      <c r="E41" s="10" t="s">
        <v>2091</v>
      </c>
      <c r="F41" s="9"/>
      <c r="G41" s="11"/>
      <c r="H41" s="9"/>
      <c r="I41" s="10" t="s">
        <v>1842</v>
      </c>
      <c r="J41" s="10" t="s">
        <v>2088</v>
      </c>
      <c r="K41" s="11"/>
      <c r="L41" s="11"/>
      <c r="M41" s="11"/>
      <c r="N41" s="10"/>
      <c r="O41" s="11"/>
      <c r="P41" s="10"/>
      <c r="Q41" s="11"/>
      <c r="R41" s="11"/>
      <c r="S41" s="12"/>
      <c r="T41" s="3"/>
    </row>
    <row r="42" spans="1:20" x14ac:dyDescent="0.25">
      <c r="A42" s="8"/>
      <c r="B42" s="22">
        <v>42</v>
      </c>
      <c r="C42" s="10" t="s">
        <v>2010</v>
      </c>
      <c r="D42" s="10"/>
      <c r="E42" s="10" t="s">
        <v>2056</v>
      </c>
      <c r="F42" s="9" t="s">
        <v>2092</v>
      </c>
      <c r="G42" s="11" t="s">
        <v>2058</v>
      </c>
      <c r="H42" s="9"/>
      <c r="I42" s="10" t="s">
        <v>1842</v>
      </c>
      <c r="J42" s="10" t="s">
        <v>2088</v>
      </c>
      <c r="K42" s="11"/>
      <c r="L42" s="11"/>
      <c r="M42" s="11"/>
      <c r="N42" s="10"/>
      <c r="O42" s="11"/>
      <c r="P42" s="10"/>
      <c r="Q42" s="11"/>
      <c r="R42" s="11"/>
      <c r="S42" s="12"/>
      <c r="T42" s="3"/>
    </row>
    <row r="43" spans="1:20" x14ac:dyDescent="0.25">
      <c r="A43" s="8"/>
      <c r="B43" s="22">
        <v>36</v>
      </c>
      <c r="C43" s="10" t="s">
        <v>499</v>
      </c>
      <c r="D43" s="10"/>
      <c r="E43" s="10" t="s">
        <v>2093</v>
      </c>
      <c r="F43" s="9" t="s">
        <v>2094</v>
      </c>
      <c r="G43" s="11" t="s">
        <v>51</v>
      </c>
      <c r="H43" s="9" t="s">
        <v>2095</v>
      </c>
      <c r="I43" s="10" t="s">
        <v>1842</v>
      </c>
      <c r="J43" s="10" t="s">
        <v>766</v>
      </c>
      <c r="K43" s="11"/>
      <c r="L43" s="11"/>
      <c r="M43" s="11"/>
      <c r="N43" s="10"/>
      <c r="O43" s="11"/>
      <c r="P43" s="10"/>
      <c r="Q43" s="11"/>
      <c r="R43" s="11"/>
      <c r="S43" s="12"/>
      <c r="T43" s="3"/>
    </row>
    <row r="44" spans="1:20" x14ac:dyDescent="0.25">
      <c r="A44" s="8"/>
      <c r="B44" s="22">
        <v>35</v>
      </c>
      <c r="C44" s="10" t="s">
        <v>2010</v>
      </c>
      <c r="D44" s="10"/>
      <c r="E44" s="10" t="s">
        <v>2037</v>
      </c>
      <c r="F44" s="9" t="s">
        <v>2096</v>
      </c>
      <c r="G44" s="11" t="s">
        <v>59</v>
      </c>
      <c r="I44" s="10" t="s">
        <v>1842</v>
      </c>
      <c r="J44" s="10" t="s">
        <v>766</v>
      </c>
      <c r="K44" s="11"/>
      <c r="L44" s="11"/>
      <c r="M44" s="11"/>
      <c r="N44" s="10"/>
      <c r="O44" s="11"/>
      <c r="P44" s="10"/>
      <c r="Q44" s="11"/>
      <c r="R44" s="11"/>
      <c r="S44" s="12"/>
      <c r="T44" s="3"/>
    </row>
    <row r="45" spans="1:20" x14ac:dyDescent="0.25">
      <c r="A45" s="8"/>
      <c r="B45" s="22">
        <v>37</v>
      </c>
      <c r="C45" s="10" t="s">
        <v>499</v>
      </c>
      <c r="D45" s="10"/>
      <c r="E45" s="10" t="s">
        <v>2097</v>
      </c>
      <c r="F45" s="9" t="s">
        <v>2098</v>
      </c>
      <c r="G45" s="11" t="s">
        <v>51</v>
      </c>
      <c r="H45" s="9" t="s">
        <v>2099</v>
      </c>
      <c r="I45" s="10" t="s">
        <v>1842</v>
      </c>
      <c r="J45" s="10" t="s">
        <v>2028</v>
      </c>
      <c r="K45" s="11"/>
      <c r="L45" s="11"/>
      <c r="M45" s="11"/>
      <c r="N45" s="10"/>
      <c r="O45" s="11"/>
      <c r="P45" s="10"/>
      <c r="Q45" s="11"/>
      <c r="R45" s="11"/>
      <c r="S45" s="12"/>
      <c r="T45" s="3"/>
    </row>
    <row r="46" spans="1:20" x14ac:dyDescent="0.25">
      <c r="A46" s="8"/>
      <c r="B46" s="22">
        <v>38</v>
      </c>
      <c r="C46" s="10" t="s">
        <v>2010</v>
      </c>
      <c r="D46" s="10"/>
      <c r="E46" s="10" t="s">
        <v>2100</v>
      </c>
      <c r="F46" s="9" t="s">
        <v>2101</v>
      </c>
      <c r="G46" s="11" t="s">
        <v>41</v>
      </c>
      <c r="H46" s="9">
        <v>2240000015</v>
      </c>
      <c r="I46" s="10" t="s">
        <v>1842</v>
      </c>
      <c r="J46" s="10" t="s">
        <v>706</v>
      </c>
      <c r="K46" s="11"/>
      <c r="L46" s="11"/>
      <c r="M46" s="11"/>
      <c r="N46" s="10"/>
      <c r="O46" s="11"/>
      <c r="P46" s="10"/>
      <c r="Q46" s="11"/>
      <c r="R46" s="11"/>
      <c r="S46" s="12"/>
      <c r="T46" s="3"/>
    </row>
    <row r="47" spans="1:20" x14ac:dyDescent="0.25">
      <c r="A47" s="8"/>
      <c r="B47" s="22">
        <v>39</v>
      </c>
      <c r="C47" s="10" t="s">
        <v>1712</v>
      </c>
      <c r="D47" s="10"/>
      <c r="E47" s="10" t="s">
        <v>2102</v>
      </c>
      <c r="F47" s="9" t="s">
        <v>2103</v>
      </c>
      <c r="G47" s="11" t="s">
        <v>124</v>
      </c>
      <c r="H47" s="9" t="s">
        <v>2104</v>
      </c>
      <c r="I47" s="10" t="s">
        <v>1842</v>
      </c>
      <c r="J47" s="10" t="s">
        <v>985</v>
      </c>
      <c r="K47" s="11"/>
      <c r="L47" s="11"/>
      <c r="M47" s="11"/>
      <c r="N47" s="10"/>
      <c r="O47" s="11"/>
      <c r="P47" s="10"/>
      <c r="Q47" s="11"/>
      <c r="R47" s="11"/>
      <c r="S47" s="12"/>
      <c r="T47" s="3"/>
    </row>
    <row r="48" spans="1:20" x14ac:dyDescent="0.25">
      <c r="A48" s="8"/>
      <c r="B48" s="22">
        <v>400</v>
      </c>
      <c r="C48" s="10" t="s">
        <v>1051</v>
      </c>
      <c r="D48" s="10"/>
      <c r="E48" s="10" t="s">
        <v>1052</v>
      </c>
      <c r="F48" s="9" t="s">
        <v>1053</v>
      </c>
      <c r="G48" s="11" t="s">
        <v>283</v>
      </c>
      <c r="H48" s="9" t="s">
        <v>1054</v>
      </c>
      <c r="I48" s="10" t="s">
        <v>1004</v>
      </c>
      <c r="J48" s="10" t="s">
        <v>1044</v>
      </c>
      <c r="K48" s="11"/>
      <c r="L48" s="24"/>
      <c r="M48" s="11"/>
      <c r="N48" s="10"/>
      <c r="O48" s="11"/>
      <c r="P48" s="10"/>
      <c r="Q48" s="11"/>
      <c r="R48" s="11"/>
      <c r="S48" s="12"/>
      <c r="T48" s="3"/>
    </row>
    <row r="49" spans="1:20" x14ac:dyDescent="0.25">
      <c r="A49" s="8"/>
      <c r="B49" s="22">
        <v>699</v>
      </c>
      <c r="C49" s="10" t="s">
        <v>1712</v>
      </c>
      <c r="D49" s="10"/>
      <c r="E49" s="10" t="s">
        <v>1747</v>
      </c>
      <c r="F49" s="9" t="s">
        <v>1751</v>
      </c>
      <c r="G49" s="11" t="s">
        <v>948</v>
      </c>
      <c r="H49" s="9" t="s">
        <v>1752</v>
      </c>
      <c r="I49" s="10" t="s">
        <v>1730</v>
      </c>
      <c r="J49" s="10" t="s">
        <v>1731</v>
      </c>
      <c r="K49" s="11"/>
      <c r="L49" s="24"/>
      <c r="M49" s="11"/>
      <c r="N49" s="10"/>
      <c r="O49" s="11"/>
      <c r="P49" s="10"/>
      <c r="Q49" s="11"/>
      <c r="R49" s="11"/>
      <c r="S49" s="12"/>
      <c r="T49" s="3"/>
    </row>
    <row r="50" spans="1:20" x14ac:dyDescent="0.25">
      <c r="A50" s="8"/>
      <c r="B50" s="22">
        <v>708</v>
      </c>
      <c r="C50" s="10" t="s">
        <v>1712</v>
      </c>
      <c r="D50" s="10"/>
      <c r="E50" s="10" t="s">
        <v>1753</v>
      </c>
      <c r="F50" s="9" t="s">
        <v>1755</v>
      </c>
      <c r="G50" s="11" t="s">
        <v>1756</v>
      </c>
      <c r="H50" s="9" t="s">
        <v>1757</v>
      </c>
      <c r="I50" s="10" t="s">
        <v>1730</v>
      </c>
      <c r="J50" s="10" t="s">
        <v>1731</v>
      </c>
      <c r="K50" s="11"/>
      <c r="L50" s="24"/>
      <c r="M50" s="11"/>
      <c r="N50" s="10"/>
      <c r="O50" s="11"/>
      <c r="P50" s="10"/>
      <c r="Q50" s="11"/>
      <c r="R50" s="11"/>
      <c r="S50" s="12"/>
      <c r="T50" s="3"/>
    </row>
    <row r="51" spans="1:20" x14ac:dyDescent="0.25">
      <c r="A51" s="8"/>
      <c r="B51" s="22">
        <v>707</v>
      </c>
      <c r="C51" s="10" t="s">
        <v>1712</v>
      </c>
      <c r="D51" s="10"/>
      <c r="E51" s="10" t="s">
        <v>1753</v>
      </c>
      <c r="F51" s="9" t="s">
        <v>30</v>
      </c>
      <c r="G51" s="11" t="s">
        <v>85</v>
      </c>
      <c r="H51" s="9" t="s">
        <v>1754</v>
      </c>
      <c r="I51" s="10" t="s">
        <v>1730</v>
      </c>
      <c r="J51" s="10" t="s">
        <v>1731</v>
      </c>
      <c r="K51" s="11"/>
      <c r="L51" s="24"/>
      <c r="M51" s="11"/>
      <c r="N51" s="10"/>
      <c r="O51" s="11"/>
      <c r="P51" s="10"/>
      <c r="Q51" s="11"/>
      <c r="R51" s="11"/>
      <c r="S51" s="12"/>
      <c r="T51" s="3"/>
    </row>
    <row r="52" spans="1:20" x14ac:dyDescent="0.25">
      <c r="A52" s="8"/>
      <c r="B52" s="22">
        <v>712</v>
      </c>
      <c r="C52" s="10" t="s">
        <v>1712</v>
      </c>
      <c r="D52" s="10"/>
      <c r="E52" s="10" t="s">
        <v>1747</v>
      </c>
      <c r="F52" s="9" t="s">
        <v>1765</v>
      </c>
      <c r="G52" s="11" t="s">
        <v>1766</v>
      </c>
      <c r="H52" s="9" t="s">
        <v>1767</v>
      </c>
      <c r="I52" s="10" t="s">
        <v>1730</v>
      </c>
      <c r="J52" s="10" t="s">
        <v>1760</v>
      </c>
      <c r="K52" s="11"/>
      <c r="L52" s="24"/>
      <c r="M52" s="11"/>
      <c r="N52" s="10"/>
      <c r="O52" s="11"/>
      <c r="P52" s="10"/>
      <c r="Q52" s="11"/>
      <c r="R52" s="11"/>
      <c r="S52" s="12"/>
      <c r="T52" s="3"/>
    </row>
    <row r="53" spans="1:20" x14ac:dyDescent="0.25">
      <c r="A53" s="8"/>
      <c r="B53" s="22">
        <v>709</v>
      </c>
      <c r="C53" s="10" t="s">
        <v>1712</v>
      </c>
      <c r="D53" s="10"/>
      <c r="E53" s="10" t="s">
        <v>1747</v>
      </c>
      <c r="F53" s="9" t="s">
        <v>1763</v>
      </c>
      <c r="G53" s="11" t="s">
        <v>153</v>
      </c>
      <c r="H53" s="9" t="s">
        <v>1764</v>
      </c>
      <c r="I53" s="10" t="s">
        <v>1730</v>
      </c>
      <c r="J53" s="10" t="s">
        <v>1760</v>
      </c>
      <c r="K53" s="11"/>
      <c r="L53" s="24"/>
      <c r="M53" s="11"/>
      <c r="N53" s="10"/>
      <c r="O53" s="11"/>
      <c r="P53" s="10"/>
      <c r="Q53" s="11"/>
      <c r="R53" s="11"/>
      <c r="S53" s="12"/>
      <c r="T53" s="3"/>
    </row>
    <row r="54" spans="1:20" x14ac:dyDescent="0.25">
      <c r="A54" s="8"/>
      <c r="B54" s="22">
        <v>7</v>
      </c>
      <c r="C54" s="10"/>
      <c r="D54" s="10"/>
      <c r="E54" s="10"/>
      <c r="F54" s="9"/>
      <c r="G54" s="11"/>
      <c r="H54" s="9"/>
      <c r="I54" s="10"/>
      <c r="J54" s="10"/>
      <c r="K54" s="11"/>
      <c r="L54" s="11"/>
      <c r="M54" s="11"/>
      <c r="N54" s="10"/>
      <c r="O54" s="11"/>
      <c r="P54" s="10"/>
      <c r="Q54" s="11"/>
      <c r="R54" s="11"/>
      <c r="S54" s="12"/>
      <c r="T54" s="3"/>
    </row>
    <row r="55" spans="1:20" x14ac:dyDescent="0.25">
      <c r="A55" s="8"/>
      <c r="B55" s="22">
        <v>8</v>
      </c>
      <c r="C55" s="10"/>
      <c r="D55" s="10"/>
      <c r="E55" s="10"/>
      <c r="F55" s="9"/>
      <c r="G55" s="11"/>
      <c r="H55" s="9"/>
      <c r="I55" s="10"/>
      <c r="J55" s="10"/>
      <c r="K55" s="11"/>
      <c r="L55" s="11"/>
      <c r="M55" s="11"/>
      <c r="N55" s="10"/>
      <c r="O55" s="11"/>
      <c r="P55" s="10"/>
      <c r="Q55" s="11"/>
      <c r="R55" s="11"/>
      <c r="S55" s="12"/>
      <c r="T55" s="3"/>
    </row>
    <row r="56" spans="1:20" x14ac:dyDescent="0.25">
      <c r="A56" s="8"/>
      <c r="B56" s="22">
        <v>9</v>
      </c>
      <c r="C56" s="10"/>
      <c r="D56" s="10"/>
      <c r="E56" s="10"/>
      <c r="F56" s="9"/>
      <c r="G56" s="11"/>
      <c r="H56" s="9"/>
      <c r="I56" s="10"/>
      <c r="J56" s="10"/>
      <c r="K56" s="11"/>
      <c r="L56" s="11"/>
      <c r="M56" s="11"/>
      <c r="N56" s="10"/>
      <c r="O56" s="11"/>
      <c r="P56" s="10"/>
      <c r="Q56" s="11"/>
      <c r="R56" s="11"/>
      <c r="S56" s="12"/>
      <c r="T56" s="3"/>
    </row>
    <row r="57" spans="1:20" x14ac:dyDescent="0.25">
      <c r="A57" s="8"/>
      <c r="B57" s="22">
        <v>10</v>
      </c>
      <c r="C57" s="10"/>
      <c r="D57" s="10"/>
      <c r="E57" s="10"/>
      <c r="F57" s="9"/>
      <c r="G57" s="11"/>
      <c r="H57" s="9"/>
      <c r="I57" s="10"/>
      <c r="J57" s="10"/>
      <c r="K57" s="11"/>
      <c r="L57" s="11"/>
      <c r="M57" s="11"/>
      <c r="N57" s="10"/>
      <c r="O57" s="11"/>
      <c r="P57" s="10"/>
      <c r="Q57" s="11"/>
      <c r="R57" s="11"/>
      <c r="S57" s="12"/>
      <c r="T57" s="3"/>
    </row>
    <row r="58" spans="1:20" x14ac:dyDescent="0.25">
      <c r="A58" s="8"/>
      <c r="B58" s="22">
        <v>11</v>
      </c>
      <c r="C58" s="10"/>
      <c r="D58" s="10"/>
      <c r="E58" s="10"/>
      <c r="F58" s="9"/>
      <c r="G58" s="11"/>
      <c r="H58" s="9"/>
      <c r="I58" s="10"/>
      <c r="J58" s="10"/>
      <c r="K58" s="11"/>
      <c r="L58" s="11"/>
      <c r="M58" s="11"/>
      <c r="N58" s="10"/>
      <c r="O58" s="11"/>
      <c r="P58" s="10"/>
      <c r="Q58" s="11"/>
      <c r="R58" s="11"/>
      <c r="S58" s="12"/>
      <c r="T58" s="3"/>
    </row>
  </sheetData>
  <autoFilter ref="A1:S62" xr:uid="{00000000-0009-0000-0000-00000A000000}">
    <sortState xmlns:xlrd2="http://schemas.microsoft.com/office/spreadsheetml/2017/richdata2" ref="A3:S62">
      <sortCondition ref="I1:I62"/>
    </sortState>
  </autoFilter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001"/>
  <sheetViews>
    <sheetView workbookViewId="0">
      <selection activeCell="F15" sqref="F15"/>
    </sheetView>
  </sheetViews>
  <sheetFormatPr defaultColWidth="9.140625" defaultRowHeight="15" x14ac:dyDescent="0.25"/>
  <cols>
    <col min="1" max="1" width="5.7109375" style="1" customWidth="1"/>
    <col min="2" max="2" width="5.42578125" style="2" customWidth="1"/>
    <col min="3" max="3" width="40" style="3" bestFit="1" customWidth="1"/>
    <col min="4" max="4" width="32.85546875" style="3" customWidth="1"/>
    <col min="5" max="5" width="19.28515625" style="2" bestFit="1" customWidth="1"/>
    <col min="6" max="6" width="11.42578125" style="1" customWidth="1"/>
    <col min="7" max="7" width="16.42578125" style="2" customWidth="1"/>
    <col min="8" max="8" width="13.5703125" style="3" customWidth="1"/>
    <col min="9" max="9" width="15.7109375" style="3" customWidth="1"/>
    <col min="10" max="10" width="9.42578125" style="1" customWidth="1"/>
    <col min="11" max="11" width="11.42578125" style="1" hidden="1" customWidth="1"/>
    <col min="12" max="12" width="12.7109375" style="1" hidden="1" customWidth="1"/>
    <col min="13" max="13" width="16.42578125" style="3" hidden="1" customWidth="1"/>
    <col min="14" max="14" width="11.42578125" style="1" hidden="1" customWidth="1"/>
    <col min="15" max="15" width="9.140625" style="3" hidden="1" customWidth="1"/>
    <col min="16" max="16" width="12.5703125" style="1" hidden="1" customWidth="1"/>
    <col min="17" max="17" width="9.140625" hidden="1" customWidth="1"/>
    <col min="18" max="18" width="12.28515625" style="1" customWidth="1"/>
  </cols>
  <sheetData>
    <row r="1" spans="1:18" ht="4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</row>
    <row r="2" spans="1:18" x14ac:dyDescent="0.25">
      <c r="A2" s="8"/>
      <c r="B2" s="2">
        <v>47</v>
      </c>
      <c r="C2" s="3" t="s">
        <v>165</v>
      </c>
      <c r="D2" s="3" t="s">
        <v>162</v>
      </c>
      <c r="E2" s="2" t="s">
        <v>166</v>
      </c>
      <c r="F2" s="1" t="s">
        <v>164</v>
      </c>
      <c r="G2" s="2" t="s">
        <v>148</v>
      </c>
      <c r="H2" s="3" t="s">
        <v>132</v>
      </c>
      <c r="I2" s="3" t="s">
        <v>149</v>
      </c>
      <c r="J2" s="11"/>
      <c r="K2" s="11"/>
      <c r="L2" s="11"/>
      <c r="M2" s="10"/>
      <c r="N2" s="11"/>
      <c r="O2" s="10"/>
      <c r="P2" s="11"/>
      <c r="Q2" s="11"/>
      <c r="R2" s="12"/>
    </row>
    <row r="3" spans="1:18" ht="30" x14ac:dyDescent="0.25">
      <c r="A3" s="8"/>
      <c r="B3" s="2">
        <v>65</v>
      </c>
      <c r="C3" s="3" t="s">
        <v>219</v>
      </c>
      <c r="D3" s="43" t="s">
        <v>220</v>
      </c>
      <c r="E3" s="2" t="s">
        <v>221</v>
      </c>
      <c r="G3" s="2" t="s">
        <v>189</v>
      </c>
      <c r="H3" s="3" t="s">
        <v>132</v>
      </c>
      <c r="I3" s="3" t="s">
        <v>132</v>
      </c>
      <c r="J3" s="11"/>
      <c r="K3" s="11"/>
      <c r="L3" s="11"/>
      <c r="M3" s="10"/>
      <c r="N3" s="11"/>
      <c r="O3" s="10"/>
      <c r="P3" s="11"/>
      <c r="Q3" s="11"/>
      <c r="R3" s="12"/>
    </row>
    <row r="4" spans="1:18" ht="30" x14ac:dyDescent="0.25">
      <c r="A4" s="8"/>
      <c r="B4" s="2">
        <v>68</v>
      </c>
      <c r="C4" s="3" t="s">
        <v>226</v>
      </c>
      <c r="D4" s="43" t="s">
        <v>227</v>
      </c>
      <c r="E4" s="2" t="s">
        <v>228</v>
      </c>
      <c r="H4" s="3" t="s">
        <v>132</v>
      </c>
      <c r="I4" s="3" t="s">
        <v>132</v>
      </c>
      <c r="J4" s="11"/>
      <c r="K4" s="11"/>
      <c r="L4" s="11"/>
      <c r="M4" s="10"/>
      <c r="N4" s="11"/>
      <c r="O4" s="10"/>
      <c r="P4" s="11"/>
      <c r="Q4" s="11"/>
      <c r="R4" s="12"/>
    </row>
    <row r="5" spans="1:18" ht="60" x14ac:dyDescent="0.25">
      <c r="A5" s="8"/>
      <c r="B5" s="9">
        <v>4</v>
      </c>
      <c r="C5" s="10" t="s">
        <v>2105</v>
      </c>
      <c r="D5" s="41" t="s">
        <v>2106</v>
      </c>
      <c r="E5" s="9" t="s">
        <v>2107</v>
      </c>
      <c r="F5" s="11" t="s">
        <v>2108</v>
      </c>
      <c r="G5" s="9"/>
      <c r="H5" s="10" t="s">
        <v>2048</v>
      </c>
      <c r="I5" s="10" t="s">
        <v>2109</v>
      </c>
      <c r="J5" s="11"/>
      <c r="K5" s="11"/>
      <c r="L5" s="11"/>
      <c r="M5" s="10"/>
      <c r="N5" s="11"/>
      <c r="O5" s="10"/>
      <c r="P5" s="11"/>
      <c r="Q5" s="11"/>
      <c r="R5" s="12"/>
    </row>
    <row r="6" spans="1:18" x14ac:dyDescent="0.25">
      <c r="A6" s="8"/>
      <c r="B6" s="9"/>
      <c r="C6" s="10"/>
      <c r="D6" s="10"/>
      <c r="E6" s="9"/>
      <c r="F6" s="11"/>
      <c r="G6" s="9"/>
      <c r="H6" s="10"/>
      <c r="I6" s="10"/>
      <c r="J6" s="11"/>
      <c r="K6" s="11"/>
      <c r="L6" s="11"/>
      <c r="M6" s="10"/>
      <c r="N6" s="11"/>
      <c r="O6" s="10"/>
      <c r="P6" s="11"/>
      <c r="Q6" s="11"/>
      <c r="R6" s="12"/>
    </row>
    <row r="7" spans="1:18" x14ac:dyDescent="0.25">
      <c r="A7" s="8"/>
      <c r="B7" s="9"/>
      <c r="C7" s="10"/>
      <c r="D7" s="10"/>
      <c r="E7" s="9"/>
      <c r="F7" s="11"/>
      <c r="G7" s="9"/>
      <c r="H7" s="10"/>
      <c r="I7" s="10"/>
      <c r="J7" s="11"/>
      <c r="K7" s="11"/>
      <c r="L7" s="11"/>
      <c r="M7" s="10"/>
      <c r="N7" s="11"/>
      <c r="O7" s="10"/>
      <c r="P7" s="11"/>
      <c r="Q7" s="11"/>
      <c r="R7" s="12"/>
    </row>
    <row r="8" spans="1:18" x14ac:dyDescent="0.25">
      <c r="A8" s="8"/>
      <c r="B8" s="9"/>
      <c r="C8" s="10"/>
      <c r="D8" s="10"/>
      <c r="E8" s="9"/>
      <c r="F8" s="11"/>
      <c r="G8" s="9"/>
      <c r="H8" s="10"/>
      <c r="I8" s="10"/>
      <c r="J8" s="11"/>
      <c r="K8" s="11"/>
      <c r="L8" s="11"/>
      <c r="M8" s="10"/>
      <c r="N8" s="11"/>
      <c r="O8" s="10"/>
      <c r="P8" s="11"/>
      <c r="Q8" s="11"/>
      <c r="R8" s="12"/>
    </row>
    <row r="9" spans="1:18" x14ac:dyDescent="0.25">
      <c r="A9" s="8"/>
      <c r="B9" s="9"/>
      <c r="C9" s="10"/>
      <c r="D9" s="10"/>
      <c r="E9" s="9"/>
      <c r="F9" s="11"/>
      <c r="G9" s="9"/>
      <c r="H9" s="10"/>
      <c r="I9" s="10"/>
      <c r="J9" s="11"/>
      <c r="K9" s="11"/>
      <c r="L9" s="11"/>
      <c r="M9" s="10"/>
      <c r="N9" s="11"/>
      <c r="O9" s="10"/>
      <c r="P9" s="11"/>
      <c r="Q9" s="11"/>
      <c r="R9" s="12"/>
    </row>
    <row r="10" spans="1:18" x14ac:dyDescent="0.25">
      <c r="A10" s="8"/>
      <c r="B10" s="9"/>
      <c r="C10" s="10"/>
      <c r="D10" s="10"/>
      <c r="E10" s="9"/>
      <c r="F10" s="11"/>
      <c r="G10" s="9"/>
      <c r="H10" s="10"/>
      <c r="I10" s="10"/>
      <c r="J10" s="11"/>
      <c r="K10" s="11"/>
      <c r="L10" s="11"/>
      <c r="M10" s="10"/>
      <c r="N10" s="11"/>
      <c r="O10" s="10"/>
      <c r="P10" s="11"/>
      <c r="Q10" s="11"/>
      <c r="R10" s="12"/>
    </row>
    <row r="11" spans="1:18" x14ac:dyDescent="0.25">
      <c r="A11" s="8"/>
      <c r="B11" s="9"/>
      <c r="C11" s="10"/>
      <c r="D11" s="10"/>
      <c r="E11" s="9"/>
      <c r="F11" s="11"/>
      <c r="G11" s="9"/>
      <c r="H11" s="10"/>
      <c r="I11" s="10"/>
      <c r="J11" s="11"/>
      <c r="K11" s="11"/>
      <c r="L11" s="11"/>
      <c r="M11" s="10"/>
      <c r="N11" s="11"/>
      <c r="O11" s="10"/>
      <c r="P11" s="11"/>
      <c r="Q11" s="11"/>
      <c r="R11" s="12"/>
    </row>
    <row r="12" spans="1:18" x14ac:dyDescent="0.25">
      <c r="A12" s="8"/>
      <c r="B12" s="9"/>
      <c r="C12" s="10"/>
      <c r="D12" s="10"/>
      <c r="E12" s="9"/>
      <c r="F12" s="11"/>
      <c r="G12" s="9"/>
      <c r="H12" s="10"/>
      <c r="I12" s="10"/>
      <c r="J12" s="11"/>
      <c r="K12" s="11"/>
      <c r="L12" s="11"/>
      <c r="M12" s="10"/>
      <c r="N12" s="11"/>
      <c r="O12" s="10"/>
      <c r="P12" s="11"/>
      <c r="Q12" s="11"/>
      <c r="R12" s="12"/>
    </row>
    <row r="13" spans="1:18" x14ac:dyDescent="0.25">
      <c r="A13" s="8"/>
      <c r="B13" s="9"/>
      <c r="C13" s="10"/>
      <c r="D13" s="10"/>
      <c r="E13" s="9"/>
      <c r="F13" s="11"/>
      <c r="G13" s="9"/>
      <c r="H13" s="10"/>
      <c r="I13" s="10"/>
      <c r="J13" s="11"/>
      <c r="K13" s="11"/>
      <c r="L13" s="11"/>
      <c r="M13" s="10"/>
      <c r="N13" s="11"/>
      <c r="O13" s="10"/>
      <c r="P13" s="11"/>
      <c r="Q13" s="11"/>
      <c r="R13" s="12"/>
    </row>
    <row r="14" spans="1:18" x14ac:dyDescent="0.25">
      <c r="A14" s="8"/>
      <c r="B14" s="9"/>
      <c r="C14" s="10"/>
      <c r="D14" s="10"/>
      <c r="E14" s="9"/>
      <c r="F14" s="11"/>
      <c r="G14" s="9"/>
      <c r="H14" s="10"/>
      <c r="I14" s="10"/>
      <c r="J14" s="11"/>
      <c r="K14" s="11"/>
      <c r="L14" s="11"/>
      <c r="M14" s="10"/>
      <c r="N14" s="11"/>
      <c r="O14" s="10"/>
      <c r="P14" s="11"/>
      <c r="Q14" s="11"/>
      <c r="R14" s="12"/>
    </row>
    <row r="15" spans="1:18" x14ac:dyDescent="0.25">
      <c r="A15" s="8"/>
      <c r="B15" s="9"/>
      <c r="C15" s="10"/>
      <c r="D15" s="10"/>
      <c r="E15" s="9"/>
      <c r="F15" s="11"/>
      <c r="G15" s="9"/>
      <c r="H15" s="10"/>
      <c r="I15" s="10"/>
      <c r="J15" s="11"/>
      <c r="K15" s="11"/>
      <c r="L15" s="11"/>
      <c r="M15" s="10"/>
      <c r="N15" s="11"/>
      <c r="O15" s="10"/>
      <c r="P15" s="11"/>
      <c r="Q15" s="11"/>
      <c r="R15" s="12"/>
    </row>
    <row r="16" spans="1:18" x14ac:dyDescent="0.25">
      <c r="A16" s="8"/>
      <c r="B16" s="9"/>
      <c r="C16" s="10"/>
      <c r="D16" s="10"/>
      <c r="E16" s="9"/>
      <c r="F16" s="11"/>
      <c r="G16" s="9"/>
      <c r="H16" s="10"/>
      <c r="I16" s="10"/>
      <c r="J16" s="11"/>
      <c r="K16" s="11"/>
      <c r="L16" s="11"/>
      <c r="M16" s="10"/>
      <c r="N16" s="11"/>
      <c r="O16" s="10"/>
      <c r="P16" s="11"/>
      <c r="Q16" s="11"/>
      <c r="R16" s="12"/>
    </row>
    <row r="17" spans="1:18" x14ac:dyDescent="0.25">
      <c r="A17" s="8"/>
      <c r="B17" s="9"/>
      <c r="C17" s="10"/>
      <c r="D17" s="10"/>
      <c r="E17" s="9"/>
      <c r="F17" s="11"/>
      <c r="G17" s="9"/>
      <c r="H17" s="10"/>
      <c r="I17" s="10"/>
      <c r="J17" s="11"/>
      <c r="K17" s="11"/>
      <c r="L17" s="11"/>
      <c r="M17" s="10"/>
      <c r="N17" s="11"/>
      <c r="O17" s="10"/>
      <c r="P17" s="11"/>
      <c r="Q17" s="11"/>
      <c r="R17" s="12"/>
    </row>
    <row r="18" spans="1:18" x14ac:dyDescent="0.25">
      <c r="A18" s="8"/>
      <c r="B18" s="9"/>
      <c r="C18" s="10"/>
      <c r="D18" s="10"/>
      <c r="E18" s="9"/>
      <c r="F18" s="11"/>
      <c r="G18" s="9"/>
      <c r="H18" s="10"/>
      <c r="I18" s="10"/>
      <c r="J18" s="11"/>
      <c r="K18" s="11"/>
      <c r="L18" s="11"/>
      <c r="M18" s="10"/>
      <c r="N18" s="11"/>
      <c r="O18" s="10"/>
      <c r="P18" s="11"/>
      <c r="Q18" s="11"/>
      <c r="R18" s="12"/>
    </row>
    <row r="19" spans="1:18" x14ac:dyDescent="0.25">
      <c r="A19" s="8"/>
      <c r="B19" s="9"/>
      <c r="C19" s="10"/>
      <c r="D19" s="10"/>
      <c r="E19" s="9"/>
      <c r="F19" s="11"/>
      <c r="G19" s="9"/>
      <c r="H19" s="10"/>
      <c r="I19" s="10"/>
      <c r="J19" s="11"/>
      <c r="K19" s="11"/>
      <c r="L19" s="11"/>
      <c r="M19" s="10"/>
      <c r="N19" s="11"/>
      <c r="O19" s="10"/>
      <c r="P19" s="11"/>
      <c r="Q19" s="11"/>
      <c r="R19" s="12"/>
    </row>
    <row r="20" spans="1:18" x14ac:dyDescent="0.25">
      <c r="A20" s="8"/>
      <c r="B20" s="9"/>
      <c r="C20" s="10"/>
      <c r="D20" s="10"/>
      <c r="E20" s="9"/>
      <c r="F20" s="11"/>
      <c r="G20" s="9"/>
      <c r="H20" s="10"/>
      <c r="I20" s="10"/>
      <c r="J20" s="11"/>
      <c r="K20" s="11"/>
      <c r="L20" s="11"/>
      <c r="M20" s="10"/>
      <c r="N20" s="11"/>
      <c r="O20" s="10"/>
      <c r="P20" s="11"/>
      <c r="Q20" s="11"/>
      <c r="R20" s="12"/>
    </row>
    <row r="21" spans="1:18" x14ac:dyDescent="0.25">
      <c r="A21" s="8"/>
      <c r="B21" s="9"/>
      <c r="C21" s="10"/>
      <c r="D21" s="10"/>
      <c r="E21" s="9"/>
      <c r="F21" s="11"/>
      <c r="G21" s="9"/>
      <c r="H21" s="10"/>
      <c r="I21" s="10"/>
      <c r="J21" s="11"/>
      <c r="K21" s="11"/>
      <c r="L21" s="11"/>
      <c r="M21" s="10"/>
      <c r="N21" s="11"/>
      <c r="O21" s="10"/>
      <c r="P21" s="11"/>
      <c r="Q21" s="11"/>
      <c r="R21" s="12"/>
    </row>
    <row r="22" spans="1:18" x14ac:dyDescent="0.25">
      <c r="A22" s="8"/>
      <c r="B22" s="9"/>
      <c r="C22" s="10"/>
      <c r="D22" s="10"/>
      <c r="E22" s="9"/>
      <c r="F22" s="11"/>
      <c r="G22" s="9"/>
      <c r="H22" s="10"/>
      <c r="I22" s="10"/>
      <c r="J22" s="11"/>
      <c r="K22" s="11"/>
      <c r="L22" s="11"/>
      <c r="M22" s="10"/>
      <c r="N22" s="11"/>
      <c r="O22" s="10"/>
      <c r="P22" s="11"/>
      <c r="Q22" s="11"/>
      <c r="R22" s="12"/>
    </row>
    <row r="23" spans="1:18" x14ac:dyDescent="0.25">
      <c r="A23" s="8"/>
      <c r="B23" s="9"/>
      <c r="C23" s="10"/>
      <c r="D23" s="10"/>
      <c r="E23" s="9"/>
      <c r="F23" s="11"/>
      <c r="G23" s="9"/>
      <c r="H23" s="10"/>
      <c r="I23" s="10"/>
      <c r="J23" s="11"/>
      <c r="K23" s="11"/>
      <c r="L23" s="11"/>
      <c r="M23" s="10"/>
      <c r="N23" s="11"/>
      <c r="O23" s="10"/>
      <c r="P23" s="11"/>
      <c r="Q23" s="11"/>
      <c r="R23" s="12"/>
    </row>
    <row r="24" spans="1:18" x14ac:dyDescent="0.25">
      <c r="A24" s="8"/>
      <c r="B24" s="9"/>
      <c r="C24" s="10"/>
      <c r="D24" s="10"/>
      <c r="E24" s="9"/>
      <c r="F24" s="11"/>
      <c r="G24" s="9"/>
      <c r="H24" s="10"/>
      <c r="I24" s="10"/>
      <c r="J24" s="11"/>
      <c r="K24" s="11"/>
      <c r="L24" s="11"/>
      <c r="M24" s="10"/>
      <c r="N24" s="11"/>
      <c r="O24" s="10"/>
      <c r="P24" s="11"/>
      <c r="Q24" s="11"/>
      <c r="R24" s="12"/>
    </row>
    <row r="25" spans="1:18" x14ac:dyDescent="0.25">
      <c r="A25" s="8"/>
      <c r="B25" s="9"/>
      <c r="C25" s="10"/>
      <c r="D25" s="10"/>
      <c r="E25" s="9"/>
      <c r="F25" s="11"/>
      <c r="G25" s="9"/>
      <c r="H25" s="10"/>
      <c r="I25" s="10"/>
      <c r="J25" s="11"/>
      <c r="K25" s="11"/>
      <c r="L25" s="11"/>
      <c r="M25" s="10"/>
      <c r="N25" s="11"/>
      <c r="O25" s="10"/>
      <c r="P25" s="11"/>
      <c r="Q25" s="11"/>
      <c r="R25" s="12"/>
    </row>
    <row r="26" spans="1:18" x14ac:dyDescent="0.25">
      <c r="A26" s="8"/>
      <c r="B26" s="9"/>
      <c r="C26" s="10"/>
      <c r="D26" s="10"/>
      <c r="E26" s="9"/>
      <c r="F26" s="11"/>
      <c r="G26" s="9"/>
      <c r="H26" s="10"/>
      <c r="I26" s="10"/>
      <c r="J26" s="11"/>
      <c r="K26" s="11"/>
      <c r="L26" s="11"/>
      <c r="M26" s="10"/>
      <c r="N26" s="11"/>
      <c r="O26" s="10"/>
      <c r="P26" s="11"/>
      <c r="Q26" s="11"/>
      <c r="R26" s="12"/>
    </row>
    <row r="27" spans="1:18" x14ac:dyDescent="0.25">
      <c r="A27" s="8"/>
      <c r="B27" s="9"/>
      <c r="C27" s="10"/>
      <c r="D27" s="10"/>
      <c r="E27" s="9"/>
      <c r="F27" s="11"/>
      <c r="G27" s="9"/>
      <c r="H27" s="10"/>
      <c r="I27" s="10"/>
      <c r="J27" s="11"/>
      <c r="K27" s="11"/>
      <c r="L27" s="11"/>
      <c r="M27" s="10"/>
      <c r="N27" s="11"/>
      <c r="O27" s="10"/>
      <c r="P27" s="11"/>
      <c r="Q27" s="11"/>
      <c r="R27" s="12"/>
    </row>
    <row r="28" spans="1:18" x14ac:dyDescent="0.25">
      <c r="A28" s="8"/>
      <c r="B28" s="9"/>
      <c r="C28" s="10"/>
      <c r="D28" s="10"/>
      <c r="E28" s="9"/>
      <c r="F28" s="11"/>
      <c r="G28" s="9"/>
      <c r="H28" s="10"/>
      <c r="I28" s="10"/>
      <c r="J28" s="11"/>
      <c r="K28" s="11"/>
      <c r="L28" s="11"/>
      <c r="M28" s="10"/>
      <c r="N28" s="11"/>
      <c r="O28" s="10"/>
      <c r="P28" s="11"/>
      <c r="Q28" s="11"/>
      <c r="R28" s="12"/>
    </row>
    <row r="29" spans="1:18" x14ac:dyDescent="0.25">
      <c r="A29" s="8"/>
      <c r="B29" s="9"/>
      <c r="C29" s="10"/>
      <c r="D29" s="10"/>
      <c r="E29" s="9"/>
      <c r="F29" s="11"/>
      <c r="G29" s="9"/>
      <c r="H29" s="10"/>
      <c r="I29" s="10"/>
      <c r="J29" s="11"/>
      <c r="K29" s="11"/>
      <c r="L29" s="11"/>
      <c r="M29" s="10"/>
      <c r="N29" s="11"/>
      <c r="O29" s="10"/>
      <c r="P29" s="11"/>
      <c r="Q29" s="11"/>
      <c r="R29" s="12"/>
    </row>
    <row r="30" spans="1:18" x14ac:dyDescent="0.25">
      <c r="A30" s="8"/>
      <c r="B30" s="9"/>
      <c r="C30" s="10"/>
      <c r="D30" s="10"/>
      <c r="E30" s="9"/>
      <c r="F30" s="11"/>
      <c r="G30" s="9"/>
      <c r="H30" s="10"/>
      <c r="I30" s="10"/>
      <c r="J30" s="11"/>
      <c r="K30" s="11"/>
      <c r="L30" s="11"/>
      <c r="M30" s="10"/>
      <c r="N30" s="11"/>
      <c r="O30" s="10"/>
      <c r="P30" s="11"/>
      <c r="Q30" s="11"/>
      <c r="R30" s="12"/>
    </row>
    <row r="31" spans="1:18" x14ac:dyDescent="0.25">
      <c r="A31" s="8"/>
      <c r="B31" s="9"/>
      <c r="C31" s="10"/>
      <c r="D31" s="10"/>
      <c r="E31" s="9"/>
      <c r="F31" s="11"/>
      <c r="G31" s="9"/>
      <c r="H31" s="10"/>
      <c r="I31" s="10"/>
      <c r="J31" s="11"/>
      <c r="K31" s="11"/>
      <c r="L31" s="11"/>
      <c r="M31" s="10"/>
      <c r="N31" s="11"/>
      <c r="O31" s="10"/>
      <c r="P31" s="11"/>
      <c r="Q31" s="11"/>
      <c r="R31" s="12"/>
    </row>
    <row r="32" spans="1:18" x14ac:dyDescent="0.25">
      <c r="A32" s="8"/>
      <c r="B32" s="9"/>
      <c r="C32" s="10"/>
      <c r="D32" s="10"/>
      <c r="E32" s="9"/>
      <c r="F32" s="11"/>
      <c r="G32" s="9"/>
      <c r="H32" s="10"/>
      <c r="I32" s="10"/>
      <c r="J32" s="11"/>
      <c r="K32" s="11"/>
      <c r="L32" s="11"/>
      <c r="M32" s="10"/>
      <c r="N32" s="11"/>
      <c r="O32" s="10"/>
      <c r="P32" s="11"/>
      <c r="Q32" s="11"/>
      <c r="R32" s="12"/>
    </row>
    <row r="33" spans="1:18" x14ac:dyDescent="0.25">
      <c r="A33" s="8"/>
      <c r="B33" s="9"/>
      <c r="C33" s="10"/>
      <c r="D33" s="10"/>
      <c r="E33" s="9"/>
      <c r="F33" s="11"/>
      <c r="G33" s="9"/>
      <c r="H33" s="10"/>
      <c r="I33" s="10"/>
      <c r="J33" s="11"/>
      <c r="K33" s="11"/>
      <c r="L33" s="11"/>
      <c r="M33" s="10"/>
      <c r="N33" s="11"/>
      <c r="O33" s="10"/>
      <c r="P33" s="11"/>
      <c r="Q33" s="11"/>
      <c r="R33" s="12"/>
    </row>
    <row r="34" spans="1:18" x14ac:dyDescent="0.25">
      <c r="A34" s="8"/>
      <c r="B34" s="9"/>
      <c r="C34" s="10"/>
      <c r="D34" s="10"/>
      <c r="E34" s="9"/>
      <c r="F34" s="11"/>
      <c r="G34" s="9"/>
      <c r="H34" s="10"/>
      <c r="I34" s="10"/>
      <c r="J34" s="11"/>
      <c r="K34" s="11"/>
      <c r="L34" s="11"/>
      <c r="M34" s="10"/>
      <c r="N34" s="11"/>
      <c r="O34" s="10"/>
      <c r="P34" s="11"/>
      <c r="Q34" s="11"/>
      <c r="R34" s="12"/>
    </row>
    <row r="35" spans="1:18" x14ac:dyDescent="0.25">
      <c r="A35" s="8"/>
      <c r="B35" s="9"/>
      <c r="C35" s="10"/>
      <c r="D35" s="10"/>
      <c r="E35" s="9"/>
      <c r="F35" s="11"/>
      <c r="G35" s="9"/>
      <c r="H35" s="10"/>
      <c r="I35" s="10"/>
      <c r="J35" s="11"/>
      <c r="K35" s="11"/>
      <c r="L35" s="11"/>
      <c r="M35" s="10"/>
      <c r="N35" s="11"/>
      <c r="O35" s="10"/>
      <c r="P35" s="11"/>
      <c r="Q35" s="11"/>
      <c r="R35" s="12"/>
    </row>
    <row r="36" spans="1:18" x14ac:dyDescent="0.25">
      <c r="A36" s="8"/>
      <c r="B36" s="9"/>
      <c r="C36" s="10"/>
      <c r="D36" s="10"/>
      <c r="E36" s="9"/>
      <c r="F36" s="11"/>
      <c r="G36" s="9"/>
      <c r="H36" s="10"/>
      <c r="I36" s="10"/>
      <c r="J36" s="11"/>
      <c r="K36" s="11"/>
      <c r="L36" s="11"/>
      <c r="M36" s="10"/>
      <c r="N36" s="11"/>
      <c r="O36" s="10"/>
      <c r="P36" s="11"/>
      <c r="Q36" s="11"/>
      <c r="R36" s="12"/>
    </row>
    <row r="37" spans="1:18" x14ac:dyDescent="0.25">
      <c r="A37" s="8"/>
      <c r="B37" s="9"/>
      <c r="C37" s="10"/>
      <c r="D37" s="10"/>
      <c r="E37" s="9"/>
      <c r="F37" s="11"/>
      <c r="G37" s="9"/>
      <c r="H37" s="10"/>
      <c r="I37" s="10"/>
      <c r="J37" s="11"/>
      <c r="K37" s="11"/>
      <c r="L37" s="11"/>
      <c r="M37" s="10"/>
      <c r="N37" s="11"/>
      <c r="O37" s="10"/>
      <c r="P37" s="11"/>
      <c r="Q37" s="11"/>
      <c r="R37" s="12"/>
    </row>
    <row r="38" spans="1:18" x14ac:dyDescent="0.25">
      <c r="A38" s="8"/>
      <c r="B38" s="9"/>
      <c r="C38" s="10"/>
      <c r="D38" s="10"/>
      <c r="E38" s="9"/>
      <c r="F38" s="11"/>
      <c r="G38" s="9"/>
      <c r="H38" s="10"/>
      <c r="I38" s="10"/>
      <c r="J38" s="11"/>
      <c r="K38" s="11"/>
      <c r="L38" s="11"/>
      <c r="M38" s="10"/>
      <c r="N38" s="11"/>
      <c r="O38" s="10"/>
      <c r="P38" s="11"/>
      <c r="Q38" s="11"/>
      <c r="R38" s="12"/>
    </row>
    <row r="39" spans="1:18" x14ac:dyDescent="0.25">
      <c r="A39" s="8"/>
      <c r="B39" s="9"/>
      <c r="C39" s="10"/>
      <c r="D39" s="10"/>
      <c r="E39" s="9"/>
      <c r="F39" s="11"/>
      <c r="G39" s="9"/>
      <c r="H39" s="10"/>
      <c r="I39" s="10"/>
      <c r="J39" s="11"/>
      <c r="K39" s="11"/>
      <c r="L39" s="11"/>
      <c r="M39" s="10"/>
      <c r="N39" s="11"/>
      <c r="O39" s="10"/>
      <c r="P39" s="11"/>
      <c r="Q39" s="11"/>
      <c r="R39" s="12"/>
    </row>
    <row r="40" spans="1:18" x14ac:dyDescent="0.25">
      <c r="A40" s="8"/>
      <c r="B40" s="9"/>
      <c r="C40" s="10"/>
      <c r="D40" s="10"/>
      <c r="E40" s="9"/>
      <c r="F40" s="11"/>
      <c r="G40" s="9"/>
      <c r="H40" s="10"/>
      <c r="I40" s="10"/>
      <c r="J40" s="11"/>
      <c r="K40" s="11"/>
      <c r="L40" s="11"/>
      <c r="M40" s="10"/>
      <c r="N40" s="11"/>
      <c r="O40" s="10"/>
      <c r="P40" s="11"/>
      <c r="Q40" s="11"/>
      <c r="R40" s="12"/>
    </row>
    <row r="41" spans="1:18" x14ac:dyDescent="0.25">
      <c r="A41" s="8"/>
      <c r="B41" s="9"/>
      <c r="C41" s="10"/>
      <c r="D41" s="10"/>
      <c r="E41" s="9"/>
      <c r="F41" s="11"/>
      <c r="G41" s="9"/>
      <c r="H41" s="10"/>
      <c r="I41" s="10"/>
      <c r="J41" s="11"/>
      <c r="K41" s="11"/>
      <c r="L41" s="11"/>
      <c r="M41" s="10"/>
      <c r="N41" s="11"/>
      <c r="O41" s="10"/>
      <c r="P41" s="11"/>
      <c r="Q41" s="11"/>
      <c r="R41" s="12"/>
    </row>
    <row r="42" spans="1:18" x14ac:dyDescent="0.25">
      <c r="A42" s="8"/>
      <c r="B42" s="9"/>
      <c r="C42" s="10"/>
      <c r="D42" s="10"/>
      <c r="E42" s="9"/>
      <c r="F42" s="11"/>
      <c r="G42" s="9"/>
      <c r="H42" s="10"/>
      <c r="I42" s="10"/>
      <c r="J42" s="11"/>
      <c r="K42" s="11"/>
      <c r="L42" s="11"/>
      <c r="M42" s="10"/>
      <c r="N42" s="11"/>
      <c r="O42" s="10"/>
      <c r="P42" s="11"/>
      <c r="Q42" s="11"/>
      <c r="R42" s="12"/>
    </row>
    <row r="43" spans="1:18" x14ac:dyDescent="0.25">
      <c r="A43" s="8"/>
      <c r="B43" s="9"/>
      <c r="C43" s="10"/>
      <c r="D43" s="10"/>
      <c r="E43" s="9"/>
      <c r="F43" s="11"/>
      <c r="G43" s="9"/>
      <c r="H43" s="10"/>
      <c r="I43" s="10"/>
      <c r="J43" s="11"/>
      <c r="K43" s="11"/>
      <c r="L43" s="11"/>
      <c r="M43" s="10"/>
      <c r="N43" s="11"/>
      <c r="O43" s="10"/>
      <c r="P43" s="11"/>
      <c r="Q43" s="11"/>
      <c r="R43" s="12"/>
    </row>
    <row r="44" spans="1:18" x14ac:dyDescent="0.25">
      <c r="A44" s="8"/>
      <c r="B44" s="9"/>
      <c r="C44" s="10"/>
      <c r="D44" s="10"/>
      <c r="E44" s="9"/>
      <c r="F44" s="11"/>
      <c r="G44" s="9"/>
      <c r="H44" s="10"/>
      <c r="I44" s="10"/>
      <c r="J44" s="11"/>
      <c r="K44" s="11"/>
      <c r="L44" s="11"/>
      <c r="M44" s="10"/>
      <c r="N44" s="11"/>
      <c r="O44" s="10"/>
      <c r="P44" s="11"/>
      <c r="Q44" s="11"/>
      <c r="R44" s="12"/>
    </row>
    <row r="45" spans="1:18" x14ac:dyDescent="0.25">
      <c r="A45" s="8"/>
      <c r="B45" s="9"/>
      <c r="C45" s="10"/>
      <c r="D45" s="10"/>
      <c r="E45" s="9"/>
      <c r="F45" s="11"/>
      <c r="G45" s="9"/>
      <c r="H45" s="10"/>
      <c r="I45" s="10"/>
      <c r="J45" s="11"/>
      <c r="K45" s="11"/>
      <c r="L45" s="11"/>
      <c r="M45" s="10"/>
      <c r="N45" s="11"/>
      <c r="O45" s="10"/>
      <c r="P45" s="11"/>
      <c r="Q45" s="11"/>
      <c r="R45" s="12"/>
    </row>
    <row r="46" spans="1:18" x14ac:dyDescent="0.25">
      <c r="A46" s="8"/>
      <c r="B46" s="9"/>
      <c r="C46" s="10"/>
      <c r="D46" s="10"/>
      <c r="E46" s="9"/>
      <c r="F46" s="11"/>
      <c r="G46" s="9"/>
      <c r="H46" s="10"/>
      <c r="I46" s="10"/>
      <c r="J46" s="11"/>
      <c r="K46" s="11"/>
      <c r="L46" s="11"/>
      <c r="M46" s="10"/>
      <c r="N46" s="11"/>
      <c r="O46" s="10"/>
      <c r="P46" s="11"/>
      <c r="Q46" s="11"/>
      <c r="R46" s="12"/>
    </row>
    <row r="47" spans="1:18" x14ac:dyDescent="0.25">
      <c r="A47" s="8"/>
      <c r="B47" s="9"/>
      <c r="C47" s="10"/>
      <c r="D47" s="10"/>
      <c r="E47" s="9"/>
      <c r="F47" s="11"/>
      <c r="G47" s="9"/>
      <c r="H47" s="10"/>
      <c r="I47" s="10"/>
      <c r="J47" s="11"/>
      <c r="K47" s="11"/>
      <c r="L47" s="11"/>
      <c r="M47" s="10"/>
      <c r="N47" s="11"/>
      <c r="O47" s="10"/>
      <c r="P47" s="11"/>
      <c r="Q47" s="11"/>
      <c r="R47" s="12"/>
    </row>
    <row r="48" spans="1:18" x14ac:dyDescent="0.25">
      <c r="A48" s="8"/>
      <c r="B48" s="9"/>
      <c r="C48" s="10"/>
      <c r="D48" s="10"/>
      <c r="E48" s="9"/>
      <c r="F48" s="11"/>
      <c r="G48" s="9"/>
      <c r="H48" s="10"/>
      <c r="I48" s="10"/>
      <c r="J48" s="11"/>
      <c r="K48" s="11"/>
      <c r="L48" s="11"/>
      <c r="M48" s="10"/>
      <c r="N48" s="11"/>
      <c r="O48" s="10"/>
      <c r="P48" s="11"/>
      <c r="Q48" s="11"/>
      <c r="R48" s="12"/>
    </row>
    <row r="49" spans="1:18" x14ac:dyDescent="0.25">
      <c r="A49" s="8"/>
      <c r="B49" s="9"/>
      <c r="C49" s="10"/>
      <c r="D49" s="10"/>
      <c r="E49" s="9"/>
      <c r="F49" s="11"/>
      <c r="G49" s="9"/>
      <c r="H49" s="10"/>
      <c r="I49" s="10"/>
      <c r="J49" s="11"/>
      <c r="K49" s="11"/>
      <c r="L49" s="11"/>
      <c r="M49" s="10"/>
      <c r="N49" s="11"/>
      <c r="O49" s="10"/>
      <c r="P49" s="11"/>
      <c r="Q49" s="11"/>
      <c r="R49" s="12"/>
    </row>
    <row r="50" spans="1:18" x14ac:dyDescent="0.25">
      <c r="A50" s="8"/>
      <c r="B50" s="9"/>
      <c r="C50" s="10"/>
      <c r="D50" s="10"/>
      <c r="E50" s="9"/>
      <c r="F50" s="11"/>
      <c r="G50" s="9"/>
      <c r="H50" s="10"/>
      <c r="I50" s="10"/>
      <c r="J50" s="11"/>
      <c r="K50" s="11"/>
      <c r="L50" s="11"/>
      <c r="M50" s="10"/>
      <c r="N50" s="11"/>
      <c r="O50" s="10"/>
      <c r="P50" s="11"/>
      <c r="Q50" s="11"/>
      <c r="R50" s="12"/>
    </row>
    <row r="51" spans="1:18" x14ac:dyDescent="0.25">
      <c r="A51" s="8"/>
      <c r="B51" s="9"/>
      <c r="C51" s="10"/>
      <c r="D51" s="10"/>
      <c r="E51" s="9"/>
      <c r="F51" s="11"/>
      <c r="G51" s="9"/>
      <c r="H51" s="10"/>
      <c r="I51" s="10"/>
      <c r="J51" s="11"/>
      <c r="K51" s="11"/>
      <c r="L51" s="11"/>
      <c r="M51" s="10"/>
      <c r="N51" s="11"/>
      <c r="O51" s="10"/>
      <c r="P51" s="11"/>
      <c r="Q51" s="11"/>
      <c r="R51" s="12"/>
    </row>
    <row r="52" spans="1:18" x14ac:dyDescent="0.25">
      <c r="A52" s="8"/>
      <c r="B52" s="9"/>
      <c r="C52" s="10"/>
      <c r="D52" s="10"/>
      <c r="E52" s="9"/>
      <c r="F52" s="11"/>
      <c r="G52" s="9"/>
      <c r="H52" s="10"/>
      <c r="I52" s="10"/>
      <c r="J52" s="11"/>
      <c r="K52" s="11"/>
      <c r="L52" s="11"/>
      <c r="M52" s="10"/>
      <c r="N52" s="11"/>
      <c r="O52" s="10"/>
      <c r="P52" s="11"/>
      <c r="Q52" s="11"/>
      <c r="R52" s="12"/>
    </row>
    <row r="53" spans="1:18" x14ac:dyDescent="0.25">
      <c r="A53" s="8"/>
      <c r="B53" s="9"/>
      <c r="C53" s="10"/>
      <c r="D53" s="10"/>
      <c r="E53" s="9"/>
      <c r="F53" s="11"/>
      <c r="G53" s="9"/>
      <c r="H53" s="10"/>
      <c r="I53" s="10"/>
      <c r="J53" s="11"/>
      <c r="K53" s="11"/>
      <c r="L53" s="11"/>
      <c r="M53" s="10"/>
      <c r="N53" s="11"/>
      <c r="O53" s="10"/>
      <c r="P53" s="11"/>
      <c r="Q53" s="11"/>
      <c r="R53" s="12"/>
    </row>
    <row r="54" spans="1:18" x14ac:dyDescent="0.25">
      <c r="A54" s="8"/>
      <c r="B54" s="9"/>
      <c r="C54" s="10"/>
      <c r="D54" s="10"/>
      <c r="E54" s="9"/>
      <c r="F54" s="11"/>
      <c r="G54" s="9"/>
      <c r="H54" s="10"/>
      <c r="I54" s="10"/>
      <c r="J54" s="11"/>
      <c r="K54" s="11"/>
      <c r="L54" s="11"/>
      <c r="M54" s="10"/>
      <c r="N54" s="11"/>
      <c r="O54" s="10"/>
      <c r="P54" s="11"/>
      <c r="Q54" s="11"/>
      <c r="R54" s="12"/>
    </row>
    <row r="55" spans="1:18" x14ac:dyDescent="0.25">
      <c r="A55" s="8"/>
      <c r="B55" s="9"/>
      <c r="C55" s="10"/>
      <c r="D55" s="10"/>
      <c r="E55" s="9"/>
      <c r="F55" s="11"/>
      <c r="G55" s="9"/>
      <c r="H55" s="10"/>
      <c r="I55" s="10"/>
      <c r="J55" s="11"/>
      <c r="K55" s="11"/>
      <c r="L55" s="11"/>
      <c r="M55" s="10"/>
      <c r="N55" s="11"/>
      <c r="O55" s="10"/>
      <c r="P55" s="11"/>
      <c r="Q55" s="11"/>
      <c r="R55" s="12"/>
    </row>
    <row r="56" spans="1:18" x14ac:dyDescent="0.25">
      <c r="A56" s="8"/>
      <c r="B56" s="9"/>
      <c r="C56" s="10"/>
      <c r="D56" s="10"/>
      <c r="E56" s="9"/>
      <c r="F56" s="11"/>
      <c r="G56" s="9"/>
      <c r="H56" s="10"/>
      <c r="I56" s="10"/>
      <c r="J56" s="11"/>
      <c r="K56" s="11"/>
      <c r="L56" s="11"/>
      <c r="M56" s="10"/>
      <c r="N56" s="11"/>
      <c r="O56" s="10"/>
      <c r="P56" s="11"/>
      <c r="Q56" s="11"/>
      <c r="R56" s="12"/>
    </row>
    <row r="57" spans="1:18" x14ac:dyDescent="0.25">
      <c r="A57" s="8"/>
      <c r="B57" s="9"/>
      <c r="C57" s="10"/>
      <c r="D57" s="10"/>
      <c r="E57" s="9"/>
      <c r="F57" s="11"/>
      <c r="G57" s="9"/>
      <c r="H57" s="10"/>
      <c r="I57" s="10"/>
      <c r="J57" s="11"/>
      <c r="K57" s="11"/>
      <c r="L57" s="11"/>
      <c r="M57" s="10"/>
      <c r="N57" s="11"/>
      <c r="O57" s="10"/>
      <c r="P57" s="11"/>
      <c r="Q57" s="11"/>
      <c r="R57" s="12"/>
    </row>
    <row r="58" spans="1:18" x14ac:dyDescent="0.25">
      <c r="A58" s="8"/>
      <c r="B58" s="9"/>
      <c r="C58" s="10"/>
      <c r="D58" s="10"/>
      <c r="E58" s="9"/>
      <c r="F58" s="11"/>
      <c r="G58" s="9"/>
      <c r="H58" s="10"/>
      <c r="I58" s="10"/>
      <c r="J58" s="11"/>
      <c r="K58" s="11"/>
      <c r="L58" s="11"/>
      <c r="M58" s="10"/>
      <c r="N58" s="11"/>
      <c r="O58" s="10"/>
      <c r="P58" s="11"/>
      <c r="Q58" s="11"/>
      <c r="R58" s="12"/>
    </row>
    <row r="59" spans="1:18" x14ac:dyDescent="0.25">
      <c r="A59" s="8"/>
      <c r="B59" s="9"/>
      <c r="C59" s="10"/>
      <c r="D59" s="10"/>
      <c r="E59" s="9"/>
      <c r="F59" s="11"/>
      <c r="G59" s="9"/>
      <c r="H59" s="10"/>
      <c r="I59" s="10"/>
      <c r="J59" s="11"/>
      <c r="K59" s="11"/>
      <c r="L59" s="11"/>
      <c r="M59" s="10"/>
      <c r="N59" s="11"/>
      <c r="O59" s="10"/>
      <c r="P59" s="11"/>
      <c r="Q59" s="11"/>
      <c r="R59" s="12"/>
    </row>
    <row r="60" spans="1:18" x14ac:dyDescent="0.25">
      <c r="A60" s="8"/>
      <c r="B60" s="9"/>
      <c r="C60" s="10"/>
      <c r="D60" s="10"/>
      <c r="E60" s="9"/>
      <c r="F60" s="11"/>
      <c r="G60" s="9"/>
      <c r="H60" s="10"/>
      <c r="I60" s="10"/>
      <c r="J60" s="11"/>
      <c r="K60" s="11"/>
      <c r="L60" s="11"/>
      <c r="M60" s="10"/>
      <c r="N60" s="11"/>
      <c r="O60" s="10"/>
      <c r="P60" s="11"/>
      <c r="Q60" s="11"/>
      <c r="R60" s="12"/>
    </row>
    <row r="61" spans="1:18" x14ac:dyDescent="0.25">
      <c r="A61" s="8"/>
      <c r="B61" s="9"/>
      <c r="C61" s="10"/>
      <c r="D61" s="10"/>
      <c r="E61" s="9"/>
      <c r="F61" s="11"/>
      <c r="G61" s="9"/>
      <c r="H61" s="10"/>
      <c r="I61" s="10"/>
      <c r="J61" s="11"/>
      <c r="K61" s="11"/>
      <c r="L61" s="11"/>
      <c r="M61" s="10"/>
      <c r="N61" s="11"/>
      <c r="O61" s="10"/>
      <c r="P61" s="11"/>
      <c r="Q61" s="11"/>
      <c r="R61" s="12"/>
    </row>
    <row r="62" spans="1:18" x14ac:dyDescent="0.25">
      <c r="A62" s="8"/>
      <c r="B62" s="9"/>
      <c r="C62" s="10"/>
      <c r="D62" s="10"/>
      <c r="E62" s="9"/>
      <c r="F62" s="11"/>
      <c r="G62" s="9"/>
      <c r="H62" s="10"/>
      <c r="I62" s="10"/>
      <c r="J62" s="11"/>
      <c r="K62" s="11"/>
      <c r="L62" s="11"/>
      <c r="M62" s="10"/>
      <c r="N62" s="11"/>
      <c r="O62" s="10"/>
      <c r="P62" s="11"/>
      <c r="Q62" s="11"/>
      <c r="R62" s="12"/>
    </row>
    <row r="63" spans="1:18" x14ac:dyDescent="0.25">
      <c r="A63" s="8"/>
      <c r="B63" s="9"/>
      <c r="C63" s="10"/>
      <c r="D63" s="10"/>
      <c r="E63" s="9"/>
      <c r="F63" s="11"/>
      <c r="G63" s="9"/>
      <c r="H63" s="10"/>
      <c r="I63" s="10"/>
      <c r="J63" s="11"/>
      <c r="K63" s="11"/>
      <c r="L63" s="11"/>
      <c r="M63" s="10"/>
      <c r="N63" s="11"/>
      <c r="O63" s="10"/>
      <c r="P63" s="11"/>
      <c r="Q63" s="11"/>
      <c r="R63" s="12"/>
    </row>
    <row r="64" spans="1:18" x14ac:dyDescent="0.25">
      <c r="A64" s="8"/>
      <c r="B64" s="9"/>
      <c r="C64" s="10"/>
      <c r="D64" s="10"/>
      <c r="E64" s="9"/>
      <c r="F64" s="11"/>
      <c r="G64" s="9"/>
      <c r="H64" s="10"/>
      <c r="I64" s="10"/>
      <c r="J64" s="11"/>
      <c r="K64" s="11"/>
      <c r="L64" s="11"/>
      <c r="M64" s="10"/>
      <c r="N64" s="11"/>
      <c r="O64" s="10"/>
      <c r="P64" s="11"/>
      <c r="Q64" s="11"/>
      <c r="R64" s="12"/>
    </row>
    <row r="65" spans="1:18" x14ac:dyDescent="0.25">
      <c r="A65" s="8"/>
      <c r="B65" s="9"/>
      <c r="C65" s="10"/>
      <c r="D65" s="10"/>
      <c r="E65" s="9"/>
      <c r="F65" s="11"/>
      <c r="G65" s="9"/>
      <c r="H65" s="10"/>
      <c r="I65" s="10"/>
      <c r="J65" s="11"/>
      <c r="K65" s="11"/>
      <c r="L65" s="11"/>
      <c r="M65" s="10"/>
      <c r="N65" s="11"/>
      <c r="O65" s="10"/>
      <c r="P65" s="11"/>
      <c r="Q65" s="11"/>
      <c r="R65" s="12"/>
    </row>
    <row r="66" spans="1:18" x14ac:dyDescent="0.25">
      <c r="A66" s="8"/>
      <c r="B66" s="9"/>
      <c r="C66" s="10"/>
      <c r="D66" s="10"/>
      <c r="E66" s="9"/>
      <c r="F66" s="11"/>
      <c r="G66" s="9"/>
      <c r="H66" s="10"/>
      <c r="I66" s="10"/>
      <c r="J66" s="11"/>
      <c r="K66" s="11"/>
      <c r="L66" s="11"/>
      <c r="M66" s="10"/>
      <c r="N66" s="11"/>
      <c r="O66" s="10"/>
      <c r="P66" s="11"/>
      <c r="Q66" s="11"/>
      <c r="R66" s="12"/>
    </row>
    <row r="67" spans="1:18" x14ac:dyDescent="0.25">
      <c r="A67" s="8"/>
      <c r="B67" s="9"/>
      <c r="C67" s="10"/>
      <c r="D67" s="10"/>
      <c r="E67" s="9"/>
      <c r="F67" s="11"/>
      <c r="G67" s="9"/>
      <c r="H67" s="10"/>
      <c r="I67" s="10"/>
      <c r="J67" s="11"/>
      <c r="K67" s="11"/>
      <c r="L67" s="11"/>
      <c r="M67" s="10"/>
      <c r="N67" s="11"/>
      <c r="O67" s="10"/>
      <c r="P67" s="11"/>
      <c r="Q67" s="11"/>
      <c r="R67" s="12"/>
    </row>
    <row r="68" spans="1:18" x14ac:dyDescent="0.25">
      <c r="A68" s="8"/>
      <c r="B68" s="9"/>
      <c r="C68" s="10"/>
      <c r="D68" s="10"/>
      <c r="E68" s="9"/>
      <c r="F68" s="11"/>
      <c r="G68" s="9"/>
      <c r="H68" s="10"/>
      <c r="I68" s="10"/>
      <c r="J68" s="11"/>
      <c r="K68" s="11"/>
      <c r="L68" s="11"/>
      <c r="M68" s="10"/>
      <c r="N68" s="11"/>
      <c r="O68" s="10"/>
      <c r="P68" s="11"/>
      <c r="Q68" s="11"/>
      <c r="R68" s="12"/>
    </row>
    <row r="69" spans="1:18" x14ac:dyDescent="0.25">
      <c r="A69" s="8"/>
      <c r="B69" s="9"/>
      <c r="C69" s="10"/>
      <c r="D69" s="10"/>
      <c r="E69" s="9"/>
      <c r="F69" s="11"/>
      <c r="G69" s="9"/>
      <c r="H69" s="10"/>
      <c r="I69" s="10"/>
      <c r="J69" s="11"/>
      <c r="K69" s="11"/>
      <c r="L69" s="11"/>
      <c r="M69" s="10"/>
      <c r="N69" s="11"/>
      <c r="O69" s="10"/>
      <c r="P69" s="11"/>
      <c r="Q69" s="11"/>
      <c r="R69" s="12"/>
    </row>
    <row r="70" spans="1:18" x14ac:dyDescent="0.25">
      <c r="A70" s="8"/>
      <c r="B70" s="9"/>
      <c r="C70" s="10"/>
      <c r="D70" s="10"/>
      <c r="E70" s="9"/>
      <c r="F70" s="11"/>
      <c r="G70" s="9"/>
      <c r="H70" s="10"/>
      <c r="I70" s="10"/>
      <c r="J70" s="11"/>
      <c r="K70" s="11"/>
      <c r="L70" s="11"/>
      <c r="M70" s="10"/>
      <c r="N70" s="11"/>
      <c r="O70" s="10"/>
      <c r="P70" s="11"/>
      <c r="Q70" s="11"/>
      <c r="R70" s="12"/>
    </row>
    <row r="71" spans="1:18" x14ac:dyDescent="0.25">
      <c r="A71" s="8"/>
      <c r="B71" s="9"/>
      <c r="C71" s="10"/>
      <c r="D71" s="10"/>
      <c r="E71" s="9"/>
      <c r="F71" s="11"/>
      <c r="G71" s="9"/>
      <c r="H71" s="10"/>
      <c r="I71" s="10"/>
      <c r="J71" s="11"/>
      <c r="K71" s="11"/>
      <c r="L71" s="11"/>
      <c r="M71" s="10"/>
      <c r="N71" s="11"/>
      <c r="O71" s="10"/>
      <c r="P71" s="11"/>
      <c r="Q71" s="11"/>
      <c r="R71" s="12"/>
    </row>
    <row r="72" spans="1:18" x14ac:dyDescent="0.25">
      <c r="A72" s="8"/>
      <c r="B72" s="9"/>
      <c r="C72" s="10"/>
      <c r="D72" s="10"/>
      <c r="E72" s="9"/>
      <c r="F72" s="11"/>
      <c r="G72" s="9"/>
      <c r="H72" s="10"/>
      <c r="I72" s="10"/>
      <c r="J72" s="11"/>
      <c r="K72" s="11"/>
      <c r="L72" s="11"/>
      <c r="M72" s="10"/>
      <c r="N72" s="11"/>
      <c r="O72" s="10"/>
      <c r="P72" s="11"/>
      <c r="Q72" s="11"/>
      <c r="R72" s="12"/>
    </row>
    <row r="73" spans="1:18" x14ac:dyDescent="0.25">
      <c r="A73" s="8"/>
      <c r="B73" s="9"/>
      <c r="C73" s="10"/>
      <c r="D73" s="10"/>
      <c r="E73" s="9"/>
      <c r="F73" s="11"/>
      <c r="G73" s="9"/>
      <c r="H73" s="10"/>
      <c r="I73" s="10"/>
      <c r="J73" s="11"/>
      <c r="K73" s="11"/>
      <c r="L73" s="11"/>
      <c r="M73" s="10"/>
      <c r="N73" s="11"/>
      <c r="O73" s="10"/>
      <c r="P73" s="11"/>
      <c r="Q73" s="11"/>
      <c r="R73" s="12"/>
    </row>
    <row r="74" spans="1:18" x14ac:dyDescent="0.25">
      <c r="A74" s="8"/>
      <c r="B74" s="9"/>
      <c r="C74" s="10"/>
      <c r="D74" s="10"/>
      <c r="E74" s="9"/>
      <c r="F74" s="11"/>
      <c r="G74" s="9"/>
      <c r="H74" s="10"/>
      <c r="I74" s="10"/>
      <c r="J74" s="11"/>
      <c r="K74" s="11"/>
      <c r="L74" s="11"/>
      <c r="M74" s="10"/>
      <c r="N74" s="11"/>
      <c r="O74" s="10"/>
      <c r="P74" s="11"/>
      <c r="Q74" s="11"/>
      <c r="R74" s="12"/>
    </row>
    <row r="75" spans="1:18" x14ac:dyDescent="0.25">
      <c r="A75" s="8"/>
      <c r="B75" s="9"/>
      <c r="C75" s="10"/>
      <c r="D75" s="10"/>
      <c r="E75" s="9"/>
      <c r="F75" s="11"/>
      <c r="G75" s="9"/>
      <c r="H75" s="10"/>
      <c r="I75" s="10"/>
      <c r="J75" s="11"/>
      <c r="K75" s="11"/>
      <c r="L75" s="11"/>
      <c r="M75" s="10"/>
      <c r="N75" s="11"/>
      <c r="O75" s="10"/>
      <c r="P75" s="11"/>
      <c r="Q75" s="11"/>
      <c r="R75" s="12"/>
    </row>
    <row r="76" spans="1:18" x14ac:dyDescent="0.25">
      <c r="A76" s="8"/>
      <c r="B76" s="9"/>
      <c r="C76" s="10"/>
      <c r="D76" s="10"/>
      <c r="E76" s="9"/>
      <c r="F76" s="11"/>
      <c r="G76" s="9"/>
      <c r="H76" s="10"/>
      <c r="I76" s="10"/>
      <c r="J76" s="11"/>
      <c r="K76" s="11"/>
      <c r="L76" s="11"/>
      <c r="M76" s="10"/>
      <c r="N76" s="11"/>
      <c r="O76" s="10"/>
      <c r="P76" s="11"/>
      <c r="Q76" s="11"/>
      <c r="R76" s="12"/>
    </row>
    <row r="77" spans="1:18" x14ac:dyDescent="0.25">
      <c r="A77" s="8"/>
      <c r="B77" s="9"/>
      <c r="C77" s="10"/>
      <c r="D77" s="10"/>
      <c r="E77" s="9"/>
      <c r="F77" s="11"/>
      <c r="G77" s="9"/>
      <c r="H77" s="10"/>
      <c r="I77" s="10"/>
      <c r="J77" s="11"/>
      <c r="K77" s="11"/>
      <c r="L77" s="11"/>
      <c r="M77" s="10"/>
      <c r="N77" s="11"/>
      <c r="O77" s="10"/>
      <c r="P77" s="11"/>
      <c r="Q77" s="11"/>
      <c r="R77" s="12"/>
    </row>
    <row r="78" spans="1:18" x14ac:dyDescent="0.25">
      <c r="A78" s="8"/>
      <c r="B78" s="9"/>
      <c r="C78" s="10"/>
      <c r="D78" s="10"/>
      <c r="E78" s="9"/>
      <c r="F78" s="11"/>
      <c r="G78" s="9"/>
      <c r="H78" s="10"/>
      <c r="I78" s="10"/>
      <c r="J78" s="11"/>
      <c r="K78" s="11"/>
      <c r="L78" s="11"/>
      <c r="M78" s="10"/>
      <c r="N78" s="11"/>
      <c r="O78" s="10"/>
      <c r="P78" s="11"/>
      <c r="Q78" s="11"/>
      <c r="R78" s="12"/>
    </row>
    <row r="79" spans="1:18" x14ac:dyDescent="0.25">
      <c r="A79" s="8"/>
      <c r="B79" s="9"/>
      <c r="C79" s="10"/>
      <c r="D79" s="10"/>
      <c r="E79" s="9"/>
      <c r="F79" s="11"/>
      <c r="G79" s="9"/>
      <c r="H79" s="10"/>
      <c r="I79" s="10"/>
      <c r="J79" s="11"/>
      <c r="K79" s="11"/>
      <c r="L79" s="11"/>
      <c r="M79" s="10"/>
      <c r="N79" s="11"/>
      <c r="O79" s="10"/>
      <c r="P79" s="11"/>
      <c r="Q79" s="11"/>
      <c r="R79" s="12"/>
    </row>
    <row r="80" spans="1:18" x14ac:dyDescent="0.25">
      <c r="A80" s="8"/>
      <c r="B80" s="9"/>
      <c r="C80" s="10"/>
      <c r="D80" s="10"/>
      <c r="E80" s="9"/>
      <c r="F80" s="11"/>
      <c r="G80" s="9"/>
      <c r="H80" s="10"/>
      <c r="I80" s="10"/>
      <c r="J80" s="11"/>
      <c r="K80" s="11"/>
      <c r="L80" s="11"/>
      <c r="M80" s="10"/>
      <c r="N80" s="11"/>
      <c r="O80" s="10"/>
      <c r="P80" s="11"/>
      <c r="Q80" s="11"/>
      <c r="R80" s="12"/>
    </row>
    <row r="81" spans="1:18" x14ac:dyDescent="0.25">
      <c r="A81" s="8"/>
      <c r="B81" s="9"/>
      <c r="C81" s="10"/>
      <c r="D81" s="10"/>
      <c r="E81" s="9"/>
      <c r="F81" s="11"/>
      <c r="G81" s="9"/>
      <c r="H81" s="10"/>
      <c r="I81" s="10"/>
      <c r="J81" s="11"/>
      <c r="K81" s="11"/>
      <c r="L81" s="11"/>
      <c r="M81" s="10"/>
      <c r="N81" s="11"/>
      <c r="O81" s="10"/>
      <c r="P81" s="11"/>
      <c r="Q81" s="11"/>
      <c r="R81" s="12"/>
    </row>
    <row r="82" spans="1:18" x14ac:dyDescent="0.25">
      <c r="A82" s="8"/>
      <c r="B82" s="9"/>
      <c r="C82" s="10"/>
      <c r="D82" s="10"/>
      <c r="E82" s="9"/>
      <c r="F82" s="11"/>
      <c r="G82" s="9"/>
      <c r="H82" s="10"/>
      <c r="I82" s="10"/>
      <c r="J82" s="11"/>
      <c r="K82" s="11"/>
      <c r="L82" s="11"/>
      <c r="M82" s="10"/>
      <c r="N82" s="11"/>
      <c r="O82" s="10"/>
      <c r="P82" s="11"/>
      <c r="Q82" s="11"/>
      <c r="R82" s="12"/>
    </row>
    <row r="83" spans="1:18" x14ac:dyDescent="0.25">
      <c r="A83" s="8"/>
      <c r="B83" s="9"/>
      <c r="C83" s="10"/>
      <c r="D83" s="10"/>
      <c r="E83" s="9"/>
      <c r="F83" s="11"/>
      <c r="G83" s="9"/>
      <c r="H83" s="10"/>
      <c r="I83" s="10"/>
      <c r="J83" s="11"/>
      <c r="K83" s="11"/>
      <c r="L83" s="11"/>
      <c r="M83" s="10"/>
      <c r="N83" s="11"/>
      <c r="O83" s="10"/>
      <c r="P83" s="11"/>
      <c r="Q83" s="11"/>
      <c r="R83" s="12"/>
    </row>
    <row r="84" spans="1:18" x14ac:dyDescent="0.25">
      <c r="A84" s="8"/>
      <c r="B84" s="9"/>
      <c r="C84" s="10"/>
      <c r="D84" s="10"/>
      <c r="E84" s="9"/>
      <c r="F84" s="11"/>
      <c r="G84" s="9"/>
      <c r="H84" s="10"/>
      <c r="I84" s="10"/>
      <c r="J84" s="11"/>
      <c r="K84" s="11"/>
      <c r="L84" s="11"/>
      <c r="M84" s="10"/>
      <c r="N84" s="11"/>
      <c r="O84" s="10"/>
      <c r="P84" s="11"/>
      <c r="Q84" s="11"/>
      <c r="R84" s="12"/>
    </row>
    <row r="85" spans="1:18" x14ac:dyDescent="0.25">
      <c r="A85" s="8"/>
      <c r="B85" s="9"/>
      <c r="C85" s="10"/>
      <c r="D85" s="10"/>
      <c r="E85" s="9"/>
      <c r="F85" s="11"/>
      <c r="G85" s="9"/>
      <c r="H85" s="10"/>
      <c r="I85" s="10"/>
      <c r="J85" s="11"/>
      <c r="K85" s="11"/>
      <c r="L85" s="11"/>
      <c r="M85" s="10"/>
      <c r="N85" s="11"/>
      <c r="O85" s="10"/>
      <c r="P85" s="11"/>
      <c r="Q85" s="11"/>
      <c r="R85" s="12"/>
    </row>
    <row r="86" spans="1:18" x14ac:dyDescent="0.25">
      <c r="A86" s="8"/>
      <c r="B86" s="9"/>
      <c r="C86" s="10"/>
      <c r="D86" s="10"/>
      <c r="E86" s="9"/>
      <c r="F86" s="11"/>
      <c r="G86" s="9"/>
      <c r="H86" s="10"/>
      <c r="I86" s="10"/>
      <c r="J86" s="11"/>
      <c r="K86" s="11"/>
      <c r="L86" s="11"/>
      <c r="M86" s="10"/>
      <c r="N86" s="11"/>
      <c r="O86" s="10"/>
      <c r="P86" s="11"/>
      <c r="Q86" s="11"/>
      <c r="R86" s="12"/>
    </row>
    <row r="87" spans="1:18" x14ac:dyDescent="0.25">
      <c r="A87" s="8"/>
      <c r="B87" s="9"/>
      <c r="C87" s="10"/>
      <c r="D87" s="10"/>
      <c r="E87" s="9"/>
      <c r="F87" s="11"/>
      <c r="G87" s="9"/>
      <c r="H87" s="10"/>
      <c r="I87" s="10"/>
      <c r="J87" s="11"/>
      <c r="K87" s="11"/>
      <c r="L87" s="11"/>
      <c r="M87" s="10"/>
      <c r="N87" s="11"/>
      <c r="O87" s="10"/>
      <c r="P87" s="11"/>
      <c r="Q87" s="11"/>
      <c r="R87" s="12"/>
    </row>
    <row r="88" spans="1:18" x14ac:dyDescent="0.25">
      <c r="A88" s="8"/>
      <c r="B88" s="9"/>
      <c r="C88" s="10"/>
      <c r="D88" s="10"/>
      <c r="E88" s="9"/>
      <c r="F88" s="11"/>
      <c r="G88" s="9"/>
      <c r="H88" s="10"/>
      <c r="I88" s="10"/>
      <c r="J88" s="11"/>
      <c r="K88" s="11"/>
      <c r="L88" s="11"/>
      <c r="M88" s="10"/>
      <c r="N88" s="11"/>
      <c r="O88" s="10"/>
      <c r="P88" s="11"/>
      <c r="Q88" s="11"/>
      <c r="R88" s="12"/>
    </row>
    <row r="89" spans="1:18" x14ac:dyDescent="0.25">
      <c r="A89" s="8"/>
      <c r="B89" s="9"/>
      <c r="C89" s="10"/>
      <c r="D89" s="10"/>
      <c r="E89" s="9"/>
      <c r="F89" s="11"/>
      <c r="G89" s="9"/>
      <c r="H89" s="10"/>
      <c r="I89" s="10"/>
      <c r="J89" s="11"/>
      <c r="K89" s="11"/>
      <c r="L89" s="11"/>
      <c r="M89" s="10"/>
      <c r="N89" s="11"/>
      <c r="O89" s="10"/>
      <c r="P89" s="11"/>
      <c r="Q89" s="11"/>
      <c r="R89" s="12"/>
    </row>
    <row r="90" spans="1:18" x14ac:dyDescent="0.25">
      <c r="A90" s="8"/>
      <c r="B90" s="9"/>
      <c r="C90" s="10"/>
      <c r="D90" s="10"/>
      <c r="E90" s="9"/>
      <c r="F90" s="11"/>
      <c r="G90" s="9"/>
      <c r="H90" s="10"/>
      <c r="I90" s="10"/>
      <c r="J90" s="11"/>
      <c r="K90" s="11"/>
      <c r="L90" s="11"/>
      <c r="M90" s="10"/>
      <c r="N90" s="11"/>
      <c r="O90" s="10"/>
      <c r="P90" s="11"/>
      <c r="Q90" s="11"/>
      <c r="R90" s="12"/>
    </row>
    <row r="91" spans="1:18" x14ac:dyDescent="0.25">
      <c r="A91" s="8"/>
      <c r="B91" s="9"/>
      <c r="C91" s="10"/>
      <c r="D91" s="10"/>
      <c r="E91" s="9"/>
      <c r="F91" s="11"/>
      <c r="G91" s="9"/>
      <c r="H91" s="10"/>
      <c r="I91" s="10"/>
      <c r="J91" s="11"/>
      <c r="K91" s="11"/>
      <c r="L91" s="11"/>
      <c r="M91" s="10"/>
      <c r="N91" s="11"/>
      <c r="O91" s="10"/>
      <c r="P91" s="11"/>
      <c r="Q91" s="11"/>
      <c r="R91" s="12"/>
    </row>
    <row r="92" spans="1:18" x14ac:dyDescent="0.25">
      <c r="A92" s="8"/>
      <c r="B92" s="9"/>
      <c r="C92" s="10"/>
      <c r="D92" s="10"/>
      <c r="E92" s="9"/>
      <c r="F92" s="11"/>
      <c r="G92" s="9"/>
      <c r="H92" s="10"/>
      <c r="I92" s="10"/>
      <c r="J92" s="11"/>
      <c r="K92" s="11"/>
      <c r="L92" s="11"/>
      <c r="M92" s="10"/>
      <c r="N92" s="11"/>
      <c r="O92" s="10"/>
      <c r="P92" s="11"/>
      <c r="Q92" s="11"/>
      <c r="R92" s="12"/>
    </row>
    <row r="93" spans="1:18" x14ac:dyDescent="0.25">
      <c r="A93" s="8"/>
      <c r="B93" s="9"/>
      <c r="C93" s="10"/>
      <c r="D93" s="10"/>
      <c r="E93" s="9"/>
      <c r="F93" s="11"/>
      <c r="G93" s="9"/>
      <c r="H93" s="10"/>
      <c r="I93" s="10"/>
      <c r="J93" s="11"/>
      <c r="K93" s="11"/>
      <c r="L93" s="11"/>
      <c r="M93" s="10"/>
      <c r="N93" s="11"/>
      <c r="O93" s="10"/>
      <c r="P93" s="11"/>
      <c r="Q93" s="11"/>
      <c r="R93" s="12"/>
    </row>
    <row r="94" spans="1:18" x14ac:dyDescent="0.25">
      <c r="A94" s="8"/>
      <c r="B94" s="9"/>
      <c r="C94" s="10"/>
      <c r="D94" s="10"/>
      <c r="E94" s="9"/>
      <c r="F94" s="11"/>
      <c r="G94" s="9"/>
      <c r="H94" s="10"/>
      <c r="I94" s="10"/>
      <c r="J94" s="11"/>
      <c r="K94" s="11"/>
      <c r="L94" s="11"/>
      <c r="M94" s="10"/>
      <c r="N94" s="11"/>
      <c r="O94" s="10"/>
      <c r="P94" s="11"/>
      <c r="Q94" s="11"/>
      <c r="R94" s="12"/>
    </row>
    <row r="95" spans="1:18" x14ac:dyDescent="0.25">
      <c r="A95" s="8"/>
      <c r="B95" s="9"/>
      <c r="C95" s="10"/>
      <c r="D95" s="10"/>
      <c r="E95" s="9"/>
      <c r="F95" s="11"/>
      <c r="G95" s="9"/>
      <c r="H95" s="10"/>
      <c r="I95" s="10"/>
      <c r="J95" s="11"/>
      <c r="K95" s="11"/>
      <c r="L95" s="11"/>
      <c r="M95" s="10"/>
      <c r="N95" s="11"/>
      <c r="O95" s="10"/>
      <c r="P95" s="11"/>
      <c r="Q95" s="11"/>
      <c r="R95" s="12"/>
    </row>
    <row r="96" spans="1:18" x14ac:dyDescent="0.25">
      <c r="A96" s="8"/>
      <c r="B96" s="9"/>
      <c r="C96" s="10"/>
      <c r="D96" s="10"/>
      <c r="E96" s="13"/>
      <c r="F96" s="11"/>
      <c r="G96" s="9"/>
      <c r="H96" s="10"/>
      <c r="I96" s="10"/>
      <c r="J96" s="11"/>
      <c r="K96" s="11"/>
      <c r="L96" s="11"/>
      <c r="M96" s="10"/>
      <c r="N96" s="11"/>
      <c r="O96" s="10"/>
      <c r="P96" s="11"/>
      <c r="Q96" s="11"/>
      <c r="R96" s="12"/>
    </row>
    <row r="97" spans="1:18" x14ac:dyDescent="0.25">
      <c r="A97" s="8"/>
      <c r="B97" s="9"/>
      <c r="C97" s="10"/>
      <c r="D97" s="10"/>
      <c r="E97" s="9"/>
      <c r="F97" s="11"/>
      <c r="G97" s="9"/>
      <c r="H97" s="10"/>
      <c r="I97" s="10"/>
      <c r="J97" s="11"/>
      <c r="K97" s="11"/>
      <c r="L97" s="11"/>
      <c r="M97" s="10"/>
      <c r="N97" s="11"/>
      <c r="O97" s="10"/>
      <c r="P97" s="11"/>
      <c r="Q97" s="11"/>
      <c r="R97" s="12"/>
    </row>
    <row r="98" spans="1:18" x14ac:dyDescent="0.25">
      <c r="A98" s="8"/>
      <c r="B98" s="9"/>
      <c r="C98" s="10"/>
      <c r="D98" s="10"/>
      <c r="E98" s="9"/>
      <c r="F98" s="11"/>
      <c r="G98" s="9"/>
      <c r="H98" s="10"/>
      <c r="I98" s="10"/>
      <c r="J98" s="11"/>
      <c r="K98" s="11"/>
      <c r="L98" s="11"/>
      <c r="M98" s="10"/>
      <c r="N98" s="11"/>
      <c r="O98" s="10"/>
      <c r="P98" s="11"/>
      <c r="Q98" s="11"/>
      <c r="R98" s="12"/>
    </row>
    <row r="99" spans="1:18" x14ac:dyDescent="0.25">
      <c r="A99" s="8"/>
      <c r="B99" s="9"/>
      <c r="C99" s="10"/>
      <c r="D99" s="10"/>
      <c r="E99" s="9"/>
      <c r="F99" s="11"/>
      <c r="G99" s="9"/>
      <c r="H99" s="10"/>
      <c r="I99" s="10"/>
      <c r="J99" s="11"/>
      <c r="K99" s="11"/>
      <c r="L99" s="11"/>
      <c r="M99" s="10"/>
      <c r="N99" s="11"/>
      <c r="O99" s="10"/>
      <c r="P99" s="11"/>
      <c r="Q99" s="11"/>
      <c r="R99" s="12"/>
    </row>
    <row r="100" spans="1:18" x14ac:dyDescent="0.25">
      <c r="A100" s="8"/>
      <c r="B100" s="9"/>
      <c r="C100" s="10"/>
      <c r="D100" s="10"/>
      <c r="E100" s="9"/>
      <c r="F100" s="11"/>
      <c r="G100" s="9"/>
      <c r="H100" s="10"/>
      <c r="I100" s="10"/>
      <c r="J100" s="11"/>
      <c r="K100" s="11"/>
      <c r="L100" s="11"/>
      <c r="M100" s="10"/>
      <c r="N100" s="11"/>
      <c r="O100" s="10"/>
      <c r="P100" s="11"/>
      <c r="Q100" s="11"/>
      <c r="R100" s="12"/>
    </row>
    <row r="101" spans="1:18" x14ac:dyDescent="0.25">
      <c r="A101" s="8"/>
      <c r="B101" s="9"/>
      <c r="C101" s="10"/>
      <c r="D101" s="10"/>
      <c r="E101" s="9"/>
      <c r="F101" s="11"/>
      <c r="G101" s="9"/>
      <c r="H101" s="10"/>
      <c r="I101" s="10"/>
      <c r="J101" s="11"/>
      <c r="K101" s="11"/>
      <c r="L101" s="11"/>
      <c r="M101" s="10"/>
      <c r="N101" s="11"/>
      <c r="O101" s="10"/>
      <c r="P101" s="11"/>
      <c r="Q101" s="11"/>
      <c r="R101" s="12"/>
    </row>
    <row r="102" spans="1:18" x14ac:dyDescent="0.25">
      <c r="A102" s="8"/>
      <c r="B102" s="9"/>
      <c r="C102" s="10"/>
      <c r="D102" s="10"/>
      <c r="E102" s="9"/>
      <c r="F102" s="11"/>
      <c r="G102" s="9"/>
      <c r="H102" s="10"/>
      <c r="I102" s="10"/>
      <c r="J102" s="11"/>
      <c r="K102" s="11"/>
      <c r="L102" s="11"/>
      <c r="M102" s="10"/>
      <c r="N102" s="11"/>
      <c r="O102" s="10"/>
      <c r="P102" s="11"/>
      <c r="Q102" s="11"/>
      <c r="R102" s="12"/>
    </row>
    <row r="103" spans="1:18" x14ac:dyDescent="0.25">
      <c r="A103" s="8"/>
      <c r="B103" s="9"/>
      <c r="C103" s="10"/>
      <c r="D103" s="10"/>
      <c r="E103" s="9"/>
      <c r="F103" s="11"/>
      <c r="G103" s="9"/>
      <c r="H103" s="10"/>
      <c r="I103" s="10"/>
      <c r="J103" s="11"/>
      <c r="K103" s="11"/>
      <c r="L103" s="11"/>
      <c r="M103" s="10"/>
      <c r="N103" s="11"/>
      <c r="O103" s="10"/>
      <c r="P103" s="11"/>
      <c r="Q103" s="11"/>
      <c r="R103" s="12"/>
    </row>
    <row r="104" spans="1:18" x14ac:dyDescent="0.25">
      <c r="A104" s="8"/>
      <c r="B104" s="9"/>
      <c r="C104" s="10"/>
      <c r="D104" s="10"/>
      <c r="E104" s="9"/>
      <c r="F104" s="11"/>
      <c r="G104" s="9"/>
      <c r="H104" s="10"/>
      <c r="I104" s="10"/>
      <c r="J104" s="11"/>
      <c r="K104" s="11"/>
      <c r="L104" s="11"/>
      <c r="M104" s="10"/>
      <c r="N104" s="11"/>
      <c r="O104" s="10"/>
      <c r="P104" s="11"/>
      <c r="Q104" s="11"/>
      <c r="R104" s="12"/>
    </row>
    <row r="105" spans="1:18" x14ac:dyDescent="0.25">
      <c r="A105" s="8"/>
      <c r="B105" s="9"/>
      <c r="C105" s="10"/>
      <c r="D105" s="10"/>
      <c r="E105" s="9"/>
      <c r="F105" s="11"/>
      <c r="G105" s="9"/>
      <c r="H105" s="10"/>
      <c r="I105" s="10"/>
      <c r="J105" s="11"/>
      <c r="K105" s="11"/>
      <c r="L105" s="11"/>
      <c r="M105" s="10"/>
      <c r="N105" s="11"/>
      <c r="O105" s="10"/>
      <c r="P105" s="11"/>
      <c r="Q105" s="11"/>
      <c r="R105" s="12"/>
    </row>
    <row r="106" spans="1:18" x14ac:dyDescent="0.25">
      <c r="A106" s="8"/>
      <c r="B106" s="9"/>
      <c r="C106" s="10"/>
      <c r="D106" s="10"/>
      <c r="E106" s="9"/>
      <c r="F106" s="11"/>
      <c r="G106" s="9"/>
      <c r="H106" s="10"/>
      <c r="I106" s="10"/>
      <c r="J106" s="11"/>
      <c r="K106" s="11"/>
      <c r="L106" s="11"/>
      <c r="M106" s="10"/>
      <c r="N106" s="11"/>
      <c r="O106" s="10"/>
      <c r="P106" s="11"/>
      <c r="Q106" s="11"/>
      <c r="R106" s="12"/>
    </row>
    <row r="107" spans="1:18" x14ac:dyDescent="0.25">
      <c r="A107" s="8"/>
      <c r="B107" s="9"/>
      <c r="C107" s="10"/>
      <c r="D107" s="10"/>
      <c r="E107" s="9"/>
      <c r="F107" s="11"/>
      <c r="G107" s="9"/>
      <c r="H107" s="10"/>
      <c r="I107" s="10"/>
      <c r="J107" s="11"/>
      <c r="K107" s="11"/>
      <c r="L107" s="11"/>
      <c r="M107" s="10"/>
      <c r="N107" s="11"/>
      <c r="O107" s="10"/>
      <c r="P107" s="11"/>
      <c r="Q107" s="11"/>
      <c r="R107" s="12"/>
    </row>
    <row r="108" spans="1:18" x14ac:dyDescent="0.25">
      <c r="A108" s="8"/>
      <c r="B108" s="9"/>
      <c r="C108" s="10"/>
      <c r="D108" s="10"/>
      <c r="E108" s="9"/>
      <c r="F108" s="11"/>
      <c r="G108" s="9"/>
      <c r="H108" s="10"/>
      <c r="I108" s="10"/>
      <c r="J108" s="11"/>
      <c r="K108" s="11"/>
      <c r="L108" s="11"/>
      <c r="M108" s="10"/>
      <c r="N108" s="11"/>
      <c r="O108" s="10"/>
      <c r="P108" s="11"/>
      <c r="Q108" s="11"/>
      <c r="R108" s="12"/>
    </row>
    <row r="109" spans="1:18" x14ac:dyDescent="0.25">
      <c r="A109" s="8"/>
      <c r="B109" s="9"/>
      <c r="C109" s="10"/>
      <c r="D109" s="10"/>
      <c r="E109" s="9"/>
      <c r="F109" s="11"/>
      <c r="G109" s="9"/>
      <c r="H109" s="10"/>
      <c r="I109" s="10"/>
      <c r="J109" s="11"/>
      <c r="K109" s="11"/>
      <c r="L109" s="11"/>
      <c r="M109" s="10"/>
      <c r="N109" s="11"/>
      <c r="O109" s="10"/>
      <c r="P109" s="11"/>
      <c r="Q109" s="11"/>
      <c r="R109" s="12"/>
    </row>
    <row r="110" spans="1:18" x14ac:dyDescent="0.25">
      <c r="A110" s="8"/>
      <c r="B110" s="9"/>
      <c r="C110" s="10"/>
      <c r="D110" s="10"/>
      <c r="E110" s="9"/>
      <c r="F110" s="11"/>
      <c r="G110" s="9"/>
      <c r="H110" s="10"/>
      <c r="I110" s="10"/>
      <c r="J110" s="11"/>
      <c r="K110" s="11"/>
      <c r="L110" s="11"/>
      <c r="M110" s="10"/>
      <c r="N110" s="11"/>
      <c r="O110" s="10"/>
      <c r="P110" s="11"/>
      <c r="Q110" s="11"/>
      <c r="R110" s="12"/>
    </row>
    <row r="111" spans="1:18" x14ac:dyDescent="0.25">
      <c r="A111" s="8"/>
      <c r="B111" s="9"/>
      <c r="C111" s="10"/>
      <c r="D111" s="10"/>
      <c r="E111" s="9"/>
      <c r="F111" s="11"/>
      <c r="G111" s="9"/>
      <c r="H111" s="10"/>
      <c r="I111" s="10"/>
      <c r="J111" s="11"/>
      <c r="K111" s="11"/>
      <c r="L111" s="11"/>
      <c r="M111" s="10"/>
      <c r="N111" s="11"/>
      <c r="O111" s="10"/>
      <c r="P111" s="11"/>
      <c r="Q111" s="11"/>
      <c r="R111" s="12"/>
    </row>
    <row r="112" spans="1:18" x14ac:dyDescent="0.25">
      <c r="A112" s="8"/>
      <c r="B112" s="9"/>
      <c r="C112" s="10"/>
      <c r="D112" s="10"/>
      <c r="E112" s="9"/>
      <c r="F112" s="11"/>
      <c r="G112" s="9"/>
      <c r="H112" s="10"/>
      <c r="I112" s="10"/>
      <c r="J112" s="11"/>
      <c r="K112" s="11"/>
      <c r="L112" s="11"/>
      <c r="M112" s="10"/>
      <c r="N112" s="11"/>
      <c r="O112" s="10"/>
      <c r="P112" s="11"/>
      <c r="Q112" s="11"/>
      <c r="R112" s="12"/>
    </row>
    <row r="113" spans="1:18" x14ac:dyDescent="0.25">
      <c r="A113" s="8"/>
      <c r="B113" s="9"/>
      <c r="C113" s="10"/>
      <c r="D113" s="10"/>
      <c r="E113" s="9"/>
      <c r="F113" s="11"/>
      <c r="G113" s="9"/>
      <c r="H113" s="10"/>
      <c r="I113" s="10"/>
      <c r="J113" s="11"/>
      <c r="K113" s="11"/>
      <c r="L113" s="11"/>
      <c r="M113" s="10"/>
      <c r="N113" s="11"/>
      <c r="O113" s="10"/>
      <c r="P113" s="11"/>
      <c r="Q113" s="11"/>
      <c r="R113" s="12"/>
    </row>
    <row r="114" spans="1:18" x14ac:dyDescent="0.25">
      <c r="A114" s="8"/>
      <c r="B114" s="9"/>
      <c r="C114" s="10"/>
      <c r="D114" s="10"/>
      <c r="E114" s="9"/>
      <c r="F114" s="11"/>
      <c r="G114" s="9"/>
      <c r="H114" s="10"/>
      <c r="I114" s="10"/>
      <c r="J114" s="11"/>
      <c r="K114" s="11"/>
      <c r="L114" s="11"/>
      <c r="M114" s="10"/>
      <c r="N114" s="11"/>
      <c r="O114" s="10"/>
      <c r="P114" s="11"/>
      <c r="Q114" s="11"/>
      <c r="R114" s="12"/>
    </row>
    <row r="115" spans="1:18" x14ac:dyDescent="0.25">
      <c r="A115" s="8"/>
      <c r="B115" s="9"/>
      <c r="C115" s="10"/>
      <c r="D115" s="10"/>
      <c r="E115" s="9"/>
      <c r="F115" s="11"/>
      <c r="G115" s="9"/>
      <c r="H115" s="10"/>
      <c r="I115" s="10"/>
      <c r="J115" s="11"/>
      <c r="K115" s="11"/>
      <c r="L115" s="11"/>
      <c r="M115" s="10"/>
      <c r="N115" s="11"/>
      <c r="O115" s="10"/>
      <c r="P115" s="11"/>
      <c r="Q115" s="11"/>
      <c r="R115" s="12"/>
    </row>
    <row r="116" spans="1:18" x14ac:dyDescent="0.25">
      <c r="A116" s="8"/>
      <c r="B116" s="9"/>
      <c r="C116" s="10"/>
      <c r="D116" s="10"/>
      <c r="E116" s="9"/>
      <c r="F116" s="11"/>
      <c r="G116" s="9"/>
      <c r="H116" s="10"/>
      <c r="I116" s="10"/>
      <c r="J116" s="11"/>
      <c r="K116" s="11"/>
      <c r="L116" s="11"/>
      <c r="M116" s="10"/>
      <c r="N116" s="11"/>
      <c r="O116" s="10"/>
      <c r="P116" s="11"/>
      <c r="Q116" s="11"/>
      <c r="R116" s="12"/>
    </row>
    <row r="117" spans="1:18" x14ac:dyDescent="0.25">
      <c r="A117" s="8"/>
      <c r="B117" s="9"/>
      <c r="C117" s="10"/>
      <c r="D117" s="10"/>
      <c r="E117" s="9"/>
      <c r="F117" s="11"/>
      <c r="G117" s="9"/>
      <c r="H117" s="10"/>
      <c r="I117" s="10"/>
      <c r="J117" s="11"/>
      <c r="K117" s="11"/>
      <c r="L117" s="11"/>
      <c r="M117" s="10"/>
      <c r="N117" s="11"/>
      <c r="O117" s="10"/>
      <c r="P117" s="11"/>
      <c r="Q117" s="11"/>
      <c r="R117" s="12"/>
    </row>
    <row r="118" spans="1:18" x14ac:dyDescent="0.25">
      <c r="A118" s="8"/>
      <c r="B118" s="9"/>
      <c r="C118" s="10"/>
      <c r="D118" s="10"/>
      <c r="E118" s="9"/>
      <c r="F118" s="11"/>
      <c r="G118" s="9"/>
      <c r="H118" s="10"/>
      <c r="I118" s="10"/>
      <c r="J118" s="11"/>
      <c r="K118" s="11"/>
      <c r="L118" s="11"/>
      <c r="M118" s="10"/>
      <c r="N118" s="11"/>
      <c r="O118" s="10"/>
      <c r="P118" s="11"/>
      <c r="Q118" s="11"/>
      <c r="R118" s="12"/>
    </row>
    <row r="119" spans="1:18" x14ac:dyDescent="0.25">
      <c r="A119" s="8"/>
      <c r="B119" s="9"/>
      <c r="C119" s="10"/>
      <c r="D119" s="10"/>
      <c r="E119" s="9"/>
      <c r="F119" s="11"/>
      <c r="G119" s="9"/>
      <c r="H119" s="10"/>
      <c r="I119" s="10"/>
      <c r="J119" s="11"/>
      <c r="K119" s="11"/>
      <c r="L119" s="11"/>
      <c r="M119" s="10"/>
      <c r="N119" s="11"/>
      <c r="O119" s="10"/>
      <c r="P119" s="11"/>
      <c r="Q119" s="11"/>
      <c r="R119" s="12"/>
    </row>
    <row r="120" spans="1:18" x14ac:dyDescent="0.25">
      <c r="A120" s="8"/>
      <c r="B120" s="9"/>
      <c r="C120" s="10"/>
      <c r="D120" s="10"/>
      <c r="E120" s="9"/>
      <c r="F120" s="11"/>
      <c r="G120" s="9"/>
      <c r="H120" s="10"/>
      <c r="I120" s="10"/>
      <c r="J120" s="11"/>
      <c r="K120" s="11"/>
      <c r="L120" s="11"/>
      <c r="M120" s="10"/>
      <c r="N120" s="11"/>
      <c r="O120" s="10"/>
      <c r="P120" s="11"/>
      <c r="Q120" s="11"/>
      <c r="R120" s="12"/>
    </row>
    <row r="121" spans="1:18" x14ac:dyDescent="0.25">
      <c r="A121" s="8"/>
      <c r="B121" s="9"/>
      <c r="C121" s="10"/>
      <c r="D121" s="10"/>
      <c r="E121" s="9"/>
      <c r="F121" s="11"/>
      <c r="G121" s="9"/>
      <c r="H121" s="10"/>
      <c r="I121" s="10"/>
      <c r="J121" s="11"/>
      <c r="K121" s="11"/>
      <c r="L121" s="11"/>
      <c r="M121" s="10"/>
      <c r="N121" s="11"/>
      <c r="O121" s="10"/>
      <c r="P121" s="11"/>
      <c r="Q121" s="11"/>
      <c r="R121" s="12"/>
    </row>
    <row r="122" spans="1:18" x14ac:dyDescent="0.25">
      <c r="A122" s="8"/>
      <c r="B122" s="9"/>
      <c r="C122" s="10"/>
      <c r="D122" s="10"/>
      <c r="E122" s="9"/>
      <c r="F122" s="11"/>
      <c r="G122" s="9"/>
      <c r="H122" s="10"/>
      <c r="I122" s="10"/>
      <c r="J122" s="11"/>
      <c r="K122" s="11"/>
      <c r="L122" s="11"/>
      <c r="M122" s="10"/>
      <c r="N122" s="11"/>
      <c r="O122" s="10"/>
      <c r="P122" s="11"/>
      <c r="Q122" s="11"/>
      <c r="R122" s="12"/>
    </row>
    <row r="123" spans="1:18" x14ac:dyDescent="0.25">
      <c r="A123" s="8"/>
      <c r="B123" s="9"/>
      <c r="C123" s="10"/>
      <c r="D123" s="10"/>
      <c r="E123" s="9"/>
      <c r="F123" s="11"/>
      <c r="G123" s="9"/>
      <c r="H123" s="10"/>
      <c r="I123" s="10"/>
      <c r="J123" s="11"/>
      <c r="K123" s="11"/>
      <c r="L123" s="11"/>
      <c r="M123" s="10"/>
      <c r="N123" s="11"/>
      <c r="O123" s="10"/>
      <c r="P123" s="11"/>
      <c r="Q123" s="11"/>
      <c r="R123" s="12"/>
    </row>
    <row r="124" spans="1:18" x14ac:dyDescent="0.25">
      <c r="A124" s="8"/>
      <c r="B124" s="9"/>
      <c r="C124" s="10"/>
      <c r="D124" s="10"/>
      <c r="E124" s="9"/>
      <c r="F124" s="11"/>
      <c r="G124" s="9"/>
      <c r="H124" s="10"/>
      <c r="I124" s="10"/>
      <c r="J124" s="11"/>
      <c r="K124" s="11"/>
      <c r="L124" s="11"/>
      <c r="M124" s="10"/>
      <c r="N124" s="11"/>
      <c r="O124" s="10"/>
      <c r="P124" s="11"/>
      <c r="Q124" s="11"/>
      <c r="R124" s="12"/>
    </row>
    <row r="125" spans="1:18" x14ac:dyDescent="0.25">
      <c r="A125" s="8"/>
      <c r="B125" s="9"/>
      <c r="C125" s="10"/>
      <c r="D125" s="10"/>
      <c r="E125" s="9"/>
      <c r="F125" s="11"/>
      <c r="G125" s="9"/>
      <c r="H125" s="10"/>
      <c r="I125" s="10"/>
      <c r="J125" s="11"/>
      <c r="K125" s="11"/>
      <c r="L125" s="11"/>
      <c r="M125" s="10"/>
      <c r="N125" s="11"/>
      <c r="O125" s="10"/>
      <c r="P125" s="11"/>
      <c r="Q125" s="11"/>
      <c r="R125" s="12"/>
    </row>
    <row r="126" spans="1:18" x14ac:dyDescent="0.25">
      <c r="A126" s="8"/>
      <c r="B126" s="9"/>
      <c r="C126" s="10"/>
      <c r="D126" s="10"/>
      <c r="E126" s="9"/>
      <c r="F126" s="11"/>
      <c r="G126" s="9"/>
      <c r="H126" s="10"/>
      <c r="I126" s="10"/>
      <c r="J126" s="11"/>
      <c r="K126" s="11"/>
      <c r="L126" s="11"/>
      <c r="M126" s="10"/>
      <c r="N126" s="11"/>
      <c r="O126" s="10"/>
      <c r="P126" s="11"/>
      <c r="Q126" s="11"/>
      <c r="R126" s="12"/>
    </row>
    <row r="127" spans="1:18" x14ac:dyDescent="0.25">
      <c r="A127" s="8"/>
      <c r="B127" s="9"/>
      <c r="C127" s="10"/>
      <c r="D127" s="10"/>
      <c r="E127" s="9"/>
      <c r="F127" s="11"/>
      <c r="G127" s="9"/>
      <c r="H127" s="10"/>
      <c r="I127" s="10"/>
      <c r="J127" s="11"/>
      <c r="K127" s="11"/>
      <c r="L127" s="11"/>
      <c r="M127" s="10"/>
      <c r="N127" s="11"/>
      <c r="O127" s="10"/>
      <c r="P127" s="11"/>
      <c r="Q127" s="11"/>
      <c r="R127" s="12"/>
    </row>
    <row r="128" spans="1:18" x14ac:dyDescent="0.25">
      <c r="A128" s="8"/>
      <c r="B128" s="9"/>
      <c r="C128" s="10"/>
      <c r="D128" s="10"/>
      <c r="E128" s="9"/>
      <c r="F128" s="11"/>
      <c r="G128" s="9"/>
      <c r="H128" s="10"/>
      <c r="I128" s="10"/>
      <c r="J128" s="11"/>
      <c r="K128" s="11"/>
      <c r="L128" s="11"/>
      <c r="M128" s="10"/>
      <c r="N128" s="11"/>
      <c r="O128" s="10"/>
      <c r="P128" s="11"/>
      <c r="Q128" s="11"/>
      <c r="R128" s="12"/>
    </row>
    <row r="129" spans="1:18" x14ac:dyDescent="0.25">
      <c r="A129" s="8"/>
      <c r="B129" s="9"/>
      <c r="C129" s="10"/>
      <c r="D129" s="10"/>
      <c r="E129" s="9"/>
      <c r="F129" s="11"/>
      <c r="G129" s="9"/>
      <c r="H129" s="10"/>
      <c r="I129" s="10"/>
      <c r="J129" s="11"/>
      <c r="K129" s="11"/>
      <c r="L129" s="11"/>
      <c r="M129" s="10"/>
      <c r="N129" s="11"/>
      <c r="O129" s="10"/>
      <c r="P129" s="11"/>
      <c r="Q129" s="11"/>
      <c r="R129" s="12"/>
    </row>
    <row r="130" spans="1:18" x14ac:dyDescent="0.25">
      <c r="A130" s="8"/>
      <c r="B130" s="9"/>
      <c r="C130" s="10"/>
      <c r="D130" s="10"/>
      <c r="E130" s="9"/>
      <c r="F130" s="11"/>
      <c r="G130" s="9"/>
      <c r="H130" s="10"/>
      <c r="I130" s="10"/>
      <c r="J130" s="11"/>
      <c r="K130" s="11"/>
      <c r="L130" s="11"/>
      <c r="M130" s="10"/>
      <c r="N130" s="11"/>
      <c r="O130" s="10"/>
      <c r="P130" s="11"/>
      <c r="Q130" s="11"/>
      <c r="R130" s="12"/>
    </row>
    <row r="131" spans="1:18" x14ac:dyDescent="0.25">
      <c r="A131" s="8"/>
      <c r="B131" s="9"/>
      <c r="C131" s="10"/>
      <c r="D131" s="10"/>
      <c r="E131" s="9"/>
      <c r="F131" s="11"/>
      <c r="G131" s="9"/>
      <c r="H131" s="10"/>
      <c r="I131" s="10"/>
      <c r="J131" s="11"/>
      <c r="K131" s="11"/>
      <c r="L131" s="11"/>
      <c r="M131" s="10"/>
      <c r="N131" s="11"/>
      <c r="O131" s="10"/>
      <c r="P131" s="11"/>
      <c r="Q131" s="11"/>
      <c r="R131" s="12"/>
    </row>
    <row r="132" spans="1:18" x14ac:dyDescent="0.25">
      <c r="A132" s="8"/>
      <c r="B132" s="9"/>
      <c r="C132" s="10"/>
      <c r="D132" s="10"/>
      <c r="E132" s="9"/>
      <c r="F132" s="11"/>
      <c r="G132" s="9"/>
      <c r="H132" s="10"/>
      <c r="I132" s="10"/>
      <c r="J132" s="11"/>
      <c r="K132" s="11"/>
      <c r="L132" s="11"/>
      <c r="M132" s="10"/>
      <c r="N132" s="11"/>
      <c r="O132" s="10"/>
      <c r="P132" s="11"/>
      <c r="Q132" s="11"/>
      <c r="R132" s="12"/>
    </row>
    <row r="133" spans="1:18" x14ac:dyDescent="0.25">
      <c r="A133" s="8"/>
      <c r="B133" s="9"/>
      <c r="C133" s="10"/>
      <c r="D133" s="10"/>
      <c r="E133" s="9"/>
      <c r="F133" s="11"/>
      <c r="G133" s="9"/>
      <c r="H133" s="10"/>
      <c r="I133" s="10"/>
      <c r="J133" s="11"/>
      <c r="K133" s="11"/>
      <c r="L133" s="11"/>
      <c r="M133" s="10"/>
      <c r="N133" s="11"/>
      <c r="O133" s="10"/>
      <c r="P133" s="11"/>
      <c r="Q133" s="11"/>
      <c r="R133" s="12"/>
    </row>
    <row r="134" spans="1:18" x14ac:dyDescent="0.25">
      <c r="A134" s="8"/>
      <c r="B134" s="9"/>
      <c r="C134" s="10"/>
      <c r="D134" s="10"/>
      <c r="E134" s="9"/>
      <c r="F134" s="11"/>
      <c r="G134" s="9"/>
      <c r="H134" s="10"/>
      <c r="I134" s="10"/>
      <c r="J134" s="11"/>
      <c r="K134" s="11"/>
      <c r="L134" s="11"/>
      <c r="M134" s="10"/>
      <c r="N134" s="11"/>
      <c r="O134" s="10"/>
      <c r="P134" s="11"/>
      <c r="Q134" s="11"/>
      <c r="R134" s="12"/>
    </row>
    <row r="135" spans="1:18" x14ac:dyDescent="0.25">
      <c r="A135" s="8"/>
      <c r="B135" s="9"/>
      <c r="C135" s="10"/>
      <c r="D135" s="10"/>
      <c r="E135" s="9"/>
      <c r="F135" s="11"/>
      <c r="G135" s="9"/>
      <c r="H135" s="10"/>
      <c r="I135" s="10"/>
      <c r="J135" s="11"/>
      <c r="K135" s="11"/>
      <c r="L135" s="11"/>
      <c r="M135" s="10"/>
      <c r="N135" s="11"/>
      <c r="O135" s="10"/>
      <c r="P135" s="11"/>
      <c r="Q135" s="11"/>
      <c r="R135" s="12"/>
    </row>
    <row r="136" spans="1:18" x14ac:dyDescent="0.25">
      <c r="A136" s="8"/>
      <c r="B136" s="9"/>
      <c r="C136" s="10"/>
      <c r="D136" s="10"/>
      <c r="E136" s="9"/>
      <c r="F136" s="11"/>
      <c r="G136" s="9"/>
      <c r="H136" s="10"/>
      <c r="I136" s="10"/>
      <c r="J136" s="11"/>
      <c r="K136" s="11"/>
      <c r="L136" s="11"/>
      <c r="M136" s="10"/>
      <c r="N136" s="11"/>
      <c r="O136" s="10"/>
      <c r="P136" s="11"/>
      <c r="Q136" s="11"/>
      <c r="R136" s="12"/>
    </row>
    <row r="137" spans="1:18" x14ac:dyDescent="0.25">
      <c r="A137" s="8"/>
      <c r="B137" s="9"/>
      <c r="C137" s="10"/>
      <c r="D137" s="10"/>
      <c r="E137" s="9"/>
      <c r="F137" s="11"/>
      <c r="G137" s="9"/>
      <c r="H137" s="10"/>
      <c r="I137" s="10"/>
      <c r="J137" s="11"/>
      <c r="K137" s="11"/>
      <c r="L137" s="11"/>
      <c r="M137" s="10"/>
      <c r="N137" s="11"/>
      <c r="O137" s="10"/>
      <c r="P137" s="11"/>
      <c r="Q137" s="11"/>
      <c r="R137" s="12"/>
    </row>
    <row r="138" spans="1:18" x14ac:dyDescent="0.25">
      <c r="A138" s="8"/>
      <c r="B138" s="9"/>
      <c r="C138" s="10"/>
      <c r="D138" s="10"/>
      <c r="E138" s="9"/>
      <c r="F138" s="11"/>
      <c r="G138" s="9"/>
      <c r="H138" s="10"/>
      <c r="I138" s="10"/>
      <c r="J138" s="11"/>
      <c r="K138" s="11"/>
      <c r="L138" s="11"/>
      <c r="M138" s="10"/>
      <c r="N138" s="11"/>
      <c r="O138" s="10"/>
      <c r="P138" s="11"/>
      <c r="Q138" s="11"/>
      <c r="R138" s="12"/>
    </row>
    <row r="139" spans="1:18" x14ac:dyDescent="0.25">
      <c r="A139" s="8"/>
      <c r="B139" s="9"/>
      <c r="C139" s="10"/>
      <c r="D139" s="10"/>
      <c r="E139" s="9"/>
      <c r="F139" s="11"/>
      <c r="G139" s="9"/>
      <c r="H139" s="10"/>
      <c r="I139" s="10"/>
      <c r="J139" s="11"/>
      <c r="K139" s="11"/>
      <c r="L139" s="11"/>
      <c r="M139" s="10"/>
      <c r="N139" s="11"/>
      <c r="O139" s="10"/>
      <c r="P139" s="11"/>
      <c r="Q139" s="11"/>
      <c r="R139" s="12"/>
    </row>
    <row r="140" spans="1:18" x14ac:dyDescent="0.25">
      <c r="A140" s="8"/>
      <c r="B140" s="9"/>
      <c r="C140" s="10"/>
      <c r="D140" s="10"/>
      <c r="E140" s="9"/>
      <c r="F140" s="11"/>
      <c r="G140" s="9"/>
      <c r="H140" s="10"/>
      <c r="I140" s="10"/>
      <c r="J140" s="11"/>
      <c r="K140" s="11"/>
      <c r="L140" s="11"/>
      <c r="M140" s="10"/>
      <c r="N140" s="11"/>
      <c r="O140" s="10"/>
      <c r="P140" s="11"/>
      <c r="Q140" s="11"/>
      <c r="R140" s="12"/>
    </row>
    <row r="141" spans="1:18" x14ac:dyDescent="0.25">
      <c r="A141" s="8"/>
      <c r="B141" s="9"/>
      <c r="C141" s="10"/>
      <c r="D141" s="10"/>
      <c r="E141" s="9"/>
      <c r="F141" s="11"/>
      <c r="G141" s="9"/>
      <c r="H141" s="10"/>
      <c r="I141" s="10"/>
      <c r="J141" s="11"/>
      <c r="K141" s="11"/>
      <c r="L141" s="11"/>
      <c r="M141" s="10"/>
      <c r="N141" s="11"/>
      <c r="O141" s="10"/>
      <c r="P141" s="11"/>
      <c r="Q141" s="11"/>
      <c r="R141" s="12"/>
    </row>
    <row r="142" spans="1:18" x14ac:dyDescent="0.25">
      <c r="A142" s="8"/>
      <c r="B142" s="9"/>
      <c r="C142" s="10"/>
      <c r="D142" s="10"/>
      <c r="E142" s="9"/>
      <c r="F142" s="11"/>
      <c r="G142" s="9"/>
      <c r="H142" s="10"/>
      <c r="I142" s="10"/>
      <c r="J142" s="11"/>
      <c r="K142" s="11"/>
      <c r="L142" s="11"/>
      <c r="M142" s="10"/>
      <c r="N142" s="11"/>
      <c r="O142" s="10"/>
      <c r="P142" s="11"/>
      <c r="Q142" s="11"/>
      <c r="R142" s="12"/>
    </row>
    <row r="143" spans="1:18" x14ac:dyDescent="0.25">
      <c r="A143" s="8"/>
      <c r="B143" s="9"/>
      <c r="C143" s="10"/>
      <c r="D143" s="10"/>
      <c r="E143" s="9"/>
      <c r="F143" s="11"/>
      <c r="G143" s="9"/>
      <c r="H143" s="10"/>
      <c r="I143" s="10"/>
      <c r="J143" s="11"/>
      <c r="K143" s="11"/>
      <c r="L143" s="11"/>
      <c r="M143" s="10"/>
      <c r="N143" s="11"/>
      <c r="O143" s="10"/>
      <c r="P143" s="11"/>
      <c r="Q143" s="11"/>
      <c r="R143" s="12"/>
    </row>
    <row r="144" spans="1:18" x14ac:dyDescent="0.25">
      <c r="A144" s="8"/>
      <c r="B144" s="9"/>
      <c r="C144" s="10"/>
      <c r="D144" s="10"/>
      <c r="E144" s="9"/>
      <c r="F144" s="11"/>
      <c r="G144" s="9"/>
      <c r="H144" s="10"/>
      <c r="I144" s="10"/>
      <c r="J144" s="11"/>
      <c r="K144" s="11"/>
      <c r="L144" s="11"/>
      <c r="M144" s="10"/>
      <c r="N144" s="11"/>
      <c r="O144" s="10"/>
      <c r="P144" s="11"/>
      <c r="Q144" s="11"/>
      <c r="R144" s="12"/>
    </row>
    <row r="145" spans="1:18" x14ac:dyDescent="0.25">
      <c r="A145" s="8"/>
      <c r="B145" s="9"/>
      <c r="C145" s="10"/>
      <c r="D145" s="10"/>
      <c r="E145" s="9"/>
      <c r="F145" s="11"/>
      <c r="G145" s="9"/>
      <c r="H145" s="10"/>
      <c r="I145" s="10"/>
      <c r="J145" s="11"/>
      <c r="K145" s="11"/>
      <c r="L145" s="11"/>
      <c r="M145" s="10"/>
      <c r="N145" s="11"/>
      <c r="O145" s="10"/>
      <c r="P145" s="11"/>
      <c r="Q145" s="11"/>
      <c r="R145" s="12"/>
    </row>
    <row r="146" spans="1:18" x14ac:dyDescent="0.25">
      <c r="A146" s="8"/>
      <c r="B146" s="9"/>
      <c r="C146" s="10"/>
      <c r="D146" s="10"/>
      <c r="E146" s="9"/>
      <c r="F146" s="11"/>
      <c r="G146" s="9"/>
      <c r="H146" s="10"/>
      <c r="I146" s="10"/>
      <c r="J146" s="11"/>
      <c r="K146" s="11"/>
      <c r="L146" s="11"/>
      <c r="M146" s="10"/>
      <c r="N146" s="11"/>
      <c r="O146" s="10"/>
      <c r="P146" s="11"/>
      <c r="Q146" s="11"/>
      <c r="R146" s="12"/>
    </row>
    <row r="147" spans="1:18" x14ac:dyDescent="0.25">
      <c r="A147" s="8"/>
      <c r="B147" s="9"/>
      <c r="C147" s="10"/>
      <c r="D147" s="10"/>
      <c r="E147" s="9"/>
      <c r="F147" s="11"/>
      <c r="G147" s="9"/>
      <c r="H147" s="10"/>
      <c r="I147" s="10"/>
      <c r="J147" s="11"/>
      <c r="K147" s="11"/>
      <c r="L147" s="11"/>
      <c r="M147" s="10"/>
      <c r="N147" s="11"/>
      <c r="O147" s="10"/>
      <c r="P147" s="11"/>
      <c r="Q147" s="11"/>
      <c r="R147" s="12"/>
    </row>
    <row r="148" spans="1:18" x14ac:dyDescent="0.25">
      <c r="A148" s="8"/>
      <c r="B148" s="9"/>
      <c r="C148" s="10"/>
      <c r="D148" s="10"/>
      <c r="E148" s="9"/>
      <c r="F148" s="11"/>
      <c r="G148" s="9"/>
      <c r="H148" s="10"/>
      <c r="I148" s="10"/>
      <c r="J148" s="11"/>
      <c r="K148" s="11"/>
      <c r="L148" s="11"/>
      <c r="M148" s="10"/>
      <c r="N148" s="11"/>
      <c r="O148" s="10"/>
      <c r="P148" s="11"/>
      <c r="Q148" s="11"/>
      <c r="R148" s="12"/>
    </row>
    <row r="149" spans="1:18" x14ac:dyDescent="0.25">
      <c r="A149" s="8"/>
      <c r="B149" s="9"/>
      <c r="C149" s="10"/>
      <c r="D149" s="10"/>
      <c r="E149" s="9"/>
      <c r="F149" s="11"/>
      <c r="G149" s="9"/>
      <c r="H149" s="10"/>
      <c r="I149" s="10"/>
      <c r="J149" s="11"/>
      <c r="K149" s="11"/>
      <c r="L149" s="11"/>
      <c r="M149" s="10"/>
      <c r="N149" s="11"/>
      <c r="O149" s="10"/>
      <c r="P149" s="11"/>
      <c r="Q149" s="11"/>
      <c r="R149" s="12"/>
    </row>
    <row r="150" spans="1:18" x14ac:dyDescent="0.25">
      <c r="A150" s="8"/>
      <c r="B150" s="9"/>
      <c r="C150" s="14"/>
      <c r="D150" s="14"/>
      <c r="E150" s="9"/>
      <c r="F150" s="11"/>
      <c r="G150" s="9"/>
      <c r="H150" s="10"/>
      <c r="I150" s="10"/>
      <c r="J150" s="11"/>
      <c r="K150" s="11"/>
      <c r="L150" s="11"/>
      <c r="M150" s="10"/>
      <c r="N150" s="11"/>
      <c r="O150" s="10"/>
      <c r="P150" s="11"/>
      <c r="Q150" s="11"/>
      <c r="R150" s="12"/>
    </row>
    <row r="151" spans="1:18" x14ac:dyDescent="0.25">
      <c r="A151" s="8"/>
      <c r="B151" s="9"/>
      <c r="C151" s="10"/>
      <c r="D151" s="10"/>
      <c r="E151" s="9"/>
      <c r="F151" s="11"/>
      <c r="G151" s="9"/>
      <c r="H151" s="10"/>
      <c r="I151" s="10"/>
      <c r="J151" s="11"/>
      <c r="K151" s="11"/>
      <c r="L151" s="11"/>
      <c r="M151" s="10"/>
      <c r="N151" s="11"/>
      <c r="O151" s="10"/>
      <c r="P151" s="11"/>
      <c r="Q151" s="11"/>
      <c r="R151" s="12"/>
    </row>
    <row r="152" spans="1:18" x14ac:dyDescent="0.25">
      <c r="A152" s="8"/>
      <c r="B152" s="9"/>
      <c r="C152" s="10"/>
      <c r="D152" s="10"/>
      <c r="E152" s="9"/>
      <c r="F152" s="11"/>
      <c r="G152" s="9"/>
      <c r="H152" s="10"/>
      <c r="I152" s="10"/>
      <c r="J152" s="11"/>
      <c r="K152" s="11"/>
      <c r="L152" s="11"/>
      <c r="M152" s="10"/>
      <c r="N152" s="11"/>
      <c r="O152" s="10"/>
      <c r="P152" s="11"/>
      <c r="Q152" s="11"/>
      <c r="R152" s="12"/>
    </row>
    <row r="153" spans="1:18" x14ac:dyDescent="0.25">
      <c r="A153" s="8"/>
      <c r="B153" s="9"/>
      <c r="C153" s="10"/>
      <c r="D153" s="10"/>
      <c r="E153" s="9"/>
      <c r="F153" s="11"/>
      <c r="G153" s="9"/>
      <c r="H153" s="10"/>
      <c r="I153" s="10"/>
      <c r="J153" s="11"/>
      <c r="K153" s="11"/>
      <c r="L153" s="11"/>
      <c r="M153" s="10"/>
      <c r="N153" s="11"/>
      <c r="O153" s="10"/>
      <c r="P153" s="11"/>
      <c r="Q153" s="11"/>
      <c r="R153" s="12"/>
    </row>
    <row r="154" spans="1:18" x14ac:dyDescent="0.25">
      <c r="A154" s="8"/>
      <c r="B154" s="9"/>
      <c r="C154" s="10"/>
      <c r="D154" s="10"/>
      <c r="E154" s="9"/>
      <c r="F154" s="11"/>
      <c r="G154" s="9"/>
      <c r="H154" s="10"/>
      <c r="I154" s="10"/>
      <c r="J154" s="11"/>
      <c r="K154" s="11"/>
      <c r="L154" s="11"/>
      <c r="M154" s="10"/>
      <c r="N154" s="11"/>
      <c r="O154" s="10"/>
      <c r="P154" s="11"/>
      <c r="Q154" s="11"/>
      <c r="R154" s="12"/>
    </row>
    <row r="155" spans="1:18" x14ac:dyDescent="0.25">
      <c r="A155" s="8"/>
      <c r="B155" s="9"/>
      <c r="C155" s="10"/>
      <c r="D155" s="10"/>
      <c r="E155" s="9"/>
      <c r="F155" s="11"/>
      <c r="G155" s="9"/>
      <c r="H155" s="10"/>
      <c r="I155" s="10"/>
      <c r="J155" s="11"/>
      <c r="K155" s="11"/>
      <c r="L155" s="11"/>
      <c r="M155" s="10"/>
      <c r="N155" s="11"/>
      <c r="O155" s="10"/>
      <c r="P155" s="11"/>
      <c r="Q155" s="11"/>
      <c r="R155" s="12"/>
    </row>
    <row r="156" spans="1:18" x14ac:dyDescent="0.25">
      <c r="A156" s="8"/>
      <c r="B156" s="9"/>
      <c r="C156" s="10"/>
      <c r="D156" s="10"/>
      <c r="E156" s="9"/>
      <c r="F156" s="11"/>
      <c r="G156" s="9"/>
      <c r="H156" s="10"/>
      <c r="I156" s="10"/>
      <c r="J156" s="11"/>
      <c r="K156" s="11"/>
      <c r="L156" s="11"/>
      <c r="M156" s="10"/>
      <c r="N156" s="11"/>
      <c r="O156" s="10"/>
      <c r="P156" s="11"/>
      <c r="Q156" s="11"/>
      <c r="R156" s="12"/>
    </row>
    <row r="157" spans="1:18" x14ac:dyDescent="0.25">
      <c r="A157" s="8"/>
      <c r="B157" s="9"/>
      <c r="C157" s="10"/>
      <c r="D157" s="10"/>
      <c r="E157" s="9"/>
      <c r="F157" s="11"/>
      <c r="G157" s="9"/>
      <c r="H157" s="10"/>
      <c r="I157" s="10"/>
      <c r="J157" s="11"/>
      <c r="K157" s="11"/>
      <c r="L157" s="11"/>
      <c r="M157" s="10"/>
      <c r="N157" s="11"/>
      <c r="O157" s="10"/>
      <c r="P157" s="11"/>
      <c r="Q157" s="11"/>
      <c r="R157" s="12"/>
    </row>
    <row r="158" spans="1:18" x14ac:dyDescent="0.25">
      <c r="A158" s="8"/>
      <c r="B158" s="9"/>
      <c r="C158" s="10"/>
      <c r="D158" s="10"/>
      <c r="E158" s="9"/>
      <c r="F158" s="11"/>
      <c r="G158" s="9"/>
      <c r="H158" s="10"/>
      <c r="I158" s="10"/>
      <c r="J158" s="11"/>
      <c r="K158" s="11"/>
      <c r="L158" s="11"/>
      <c r="M158" s="10"/>
      <c r="N158" s="11"/>
      <c r="O158" s="10"/>
      <c r="P158" s="11"/>
      <c r="Q158" s="11"/>
      <c r="R158" s="12"/>
    </row>
    <row r="159" spans="1:18" x14ac:dyDescent="0.25">
      <c r="A159" s="8"/>
      <c r="B159" s="9"/>
      <c r="C159" s="10"/>
      <c r="D159" s="10"/>
      <c r="E159" s="9"/>
      <c r="F159" s="11"/>
      <c r="G159" s="9"/>
      <c r="H159" s="10"/>
      <c r="I159" s="10"/>
      <c r="J159" s="11"/>
      <c r="K159" s="11"/>
      <c r="L159" s="11"/>
      <c r="M159" s="10"/>
      <c r="N159" s="11"/>
      <c r="O159" s="10"/>
      <c r="P159" s="11"/>
      <c r="Q159" s="11"/>
      <c r="R159" s="12"/>
    </row>
    <row r="160" spans="1:18" x14ac:dyDescent="0.25">
      <c r="A160" s="8"/>
      <c r="B160" s="9"/>
      <c r="C160" s="10"/>
      <c r="D160" s="10"/>
      <c r="E160" s="9"/>
      <c r="F160" s="11"/>
      <c r="G160" s="9"/>
      <c r="H160" s="10"/>
      <c r="I160" s="10"/>
      <c r="J160" s="11"/>
      <c r="K160" s="11"/>
      <c r="L160" s="11"/>
      <c r="M160" s="10"/>
      <c r="N160" s="11"/>
      <c r="O160" s="10"/>
      <c r="P160" s="11"/>
      <c r="Q160" s="11"/>
      <c r="R160" s="12"/>
    </row>
    <row r="161" spans="1:18" x14ac:dyDescent="0.25">
      <c r="A161" s="8"/>
      <c r="B161" s="9"/>
      <c r="C161" s="10"/>
      <c r="D161" s="10"/>
      <c r="E161" s="9"/>
      <c r="F161" s="11"/>
      <c r="G161" s="9"/>
      <c r="H161" s="10"/>
      <c r="I161" s="10"/>
      <c r="J161" s="11"/>
      <c r="K161" s="11"/>
      <c r="L161" s="11"/>
      <c r="M161" s="10"/>
      <c r="N161" s="11"/>
      <c r="O161" s="10"/>
      <c r="P161" s="11"/>
      <c r="Q161" s="11"/>
      <c r="R161" s="12"/>
    </row>
    <row r="162" spans="1:18" x14ac:dyDescent="0.25">
      <c r="A162" s="8"/>
      <c r="B162" s="9"/>
      <c r="C162" s="10"/>
      <c r="D162" s="10"/>
      <c r="E162" s="9"/>
      <c r="F162" s="11"/>
      <c r="G162" s="9"/>
      <c r="H162" s="10"/>
      <c r="I162" s="10"/>
      <c r="J162" s="11"/>
      <c r="K162" s="11"/>
      <c r="L162" s="11"/>
      <c r="M162" s="10"/>
      <c r="N162" s="11"/>
      <c r="O162" s="10"/>
      <c r="P162" s="11"/>
      <c r="Q162" s="11"/>
      <c r="R162" s="12"/>
    </row>
    <row r="163" spans="1:18" x14ac:dyDescent="0.25">
      <c r="A163" s="8"/>
      <c r="B163" s="9"/>
      <c r="C163" s="10"/>
      <c r="D163" s="10"/>
      <c r="E163" s="9"/>
      <c r="F163" s="11"/>
      <c r="G163" s="9"/>
      <c r="H163" s="10"/>
      <c r="I163" s="10"/>
      <c r="J163" s="11"/>
      <c r="K163" s="11"/>
      <c r="L163" s="11"/>
      <c r="M163" s="10"/>
      <c r="N163" s="11"/>
      <c r="O163" s="10"/>
      <c r="P163" s="11"/>
      <c r="Q163" s="11"/>
      <c r="R163" s="12"/>
    </row>
    <row r="164" spans="1:18" x14ac:dyDescent="0.25">
      <c r="A164" s="8"/>
      <c r="B164" s="9"/>
      <c r="C164" s="10"/>
      <c r="D164" s="10"/>
      <c r="E164" s="9"/>
      <c r="F164" s="11"/>
      <c r="G164" s="9"/>
      <c r="H164" s="10"/>
      <c r="I164" s="10"/>
      <c r="J164" s="11"/>
      <c r="K164" s="11"/>
      <c r="L164" s="11"/>
      <c r="M164" s="10"/>
      <c r="N164" s="11"/>
      <c r="O164" s="10"/>
      <c r="P164" s="11"/>
      <c r="Q164" s="11"/>
      <c r="R164" s="12"/>
    </row>
    <row r="165" spans="1:18" x14ac:dyDescent="0.25">
      <c r="A165" s="8"/>
      <c r="B165" s="9"/>
      <c r="C165" s="10"/>
      <c r="D165" s="10"/>
      <c r="E165" s="9"/>
      <c r="F165" s="11"/>
      <c r="G165" s="9"/>
      <c r="H165" s="10"/>
      <c r="I165" s="10"/>
      <c r="J165" s="11"/>
      <c r="K165" s="11"/>
      <c r="L165" s="11"/>
      <c r="M165" s="10"/>
      <c r="N165" s="11"/>
      <c r="O165" s="10"/>
      <c r="P165" s="11"/>
      <c r="Q165" s="11"/>
      <c r="R165" s="12"/>
    </row>
    <row r="166" spans="1:18" x14ac:dyDescent="0.25">
      <c r="A166" s="8"/>
      <c r="B166" s="9"/>
      <c r="C166" s="10"/>
      <c r="D166" s="10"/>
      <c r="E166" s="9"/>
      <c r="F166" s="11"/>
      <c r="G166" s="9"/>
      <c r="H166" s="10"/>
      <c r="I166" s="10"/>
      <c r="J166" s="11"/>
      <c r="K166" s="11"/>
      <c r="L166" s="11"/>
      <c r="M166" s="10"/>
      <c r="N166" s="11"/>
      <c r="O166" s="10"/>
      <c r="P166" s="11"/>
      <c r="Q166" s="11"/>
      <c r="R166" s="12"/>
    </row>
    <row r="167" spans="1:18" x14ac:dyDescent="0.25">
      <c r="A167" s="8"/>
      <c r="B167" s="9"/>
      <c r="C167" s="10"/>
      <c r="D167" s="10"/>
      <c r="E167" s="9"/>
      <c r="F167" s="11"/>
      <c r="G167" s="9"/>
      <c r="H167" s="10"/>
      <c r="I167" s="10"/>
      <c r="J167" s="11"/>
      <c r="K167" s="11"/>
      <c r="L167" s="11"/>
      <c r="M167" s="10"/>
      <c r="N167" s="11"/>
      <c r="O167" s="10"/>
      <c r="P167" s="11"/>
      <c r="Q167" s="11"/>
      <c r="R167" s="12"/>
    </row>
    <row r="168" spans="1:18" x14ac:dyDescent="0.25">
      <c r="A168" s="8"/>
      <c r="B168" s="9"/>
      <c r="C168" s="10"/>
      <c r="D168" s="10"/>
      <c r="E168" s="9"/>
      <c r="F168" s="11"/>
      <c r="G168" s="9"/>
      <c r="H168" s="10"/>
      <c r="I168" s="10"/>
      <c r="J168" s="11"/>
      <c r="K168" s="11"/>
      <c r="L168" s="11"/>
      <c r="M168" s="10"/>
      <c r="N168" s="11"/>
      <c r="O168" s="10"/>
      <c r="P168" s="11"/>
      <c r="Q168" s="11"/>
      <c r="R168" s="12"/>
    </row>
    <row r="169" spans="1:18" x14ac:dyDescent="0.25">
      <c r="A169" s="8"/>
      <c r="B169" s="9"/>
      <c r="C169" s="10"/>
      <c r="D169" s="10"/>
      <c r="E169" s="9"/>
      <c r="F169" s="11"/>
      <c r="G169" s="9"/>
      <c r="H169" s="10"/>
      <c r="I169" s="10"/>
      <c r="J169" s="11"/>
      <c r="K169" s="11"/>
      <c r="L169" s="11"/>
      <c r="M169" s="10"/>
      <c r="N169" s="11"/>
      <c r="O169" s="10"/>
      <c r="P169" s="11"/>
      <c r="Q169" s="11"/>
      <c r="R169" s="12"/>
    </row>
    <row r="170" spans="1:18" x14ac:dyDescent="0.25">
      <c r="A170" s="8"/>
      <c r="B170" s="9"/>
      <c r="C170" s="10"/>
      <c r="D170" s="10"/>
      <c r="E170" s="9"/>
      <c r="F170" s="11"/>
      <c r="G170" s="9"/>
      <c r="H170" s="10"/>
      <c r="I170" s="10"/>
      <c r="J170" s="11"/>
      <c r="K170" s="11"/>
      <c r="L170" s="11"/>
      <c r="M170" s="10"/>
      <c r="N170" s="11"/>
      <c r="O170" s="10"/>
      <c r="P170" s="11"/>
      <c r="Q170" s="11"/>
      <c r="R170" s="12"/>
    </row>
    <row r="171" spans="1:18" x14ac:dyDescent="0.25">
      <c r="A171" s="8"/>
      <c r="B171" s="9"/>
      <c r="C171" s="10"/>
      <c r="D171" s="10"/>
      <c r="E171" s="9"/>
      <c r="F171" s="11"/>
      <c r="G171" s="9"/>
      <c r="H171" s="10"/>
      <c r="I171" s="10"/>
      <c r="J171" s="11"/>
      <c r="K171" s="11"/>
      <c r="L171" s="11"/>
      <c r="M171" s="10"/>
      <c r="N171" s="11"/>
      <c r="O171" s="10"/>
      <c r="P171" s="11"/>
      <c r="Q171" s="11"/>
      <c r="R171" s="12"/>
    </row>
    <row r="172" spans="1:18" x14ac:dyDescent="0.25">
      <c r="A172" s="8"/>
      <c r="B172" s="9"/>
      <c r="C172" s="10"/>
      <c r="D172" s="10"/>
      <c r="E172" s="9"/>
      <c r="F172" s="11"/>
      <c r="G172" s="9"/>
      <c r="H172" s="10"/>
      <c r="I172" s="10"/>
      <c r="J172" s="11"/>
      <c r="K172" s="11"/>
      <c r="L172" s="11"/>
      <c r="M172" s="10"/>
      <c r="N172" s="11"/>
      <c r="O172" s="10"/>
      <c r="P172" s="11"/>
      <c r="Q172" s="11"/>
      <c r="R172" s="12"/>
    </row>
    <row r="173" spans="1:18" x14ac:dyDescent="0.25">
      <c r="A173" s="8"/>
      <c r="B173" s="9"/>
      <c r="C173" s="10"/>
      <c r="D173" s="10"/>
      <c r="E173" s="9"/>
      <c r="F173" s="11"/>
      <c r="G173" s="9"/>
      <c r="H173" s="10"/>
      <c r="I173" s="10"/>
      <c r="J173" s="11"/>
      <c r="K173" s="11"/>
      <c r="L173" s="11"/>
      <c r="M173" s="10"/>
      <c r="N173" s="11"/>
      <c r="O173" s="10"/>
      <c r="P173" s="11"/>
      <c r="Q173" s="11"/>
      <c r="R173" s="12"/>
    </row>
    <row r="174" spans="1:18" x14ac:dyDescent="0.25">
      <c r="A174" s="8"/>
      <c r="B174" s="9"/>
      <c r="C174" s="10"/>
      <c r="D174" s="10"/>
      <c r="E174" s="9"/>
      <c r="F174" s="11"/>
      <c r="G174" s="9"/>
      <c r="H174" s="10"/>
      <c r="I174" s="10"/>
      <c r="J174" s="11"/>
      <c r="K174" s="11"/>
      <c r="L174" s="11"/>
      <c r="M174" s="10"/>
      <c r="N174" s="11"/>
      <c r="O174" s="10"/>
      <c r="P174" s="11"/>
      <c r="Q174" s="11"/>
      <c r="R174" s="12"/>
    </row>
    <row r="175" spans="1:18" x14ac:dyDescent="0.25">
      <c r="A175" s="8"/>
      <c r="B175" s="9"/>
      <c r="C175" s="10"/>
      <c r="D175" s="10"/>
      <c r="E175" s="9"/>
      <c r="F175" s="11"/>
      <c r="G175" s="9"/>
      <c r="H175" s="10"/>
      <c r="I175" s="10"/>
      <c r="J175" s="11"/>
      <c r="K175" s="11"/>
      <c r="L175" s="11"/>
      <c r="M175" s="10"/>
      <c r="N175" s="11"/>
      <c r="O175" s="10"/>
      <c r="P175" s="11"/>
      <c r="Q175" s="11"/>
      <c r="R175" s="12"/>
    </row>
    <row r="176" spans="1:18" x14ac:dyDescent="0.25">
      <c r="A176" s="8"/>
      <c r="B176" s="9"/>
      <c r="C176" s="10"/>
      <c r="D176" s="10"/>
      <c r="E176" s="9"/>
      <c r="F176" s="11"/>
      <c r="G176" s="9"/>
      <c r="H176" s="10"/>
      <c r="I176" s="10"/>
      <c r="J176" s="11"/>
      <c r="K176" s="11"/>
      <c r="L176" s="11"/>
      <c r="M176" s="10"/>
      <c r="N176" s="11"/>
      <c r="O176" s="10"/>
      <c r="P176" s="11"/>
      <c r="Q176" s="11"/>
      <c r="R176" s="12"/>
    </row>
    <row r="177" spans="1:18" x14ac:dyDescent="0.25">
      <c r="A177" s="8"/>
      <c r="B177" s="9"/>
      <c r="C177" s="10"/>
      <c r="D177" s="10"/>
      <c r="E177" s="9"/>
      <c r="F177" s="11"/>
      <c r="G177" s="9"/>
      <c r="H177" s="10"/>
      <c r="I177" s="10"/>
      <c r="J177" s="11"/>
      <c r="K177" s="11"/>
      <c r="L177" s="11"/>
      <c r="M177" s="10"/>
      <c r="N177" s="11"/>
      <c r="O177" s="10"/>
      <c r="P177" s="11"/>
      <c r="Q177" s="11"/>
      <c r="R177" s="12"/>
    </row>
    <row r="178" spans="1:18" x14ac:dyDescent="0.25">
      <c r="A178" s="8"/>
      <c r="B178" s="9"/>
      <c r="C178" s="10"/>
      <c r="D178" s="10"/>
      <c r="E178" s="9"/>
      <c r="F178" s="11"/>
      <c r="G178" s="9"/>
      <c r="H178" s="10"/>
      <c r="I178" s="10"/>
      <c r="J178" s="11"/>
      <c r="K178" s="11"/>
      <c r="L178" s="11"/>
      <c r="M178" s="10"/>
      <c r="N178" s="11"/>
      <c r="O178" s="10"/>
      <c r="P178" s="11"/>
      <c r="Q178" s="11"/>
      <c r="R178" s="12"/>
    </row>
    <row r="179" spans="1:18" x14ac:dyDescent="0.25">
      <c r="A179" s="8"/>
      <c r="B179" s="9"/>
      <c r="C179" s="10"/>
      <c r="D179" s="10"/>
      <c r="E179" s="9"/>
      <c r="F179" s="11"/>
      <c r="G179" s="9"/>
      <c r="H179" s="10"/>
      <c r="I179" s="10"/>
      <c r="J179" s="11"/>
      <c r="K179" s="11"/>
      <c r="L179" s="11"/>
      <c r="M179" s="10"/>
      <c r="N179" s="11"/>
      <c r="O179" s="10"/>
      <c r="P179" s="11"/>
      <c r="Q179" s="11"/>
      <c r="R179" s="12"/>
    </row>
    <row r="180" spans="1:18" x14ac:dyDescent="0.25">
      <c r="A180" s="8"/>
      <c r="B180" s="9"/>
      <c r="C180" s="10"/>
      <c r="D180" s="10"/>
      <c r="E180" s="9"/>
      <c r="F180" s="11"/>
      <c r="G180" s="9"/>
      <c r="H180" s="10"/>
      <c r="I180" s="10"/>
      <c r="J180" s="11"/>
      <c r="K180" s="11"/>
      <c r="L180" s="11"/>
      <c r="M180" s="10"/>
      <c r="N180" s="11"/>
      <c r="O180" s="10"/>
      <c r="P180" s="11"/>
      <c r="Q180" s="11"/>
      <c r="R180" s="12"/>
    </row>
    <row r="181" spans="1:18" x14ac:dyDescent="0.25">
      <c r="A181" s="8"/>
      <c r="B181" s="9"/>
      <c r="C181" s="10"/>
      <c r="D181" s="10"/>
      <c r="E181" s="9"/>
      <c r="F181" s="11"/>
      <c r="G181" s="9"/>
      <c r="H181" s="10"/>
      <c r="I181" s="10"/>
      <c r="J181" s="11"/>
      <c r="K181" s="11"/>
      <c r="L181" s="11"/>
      <c r="M181" s="10"/>
      <c r="N181" s="11"/>
      <c r="O181" s="10"/>
      <c r="P181" s="11"/>
      <c r="Q181" s="11"/>
      <c r="R181" s="12"/>
    </row>
    <row r="182" spans="1:18" x14ac:dyDescent="0.25">
      <c r="A182" s="8"/>
      <c r="B182" s="9"/>
      <c r="C182" s="10"/>
      <c r="D182" s="10"/>
      <c r="E182" s="9"/>
      <c r="F182" s="11"/>
      <c r="G182" s="9"/>
      <c r="H182" s="10"/>
      <c r="I182" s="10"/>
      <c r="J182" s="11"/>
      <c r="K182" s="11"/>
      <c r="L182" s="11"/>
      <c r="M182" s="10"/>
      <c r="N182" s="11"/>
      <c r="O182" s="10"/>
      <c r="P182" s="11"/>
      <c r="Q182" s="11"/>
      <c r="R182" s="12"/>
    </row>
    <row r="183" spans="1:18" x14ac:dyDescent="0.25">
      <c r="A183" s="8"/>
      <c r="B183" s="9"/>
      <c r="C183" s="10"/>
      <c r="D183" s="10"/>
      <c r="E183" s="9"/>
      <c r="F183" s="11"/>
      <c r="G183" s="9"/>
      <c r="H183" s="10"/>
      <c r="I183" s="10"/>
      <c r="J183" s="11"/>
      <c r="K183" s="11"/>
      <c r="L183" s="11"/>
      <c r="M183" s="10"/>
      <c r="N183" s="11"/>
      <c r="O183" s="10"/>
      <c r="P183" s="11"/>
      <c r="Q183" s="11"/>
      <c r="R183" s="12"/>
    </row>
    <row r="184" spans="1:18" x14ac:dyDescent="0.25">
      <c r="A184" s="8"/>
      <c r="B184" s="9"/>
      <c r="C184" s="10"/>
      <c r="D184" s="10"/>
      <c r="E184" s="9"/>
      <c r="F184" s="11"/>
      <c r="G184" s="9"/>
      <c r="H184" s="10"/>
      <c r="I184" s="10"/>
      <c r="J184" s="11"/>
      <c r="K184" s="11"/>
      <c r="L184" s="11"/>
      <c r="M184" s="10"/>
      <c r="N184" s="11"/>
      <c r="O184" s="10"/>
      <c r="P184" s="11"/>
      <c r="Q184" s="11"/>
      <c r="R184" s="12"/>
    </row>
    <row r="185" spans="1:18" x14ac:dyDescent="0.25">
      <c r="A185" s="8"/>
      <c r="B185" s="9"/>
      <c r="C185" s="10"/>
      <c r="D185" s="10"/>
      <c r="E185" s="9"/>
      <c r="F185" s="11"/>
      <c r="G185" s="9"/>
      <c r="H185" s="10"/>
      <c r="I185" s="10"/>
      <c r="J185" s="11"/>
      <c r="K185" s="11"/>
      <c r="L185" s="11"/>
      <c r="M185" s="10"/>
      <c r="N185" s="11"/>
      <c r="O185" s="10"/>
      <c r="P185" s="11"/>
      <c r="Q185" s="11"/>
      <c r="R185" s="12"/>
    </row>
    <row r="186" spans="1:18" x14ac:dyDescent="0.25">
      <c r="A186" s="8"/>
      <c r="B186" s="9"/>
      <c r="C186" s="10"/>
      <c r="D186" s="10"/>
      <c r="E186" s="9"/>
      <c r="F186" s="11"/>
      <c r="G186" s="9"/>
      <c r="H186" s="10"/>
      <c r="I186" s="10"/>
      <c r="J186" s="11"/>
      <c r="K186" s="11"/>
      <c r="L186" s="11"/>
      <c r="M186" s="10"/>
      <c r="N186" s="11"/>
      <c r="O186" s="10"/>
      <c r="P186" s="11"/>
      <c r="Q186" s="11"/>
      <c r="R186" s="12"/>
    </row>
    <row r="187" spans="1:18" x14ac:dyDescent="0.25">
      <c r="A187" s="8"/>
      <c r="B187" s="9"/>
      <c r="C187" s="10"/>
      <c r="D187" s="10"/>
      <c r="E187" s="9"/>
      <c r="F187" s="11"/>
      <c r="G187" s="9"/>
      <c r="H187" s="10"/>
      <c r="I187" s="10"/>
      <c r="J187" s="11"/>
      <c r="K187" s="11"/>
      <c r="L187" s="11"/>
      <c r="M187" s="10"/>
      <c r="N187" s="11"/>
      <c r="O187" s="10"/>
      <c r="P187" s="11"/>
      <c r="Q187" s="11"/>
      <c r="R187" s="12"/>
    </row>
    <row r="188" spans="1:18" x14ac:dyDescent="0.25">
      <c r="A188" s="8"/>
      <c r="B188" s="9"/>
      <c r="C188" s="10"/>
      <c r="D188" s="10"/>
      <c r="E188" s="9"/>
      <c r="F188" s="11"/>
      <c r="G188" s="9"/>
      <c r="H188" s="10"/>
      <c r="I188" s="10"/>
      <c r="J188" s="11"/>
      <c r="K188" s="11"/>
      <c r="L188" s="11"/>
      <c r="M188" s="10"/>
      <c r="N188" s="11"/>
      <c r="O188" s="10"/>
      <c r="P188" s="11"/>
      <c r="Q188" s="11"/>
      <c r="R188" s="12"/>
    </row>
    <row r="189" spans="1:18" x14ac:dyDescent="0.25">
      <c r="A189" s="8"/>
      <c r="B189" s="9"/>
      <c r="C189" s="10"/>
      <c r="D189" s="10"/>
      <c r="E189" s="9"/>
      <c r="F189" s="11"/>
      <c r="G189" s="9"/>
      <c r="H189" s="10"/>
      <c r="I189" s="10"/>
      <c r="J189" s="11"/>
      <c r="K189" s="11"/>
      <c r="L189" s="11"/>
      <c r="M189" s="10"/>
      <c r="N189" s="11"/>
      <c r="O189" s="10"/>
      <c r="P189" s="11"/>
      <c r="Q189" s="11"/>
      <c r="R189" s="12"/>
    </row>
    <row r="190" spans="1:18" x14ac:dyDescent="0.25">
      <c r="A190" s="8"/>
      <c r="B190" s="9"/>
      <c r="C190" s="10"/>
      <c r="D190" s="10"/>
      <c r="E190" s="9"/>
      <c r="F190" s="11"/>
      <c r="G190" s="9"/>
      <c r="H190" s="10"/>
      <c r="I190" s="10"/>
      <c r="J190" s="11"/>
      <c r="K190" s="11"/>
      <c r="L190" s="11"/>
      <c r="M190" s="10"/>
      <c r="N190" s="11"/>
      <c r="O190" s="10"/>
      <c r="P190" s="11"/>
      <c r="Q190" s="11"/>
      <c r="R190" s="12"/>
    </row>
    <row r="191" spans="1:18" x14ac:dyDescent="0.25">
      <c r="A191" s="8"/>
      <c r="B191" s="9"/>
      <c r="C191" s="10"/>
      <c r="D191" s="10"/>
      <c r="E191" s="9"/>
      <c r="F191" s="11"/>
      <c r="G191" s="9"/>
      <c r="H191" s="10"/>
      <c r="I191" s="10"/>
      <c r="J191" s="11"/>
      <c r="K191" s="11"/>
      <c r="L191" s="11"/>
      <c r="M191" s="10"/>
      <c r="N191" s="11"/>
      <c r="O191" s="10"/>
      <c r="P191" s="11"/>
      <c r="Q191" s="11"/>
      <c r="R191" s="12"/>
    </row>
    <row r="192" spans="1:18" x14ac:dyDescent="0.25">
      <c r="A192" s="8"/>
      <c r="B192" s="9"/>
      <c r="C192" s="10"/>
      <c r="D192" s="10"/>
      <c r="E192" s="9"/>
      <c r="F192" s="11"/>
      <c r="G192" s="9"/>
      <c r="H192" s="10"/>
      <c r="I192" s="10"/>
      <c r="J192" s="11"/>
      <c r="K192" s="11"/>
      <c r="L192" s="11"/>
      <c r="M192" s="10"/>
      <c r="N192" s="11"/>
      <c r="O192" s="10"/>
      <c r="P192" s="11"/>
      <c r="Q192" s="11"/>
      <c r="R192" s="12"/>
    </row>
    <row r="193" spans="1:18" x14ac:dyDescent="0.25">
      <c r="A193" s="8"/>
      <c r="B193" s="9"/>
      <c r="C193" s="10"/>
      <c r="D193" s="10"/>
      <c r="E193" s="9"/>
      <c r="F193" s="11"/>
      <c r="G193" s="9"/>
      <c r="H193" s="10"/>
      <c r="I193" s="10"/>
      <c r="J193" s="11"/>
      <c r="K193" s="11"/>
      <c r="L193" s="11"/>
      <c r="M193" s="10"/>
      <c r="N193" s="11"/>
      <c r="O193" s="10"/>
      <c r="P193" s="11"/>
      <c r="Q193" s="11"/>
      <c r="R193" s="12"/>
    </row>
    <row r="194" spans="1:18" x14ac:dyDescent="0.25">
      <c r="A194" s="8"/>
      <c r="B194" s="9"/>
      <c r="C194" s="10"/>
      <c r="D194" s="10"/>
      <c r="E194" s="9"/>
      <c r="F194" s="11"/>
      <c r="G194" s="9"/>
      <c r="H194" s="10"/>
      <c r="I194" s="10"/>
      <c r="J194" s="11"/>
      <c r="K194" s="11"/>
      <c r="L194" s="11"/>
      <c r="M194" s="10"/>
      <c r="N194" s="11"/>
      <c r="O194" s="10"/>
      <c r="P194" s="11"/>
      <c r="Q194" s="11"/>
      <c r="R194" s="12"/>
    </row>
    <row r="195" spans="1:18" x14ac:dyDescent="0.25">
      <c r="A195" s="8"/>
      <c r="B195" s="9"/>
      <c r="C195" s="10"/>
      <c r="D195" s="10"/>
      <c r="E195" s="9"/>
      <c r="F195" s="11"/>
      <c r="G195" s="9"/>
      <c r="H195" s="10"/>
      <c r="I195" s="10"/>
      <c r="J195" s="11"/>
      <c r="K195" s="11"/>
      <c r="L195" s="11"/>
      <c r="M195" s="10"/>
      <c r="N195" s="11"/>
      <c r="O195" s="10"/>
      <c r="P195" s="11"/>
      <c r="Q195" s="11"/>
      <c r="R195" s="12"/>
    </row>
    <row r="196" spans="1:18" x14ac:dyDescent="0.25">
      <c r="A196" s="8"/>
      <c r="B196" s="9"/>
      <c r="C196" s="10"/>
      <c r="D196" s="10"/>
      <c r="E196" s="9"/>
      <c r="F196" s="11"/>
      <c r="G196" s="9"/>
      <c r="H196" s="10"/>
      <c r="I196" s="10"/>
      <c r="J196" s="11"/>
      <c r="K196" s="11"/>
      <c r="L196" s="11"/>
      <c r="M196" s="10"/>
      <c r="N196" s="11"/>
      <c r="O196" s="10"/>
      <c r="P196" s="11"/>
      <c r="Q196" s="11"/>
      <c r="R196" s="12"/>
    </row>
    <row r="197" spans="1:18" x14ac:dyDescent="0.25">
      <c r="A197" s="8"/>
      <c r="B197" s="9"/>
      <c r="C197" s="10"/>
      <c r="D197" s="10"/>
      <c r="E197" s="9"/>
      <c r="F197" s="11"/>
      <c r="G197" s="9"/>
      <c r="H197" s="10"/>
      <c r="I197" s="10"/>
      <c r="J197" s="11"/>
      <c r="K197" s="11"/>
      <c r="L197" s="11"/>
      <c r="M197" s="10"/>
      <c r="N197" s="11"/>
      <c r="O197" s="10"/>
      <c r="P197" s="11"/>
      <c r="Q197" s="11"/>
      <c r="R197" s="12"/>
    </row>
    <row r="198" spans="1:18" x14ac:dyDescent="0.25">
      <c r="A198" s="8"/>
      <c r="B198" s="9"/>
      <c r="C198" s="10"/>
      <c r="D198" s="10"/>
      <c r="E198" s="9"/>
      <c r="F198" s="11"/>
      <c r="G198" s="9"/>
      <c r="H198" s="10"/>
      <c r="I198" s="10"/>
      <c r="J198" s="11"/>
      <c r="K198" s="11"/>
      <c r="L198" s="11"/>
      <c r="M198" s="10"/>
      <c r="N198" s="11"/>
      <c r="O198" s="10"/>
      <c r="P198" s="11"/>
      <c r="Q198" s="11"/>
      <c r="R198" s="12"/>
    </row>
    <row r="199" spans="1:18" x14ac:dyDescent="0.25">
      <c r="A199" s="8"/>
      <c r="B199" s="9"/>
      <c r="C199" s="10"/>
      <c r="D199" s="10"/>
      <c r="E199" s="9"/>
      <c r="F199" s="11"/>
      <c r="G199" s="9"/>
      <c r="H199" s="10"/>
      <c r="I199" s="10"/>
      <c r="J199" s="11"/>
      <c r="K199" s="11"/>
      <c r="L199" s="11"/>
      <c r="M199" s="10"/>
      <c r="N199" s="11"/>
      <c r="O199" s="10"/>
      <c r="P199" s="11"/>
      <c r="Q199" s="11"/>
      <c r="R199" s="12"/>
    </row>
    <row r="200" spans="1:18" x14ac:dyDescent="0.25">
      <c r="A200" s="8"/>
      <c r="B200" s="9"/>
      <c r="C200" s="10"/>
      <c r="D200" s="10"/>
      <c r="E200" s="9"/>
      <c r="F200" s="11"/>
      <c r="G200" s="9"/>
      <c r="H200" s="10"/>
      <c r="I200" s="10"/>
      <c r="J200" s="11"/>
      <c r="K200" s="11"/>
      <c r="L200" s="11"/>
      <c r="M200" s="10"/>
      <c r="N200" s="11"/>
      <c r="O200" s="10"/>
      <c r="P200" s="11"/>
      <c r="Q200" s="11"/>
      <c r="R200" s="12"/>
    </row>
    <row r="201" spans="1:18" x14ac:dyDescent="0.25">
      <c r="A201" s="8"/>
      <c r="B201" s="9"/>
      <c r="C201" s="10"/>
      <c r="D201" s="10"/>
      <c r="E201" s="9"/>
      <c r="F201" s="11"/>
      <c r="G201" s="9"/>
      <c r="H201" s="10"/>
      <c r="I201" s="10"/>
      <c r="J201" s="11"/>
      <c r="K201" s="11"/>
      <c r="L201" s="11"/>
      <c r="M201" s="10"/>
      <c r="N201" s="11"/>
      <c r="O201" s="10"/>
      <c r="P201" s="11"/>
      <c r="Q201" s="11"/>
      <c r="R201" s="12"/>
    </row>
    <row r="202" spans="1:18" x14ac:dyDescent="0.25">
      <c r="A202" s="8"/>
      <c r="B202" s="9"/>
      <c r="C202" s="10"/>
      <c r="D202" s="10"/>
      <c r="E202" s="9"/>
      <c r="F202" s="11"/>
      <c r="G202" s="9"/>
      <c r="H202" s="10"/>
      <c r="I202" s="10"/>
      <c r="J202" s="11"/>
      <c r="K202" s="11"/>
      <c r="L202" s="11"/>
      <c r="M202" s="10"/>
      <c r="N202" s="11"/>
      <c r="O202" s="10"/>
      <c r="P202" s="11"/>
      <c r="Q202" s="11"/>
      <c r="R202" s="12"/>
    </row>
    <row r="203" spans="1:18" x14ac:dyDescent="0.25">
      <c r="A203" s="8"/>
      <c r="B203" s="9"/>
      <c r="C203" s="10"/>
      <c r="D203" s="10"/>
      <c r="E203" s="9"/>
      <c r="F203" s="11"/>
      <c r="G203" s="9"/>
      <c r="H203" s="10"/>
      <c r="I203" s="10"/>
      <c r="J203" s="11"/>
      <c r="K203" s="11"/>
      <c r="L203" s="11"/>
      <c r="M203" s="10"/>
      <c r="N203" s="11"/>
      <c r="O203" s="10"/>
      <c r="P203" s="11"/>
      <c r="Q203" s="11"/>
      <c r="R203" s="12"/>
    </row>
    <row r="204" spans="1:18" x14ac:dyDescent="0.25">
      <c r="A204" s="8"/>
      <c r="B204" s="9"/>
      <c r="C204" s="10"/>
      <c r="D204" s="10"/>
      <c r="E204" s="9"/>
      <c r="F204" s="11"/>
      <c r="G204" s="9"/>
      <c r="H204" s="10"/>
      <c r="I204" s="10"/>
      <c r="J204" s="11"/>
      <c r="K204" s="11"/>
      <c r="L204" s="11"/>
      <c r="M204" s="10"/>
      <c r="N204" s="11"/>
      <c r="O204" s="10"/>
      <c r="P204" s="11"/>
      <c r="Q204" s="11"/>
      <c r="R204" s="12"/>
    </row>
    <row r="205" spans="1:18" x14ac:dyDescent="0.25">
      <c r="A205" s="8"/>
      <c r="B205" s="9"/>
      <c r="C205" s="10"/>
      <c r="D205" s="10"/>
      <c r="E205" s="9"/>
      <c r="F205" s="11"/>
      <c r="G205" s="9"/>
      <c r="H205" s="10"/>
      <c r="I205" s="10"/>
      <c r="J205" s="11"/>
      <c r="K205" s="11"/>
      <c r="L205" s="11"/>
      <c r="M205" s="10"/>
      <c r="N205" s="11"/>
      <c r="O205" s="10"/>
      <c r="P205" s="11"/>
      <c r="Q205" s="11"/>
      <c r="R205" s="12"/>
    </row>
    <row r="206" spans="1:18" x14ac:dyDescent="0.25">
      <c r="A206" s="8"/>
      <c r="B206" s="9"/>
      <c r="C206" s="10"/>
      <c r="D206" s="10"/>
      <c r="E206" s="9"/>
      <c r="F206" s="11"/>
      <c r="G206" s="9"/>
      <c r="H206" s="10"/>
      <c r="I206" s="10"/>
      <c r="J206" s="11"/>
      <c r="K206" s="11"/>
      <c r="L206" s="11"/>
      <c r="M206" s="10"/>
      <c r="N206" s="11"/>
      <c r="O206" s="10"/>
      <c r="P206" s="11"/>
      <c r="Q206" s="11"/>
      <c r="R206" s="12"/>
    </row>
    <row r="207" spans="1:18" x14ac:dyDescent="0.25">
      <c r="A207" s="8"/>
      <c r="B207" s="9"/>
      <c r="C207" s="10"/>
      <c r="D207" s="10"/>
      <c r="E207" s="9"/>
      <c r="F207" s="11"/>
      <c r="G207" s="9"/>
      <c r="H207" s="10"/>
      <c r="I207" s="10"/>
      <c r="J207" s="11"/>
      <c r="K207" s="11"/>
      <c r="L207" s="11"/>
      <c r="M207" s="10"/>
      <c r="N207" s="11"/>
      <c r="O207" s="10"/>
      <c r="P207" s="11"/>
      <c r="Q207" s="11"/>
      <c r="R207" s="12"/>
    </row>
    <row r="208" spans="1:18" x14ac:dyDescent="0.25">
      <c r="A208" s="8"/>
      <c r="B208" s="9"/>
      <c r="C208" s="10"/>
      <c r="D208" s="10"/>
      <c r="E208" s="9"/>
      <c r="F208" s="11"/>
      <c r="G208" s="9"/>
      <c r="H208" s="10"/>
      <c r="I208" s="10"/>
      <c r="J208" s="11"/>
      <c r="K208" s="11"/>
      <c r="L208" s="11"/>
      <c r="M208" s="10"/>
      <c r="N208" s="11"/>
      <c r="O208" s="10"/>
      <c r="P208" s="11"/>
      <c r="Q208" s="11"/>
      <c r="R208" s="12"/>
    </row>
    <row r="209" spans="1:18" x14ac:dyDescent="0.25">
      <c r="A209" s="8"/>
      <c r="B209" s="9"/>
      <c r="C209" s="10"/>
      <c r="D209" s="10"/>
      <c r="E209" s="9"/>
      <c r="F209" s="11"/>
      <c r="G209" s="9"/>
      <c r="H209" s="10"/>
      <c r="I209" s="10"/>
      <c r="J209" s="11"/>
      <c r="K209" s="11"/>
      <c r="L209" s="11"/>
      <c r="M209" s="10"/>
      <c r="N209" s="11"/>
      <c r="O209" s="10"/>
      <c r="P209" s="11"/>
      <c r="Q209" s="11"/>
      <c r="R209" s="12"/>
    </row>
    <row r="210" spans="1:18" x14ac:dyDescent="0.25">
      <c r="A210" s="8"/>
      <c r="B210" s="9"/>
      <c r="C210" s="10"/>
      <c r="D210" s="10"/>
      <c r="E210" s="9"/>
      <c r="F210" s="11"/>
      <c r="G210" s="9"/>
      <c r="H210" s="10"/>
      <c r="I210" s="10"/>
      <c r="J210" s="11"/>
      <c r="K210" s="11"/>
      <c r="L210" s="11"/>
      <c r="M210" s="10"/>
      <c r="N210" s="11"/>
      <c r="O210" s="10"/>
      <c r="P210" s="11"/>
      <c r="Q210" s="11"/>
      <c r="R210" s="12"/>
    </row>
    <row r="211" spans="1:18" x14ac:dyDescent="0.25">
      <c r="A211" s="8"/>
      <c r="B211" s="9"/>
      <c r="C211" s="10"/>
      <c r="D211" s="10"/>
      <c r="E211" s="9"/>
      <c r="F211" s="11"/>
      <c r="G211" s="9"/>
      <c r="H211" s="10"/>
      <c r="I211" s="10"/>
      <c r="J211" s="11"/>
      <c r="K211" s="11"/>
      <c r="L211" s="11"/>
      <c r="M211" s="10"/>
      <c r="N211" s="11"/>
      <c r="O211" s="10"/>
      <c r="P211" s="11"/>
      <c r="Q211" s="11"/>
      <c r="R211" s="12"/>
    </row>
    <row r="212" spans="1:18" x14ac:dyDescent="0.25">
      <c r="A212" s="8"/>
      <c r="B212" s="9"/>
      <c r="C212" s="10"/>
      <c r="D212" s="10"/>
      <c r="E212" s="9"/>
      <c r="F212" s="11"/>
      <c r="G212" s="9"/>
      <c r="H212" s="10"/>
      <c r="I212" s="10"/>
      <c r="J212" s="11"/>
      <c r="K212" s="11"/>
      <c r="L212" s="11"/>
      <c r="M212" s="10"/>
      <c r="N212" s="11"/>
      <c r="O212" s="10"/>
      <c r="P212" s="11"/>
      <c r="Q212" s="11"/>
      <c r="R212" s="12"/>
    </row>
    <row r="213" spans="1:18" x14ac:dyDescent="0.25">
      <c r="A213" s="8"/>
      <c r="B213" s="9"/>
      <c r="C213" s="10"/>
      <c r="D213" s="10"/>
      <c r="E213" s="9"/>
      <c r="F213" s="11"/>
      <c r="G213" s="9"/>
      <c r="H213" s="10"/>
      <c r="I213" s="10"/>
      <c r="J213" s="11"/>
      <c r="K213" s="11"/>
      <c r="L213" s="11"/>
      <c r="M213" s="10"/>
      <c r="N213" s="11"/>
      <c r="O213" s="10"/>
      <c r="P213" s="11"/>
      <c r="Q213" s="11"/>
      <c r="R213" s="12"/>
    </row>
    <row r="214" spans="1:18" x14ac:dyDescent="0.25">
      <c r="A214" s="8"/>
      <c r="B214" s="9"/>
      <c r="C214" s="10"/>
      <c r="D214" s="10"/>
      <c r="E214" s="9"/>
      <c r="F214" s="11"/>
      <c r="G214" s="9"/>
      <c r="H214" s="10"/>
      <c r="I214" s="10"/>
      <c r="J214" s="11"/>
      <c r="K214" s="11"/>
      <c r="L214" s="11"/>
      <c r="M214" s="10"/>
      <c r="N214" s="11"/>
      <c r="O214" s="10"/>
      <c r="P214" s="11"/>
      <c r="Q214" s="11"/>
      <c r="R214" s="12"/>
    </row>
    <row r="215" spans="1:18" x14ac:dyDescent="0.25">
      <c r="A215" s="8"/>
      <c r="B215" s="9"/>
      <c r="C215" s="10"/>
      <c r="D215" s="10"/>
      <c r="E215" s="9"/>
      <c r="F215" s="11"/>
      <c r="G215" s="9"/>
      <c r="H215" s="10"/>
      <c r="I215" s="10"/>
      <c r="J215" s="11"/>
      <c r="K215" s="11"/>
      <c r="L215" s="11"/>
      <c r="M215" s="10"/>
      <c r="N215" s="11"/>
      <c r="O215" s="10"/>
      <c r="P215" s="11"/>
      <c r="Q215" s="11"/>
      <c r="R215" s="12"/>
    </row>
    <row r="216" spans="1:18" x14ac:dyDescent="0.25">
      <c r="A216" s="8"/>
      <c r="B216" s="9"/>
      <c r="C216" s="10"/>
      <c r="D216" s="10"/>
      <c r="E216" s="9"/>
      <c r="F216" s="11"/>
      <c r="G216" s="9"/>
      <c r="H216" s="10"/>
      <c r="I216" s="10"/>
      <c r="J216" s="11"/>
      <c r="K216" s="11"/>
      <c r="L216" s="11"/>
      <c r="M216" s="10"/>
      <c r="N216" s="11"/>
      <c r="O216" s="10"/>
      <c r="P216" s="11"/>
      <c r="Q216" s="11"/>
      <c r="R216" s="12"/>
    </row>
    <row r="217" spans="1:18" x14ac:dyDescent="0.25">
      <c r="A217" s="8"/>
      <c r="B217" s="9"/>
      <c r="C217" s="10"/>
      <c r="D217" s="10"/>
      <c r="E217" s="9"/>
      <c r="F217" s="11"/>
      <c r="G217" s="9"/>
      <c r="H217" s="10"/>
      <c r="I217" s="10"/>
      <c r="J217" s="11"/>
      <c r="K217" s="11"/>
      <c r="L217" s="11"/>
      <c r="M217" s="10"/>
      <c r="N217" s="11"/>
      <c r="O217" s="10"/>
      <c r="P217" s="11"/>
      <c r="Q217" s="11"/>
      <c r="R217" s="12"/>
    </row>
    <row r="218" spans="1:18" x14ac:dyDescent="0.25">
      <c r="A218" s="8"/>
      <c r="B218" s="9"/>
      <c r="C218" s="10"/>
      <c r="D218" s="10"/>
      <c r="E218" s="9"/>
      <c r="F218" s="11"/>
      <c r="G218" s="9"/>
      <c r="H218" s="10"/>
      <c r="I218" s="10"/>
      <c r="J218" s="11"/>
      <c r="K218" s="11"/>
      <c r="L218" s="11"/>
      <c r="M218" s="10"/>
      <c r="N218" s="11"/>
      <c r="O218" s="10"/>
      <c r="P218" s="11"/>
      <c r="Q218" s="11"/>
      <c r="R218" s="12"/>
    </row>
    <row r="219" spans="1:18" x14ac:dyDescent="0.25">
      <c r="A219" s="8"/>
      <c r="B219" s="9"/>
      <c r="C219" s="10"/>
      <c r="D219" s="10"/>
      <c r="E219" s="9"/>
      <c r="F219" s="11"/>
      <c r="G219" s="9"/>
      <c r="H219" s="10"/>
      <c r="I219" s="10"/>
      <c r="J219" s="11"/>
      <c r="K219" s="11"/>
      <c r="L219" s="11"/>
      <c r="M219" s="10"/>
      <c r="N219" s="11"/>
      <c r="O219" s="10"/>
      <c r="P219" s="11"/>
      <c r="Q219" s="11"/>
      <c r="R219" s="12"/>
    </row>
    <row r="220" spans="1:18" x14ac:dyDescent="0.25">
      <c r="A220" s="8"/>
      <c r="B220" s="9"/>
      <c r="C220" s="10"/>
      <c r="D220" s="10"/>
      <c r="E220" s="9"/>
      <c r="F220" s="11"/>
      <c r="G220" s="9"/>
      <c r="H220" s="10"/>
      <c r="I220" s="10"/>
      <c r="J220" s="11"/>
      <c r="K220" s="11"/>
      <c r="L220" s="11"/>
      <c r="M220" s="10"/>
      <c r="N220" s="11"/>
      <c r="O220" s="10"/>
      <c r="P220" s="11"/>
      <c r="Q220" s="11"/>
      <c r="R220" s="12"/>
    </row>
    <row r="221" spans="1:18" x14ac:dyDescent="0.25">
      <c r="A221" s="8"/>
      <c r="B221" s="9"/>
      <c r="C221" s="10"/>
      <c r="D221" s="10"/>
      <c r="E221" s="9"/>
      <c r="F221" s="11"/>
      <c r="G221" s="9"/>
      <c r="H221" s="10"/>
      <c r="I221" s="10"/>
      <c r="J221" s="11"/>
      <c r="K221" s="11"/>
      <c r="L221" s="11"/>
      <c r="M221" s="10"/>
      <c r="N221" s="11"/>
      <c r="O221" s="10"/>
      <c r="P221" s="11"/>
      <c r="Q221" s="11"/>
      <c r="R221" s="12"/>
    </row>
    <row r="222" spans="1:18" x14ac:dyDescent="0.25">
      <c r="A222" s="8"/>
      <c r="B222" s="9"/>
      <c r="C222" s="10"/>
      <c r="D222" s="10"/>
      <c r="E222" s="9"/>
      <c r="F222" s="11"/>
      <c r="G222" s="9"/>
      <c r="H222" s="10"/>
      <c r="I222" s="10"/>
      <c r="J222" s="11"/>
      <c r="K222" s="11"/>
      <c r="L222" s="11"/>
      <c r="M222" s="10"/>
      <c r="N222" s="11"/>
      <c r="O222" s="10"/>
      <c r="P222" s="11"/>
      <c r="Q222" s="11"/>
      <c r="R222" s="12"/>
    </row>
    <row r="223" spans="1:18" x14ac:dyDescent="0.25">
      <c r="A223" s="8"/>
      <c r="B223" s="9"/>
      <c r="C223" s="10"/>
      <c r="D223" s="10"/>
      <c r="E223" s="9"/>
      <c r="F223" s="11"/>
      <c r="G223" s="9"/>
      <c r="H223" s="10"/>
      <c r="I223" s="10"/>
      <c r="J223" s="11"/>
      <c r="K223" s="11"/>
      <c r="L223" s="11"/>
      <c r="M223" s="10"/>
      <c r="N223" s="11"/>
      <c r="O223" s="10"/>
      <c r="P223" s="11"/>
      <c r="Q223" s="11"/>
      <c r="R223" s="12"/>
    </row>
    <row r="224" spans="1:18" x14ac:dyDescent="0.25">
      <c r="A224" s="8"/>
      <c r="B224" s="9"/>
      <c r="C224" s="10"/>
      <c r="D224" s="10"/>
      <c r="E224" s="9"/>
      <c r="F224" s="11"/>
      <c r="G224" s="9"/>
      <c r="H224" s="10"/>
      <c r="I224" s="10"/>
      <c r="J224" s="11"/>
      <c r="K224" s="11"/>
      <c r="L224" s="11"/>
      <c r="M224" s="10"/>
      <c r="N224" s="11"/>
      <c r="O224" s="10"/>
      <c r="P224" s="11"/>
      <c r="Q224" s="11"/>
      <c r="R224" s="12"/>
    </row>
    <row r="225" spans="1:18" x14ac:dyDescent="0.25">
      <c r="A225" s="8"/>
      <c r="B225" s="9"/>
      <c r="C225" s="10"/>
      <c r="D225" s="10"/>
      <c r="E225" s="9"/>
      <c r="F225" s="11"/>
      <c r="G225" s="9"/>
      <c r="H225" s="10"/>
      <c r="I225" s="10"/>
      <c r="J225" s="11"/>
      <c r="K225" s="11"/>
      <c r="L225" s="11"/>
      <c r="M225" s="10"/>
      <c r="N225" s="11"/>
      <c r="O225" s="10"/>
      <c r="P225" s="11"/>
      <c r="Q225" s="11"/>
      <c r="R225" s="12"/>
    </row>
    <row r="226" spans="1:18" x14ac:dyDescent="0.25">
      <c r="A226" s="8"/>
      <c r="B226" s="9"/>
      <c r="C226" s="10"/>
      <c r="D226" s="10"/>
      <c r="E226" s="9"/>
      <c r="F226" s="11"/>
      <c r="G226" s="9"/>
      <c r="H226" s="10"/>
      <c r="I226" s="10"/>
      <c r="J226" s="11"/>
      <c r="K226" s="11"/>
      <c r="L226" s="11"/>
      <c r="M226" s="10"/>
      <c r="N226" s="11"/>
      <c r="O226" s="10"/>
      <c r="P226" s="11"/>
      <c r="Q226" s="11"/>
      <c r="R226" s="12"/>
    </row>
    <row r="227" spans="1:18" x14ac:dyDescent="0.25">
      <c r="A227" s="8"/>
      <c r="B227" s="9"/>
      <c r="C227" s="10"/>
      <c r="D227" s="10"/>
      <c r="E227" s="9"/>
      <c r="F227" s="11"/>
      <c r="G227" s="9"/>
      <c r="H227" s="10"/>
      <c r="I227" s="10"/>
      <c r="J227" s="11"/>
      <c r="K227" s="11"/>
      <c r="L227" s="11"/>
      <c r="M227" s="10"/>
      <c r="N227" s="11"/>
      <c r="O227" s="10"/>
      <c r="P227" s="11"/>
      <c r="Q227" s="11"/>
      <c r="R227" s="12"/>
    </row>
    <row r="228" spans="1:18" x14ac:dyDescent="0.25">
      <c r="A228" s="8"/>
      <c r="B228" s="9"/>
      <c r="C228" s="10"/>
      <c r="D228" s="10"/>
      <c r="E228" s="9"/>
      <c r="F228" s="11"/>
      <c r="G228" s="9"/>
      <c r="H228" s="10"/>
      <c r="I228" s="10"/>
      <c r="J228" s="11"/>
      <c r="K228" s="11"/>
      <c r="L228" s="11"/>
      <c r="M228" s="10"/>
      <c r="N228" s="11"/>
      <c r="O228" s="10"/>
      <c r="P228" s="11"/>
      <c r="Q228" s="11"/>
      <c r="R228" s="12"/>
    </row>
    <row r="229" spans="1:18" x14ac:dyDescent="0.25">
      <c r="A229" s="8"/>
      <c r="B229" s="9"/>
      <c r="C229" s="10"/>
      <c r="D229" s="10"/>
      <c r="E229" s="9"/>
      <c r="F229" s="11"/>
      <c r="G229" s="9"/>
      <c r="H229" s="10"/>
      <c r="I229" s="10"/>
      <c r="J229" s="11"/>
      <c r="K229" s="11"/>
      <c r="L229" s="11"/>
      <c r="M229" s="10"/>
      <c r="N229" s="11"/>
      <c r="O229" s="10"/>
      <c r="P229" s="11"/>
      <c r="Q229" s="11"/>
      <c r="R229" s="12"/>
    </row>
    <row r="230" spans="1:18" x14ac:dyDescent="0.25">
      <c r="A230" s="8"/>
      <c r="B230" s="9"/>
      <c r="C230" s="10"/>
      <c r="D230" s="10"/>
      <c r="E230" s="9"/>
      <c r="F230" s="11"/>
      <c r="G230" s="9"/>
      <c r="H230" s="10"/>
      <c r="I230" s="10"/>
      <c r="J230" s="11"/>
      <c r="K230" s="11"/>
      <c r="L230" s="11"/>
      <c r="M230" s="10"/>
      <c r="N230" s="11"/>
      <c r="O230" s="10"/>
      <c r="P230" s="11"/>
      <c r="Q230" s="11"/>
      <c r="R230" s="12"/>
    </row>
    <row r="231" spans="1:18" x14ac:dyDescent="0.25">
      <c r="A231" s="8"/>
      <c r="B231" s="9"/>
      <c r="C231" s="10"/>
      <c r="D231" s="10"/>
      <c r="E231" s="9"/>
      <c r="F231" s="11"/>
      <c r="G231" s="9"/>
      <c r="H231" s="10"/>
      <c r="I231" s="10"/>
      <c r="J231" s="11"/>
      <c r="K231" s="11"/>
      <c r="L231" s="11"/>
      <c r="M231" s="10"/>
      <c r="N231" s="11"/>
      <c r="O231" s="10"/>
      <c r="P231" s="11"/>
      <c r="Q231" s="11"/>
      <c r="R231" s="12"/>
    </row>
    <row r="232" spans="1:18" x14ac:dyDescent="0.25">
      <c r="A232" s="8"/>
      <c r="B232" s="9"/>
      <c r="C232" s="10"/>
      <c r="D232" s="10"/>
      <c r="E232" s="9"/>
      <c r="F232" s="11"/>
      <c r="G232" s="9"/>
      <c r="H232" s="10"/>
      <c r="I232" s="10"/>
      <c r="J232" s="11"/>
      <c r="K232" s="11"/>
      <c r="L232" s="11"/>
      <c r="M232" s="10"/>
      <c r="N232" s="11"/>
      <c r="O232" s="10"/>
      <c r="P232" s="11"/>
      <c r="Q232" s="11"/>
      <c r="R232" s="12"/>
    </row>
    <row r="233" spans="1:18" x14ac:dyDescent="0.25">
      <c r="A233" s="8"/>
      <c r="B233" s="9"/>
      <c r="C233" s="10"/>
      <c r="D233" s="10"/>
      <c r="E233" s="9"/>
      <c r="F233" s="11"/>
      <c r="G233" s="9"/>
      <c r="H233" s="10"/>
      <c r="I233" s="10"/>
      <c r="J233" s="11"/>
      <c r="K233" s="11"/>
      <c r="L233" s="11"/>
      <c r="M233" s="10"/>
      <c r="N233" s="11"/>
      <c r="O233" s="10"/>
      <c r="P233" s="11"/>
      <c r="Q233" s="11"/>
      <c r="R233" s="12"/>
    </row>
    <row r="234" spans="1:18" x14ac:dyDescent="0.25">
      <c r="A234" s="8"/>
      <c r="B234" s="9"/>
      <c r="C234" s="10"/>
      <c r="D234" s="10"/>
      <c r="E234" s="9"/>
      <c r="F234" s="11"/>
      <c r="G234" s="9"/>
      <c r="H234" s="10"/>
      <c r="I234" s="10"/>
      <c r="J234" s="11"/>
      <c r="K234" s="11"/>
      <c r="L234" s="11"/>
      <c r="M234" s="10"/>
      <c r="N234" s="11"/>
      <c r="O234" s="10"/>
      <c r="P234" s="11"/>
      <c r="Q234" s="11"/>
      <c r="R234" s="12"/>
    </row>
    <row r="235" spans="1:18" x14ac:dyDescent="0.25">
      <c r="A235" s="8"/>
      <c r="B235" s="9"/>
      <c r="C235" s="10"/>
      <c r="D235" s="10"/>
      <c r="E235" s="9"/>
      <c r="F235" s="11"/>
      <c r="G235" s="9"/>
      <c r="H235" s="10"/>
      <c r="I235" s="10"/>
      <c r="J235" s="11"/>
      <c r="K235" s="11"/>
      <c r="L235" s="11"/>
      <c r="M235" s="10"/>
      <c r="N235" s="11"/>
      <c r="O235" s="10"/>
      <c r="P235" s="11"/>
      <c r="Q235" s="11"/>
      <c r="R235" s="12"/>
    </row>
    <row r="236" spans="1:18" x14ac:dyDescent="0.25">
      <c r="A236" s="8"/>
      <c r="B236" s="9"/>
      <c r="C236" s="10"/>
      <c r="D236" s="10"/>
      <c r="E236" s="9"/>
      <c r="F236" s="11"/>
      <c r="G236" s="9"/>
      <c r="H236" s="10"/>
      <c r="I236" s="10"/>
      <c r="J236" s="11"/>
      <c r="K236" s="11"/>
      <c r="L236" s="11"/>
      <c r="M236" s="10"/>
      <c r="N236" s="11"/>
      <c r="O236" s="10"/>
      <c r="P236" s="11"/>
      <c r="Q236" s="11"/>
      <c r="R236" s="12"/>
    </row>
    <row r="237" spans="1:18" x14ac:dyDescent="0.25">
      <c r="A237" s="8"/>
      <c r="B237" s="9"/>
      <c r="C237" s="10"/>
      <c r="D237" s="10"/>
      <c r="E237" s="9"/>
      <c r="F237" s="11"/>
      <c r="G237" s="9"/>
      <c r="H237" s="10"/>
      <c r="I237" s="10"/>
      <c r="J237" s="11"/>
      <c r="K237" s="11"/>
      <c r="L237" s="11"/>
      <c r="M237" s="10"/>
      <c r="N237" s="11"/>
      <c r="O237" s="10"/>
      <c r="P237" s="11"/>
      <c r="Q237" s="11"/>
      <c r="R237" s="12"/>
    </row>
    <row r="238" spans="1:18" x14ac:dyDescent="0.25">
      <c r="A238" s="8"/>
      <c r="B238" s="9"/>
      <c r="C238" s="10"/>
      <c r="D238" s="10"/>
      <c r="E238" s="9"/>
      <c r="F238" s="11"/>
      <c r="G238" s="9"/>
      <c r="H238" s="10"/>
      <c r="I238" s="10"/>
      <c r="J238" s="11"/>
      <c r="K238" s="11"/>
      <c r="L238" s="11"/>
      <c r="M238" s="10"/>
      <c r="N238" s="11"/>
      <c r="O238" s="10"/>
      <c r="P238" s="11"/>
      <c r="Q238" s="11"/>
      <c r="R238" s="12"/>
    </row>
    <row r="239" spans="1:18" x14ac:dyDescent="0.25">
      <c r="A239" s="8"/>
      <c r="B239" s="9"/>
      <c r="C239" s="10"/>
      <c r="D239" s="10"/>
      <c r="E239" s="9"/>
      <c r="F239" s="11"/>
      <c r="G239" s="9"/>
      <c r="H239" s="10"/>
      <c r="I239" s="10"/>
      <c r="J239" s="11"/>
      <c r="K239" s="11"/>
      <c r="L239" s="11"/>
      <c r="M239" s="10"/>
      <c r="N239" s="11"/>
      <c r="O239" s="10"/>
      <c r="P239" s="11"/>
      <c r="Q239" s="11"/>
      <c r="R239" s="12"/>
    </row>
    <row r="240" spans="1:18" x14ac:dyDescent="0.25">
      <c r="A240" s="8"/>
      <c r="B240" s="9"/>
      <c r="C240" s="10"/>
      <c r="D240" s="10"/>
      <c r="E240" s="9"/>
      <c r="F240" s="11"/>
      <c r="G240" s="9"/>
      <c r="H240" s="10"/>
      <c r="I240" s="10"/>
      <c r="J240" s="11"/>
      <c r="K240" s="11"/>
      <c r="L240" s="11"/>
      <c r="M240" s="10"/>
      <c r="N240" s="11"/>
      <c r="O240" s="10"/>
      <c r="P240" s="11"/>
      <c r="Q240" s="11"/>
      <c r="R240" s="12"/>
    </row>
    <row r="241" spans="1:18" x14ac:dyDescent="0.25">
      <c r="A241" s="8"/>
      <c r="B241" s="9"/>
      <c r="C241" s="10"/>
      <c r="D241" s="10"/>
      <c r="E241" s="9"/>
      <c r="F241" s="11"/>
      <c r="G241" s="9"/>
      <c r="H241" s="10"/>
      <c r="I241" s="10"/>
      <c r="J241" s="11"/>
      <c r="K241" s="11"/>
      <c r="L241" s="11"/>
      <c r="M241" s="10"/>
      <c r="N241" s="11"/>
      <c r="O241" s="10"/>
      <c r="P241" s="11"/>
      <c r="Q241" s="11"/>
      <c r="R241" s="12"/>
    </row>
    <row r="242" spans="1:18" x14ac:dyDescent="0.25">
      <c r="A242" s="8"/>
      <c r="B242" s="9"/>
      <c r="C242" s="10"/>
      <c r="D242" s="10"/>
      <c r="E242" s="9"/>
      <c r="F242" s="11"/>
      <c r="G242" s="9"/>
      <c r="H242" s="10"/>
      <c r="I242" s="10"/>
      <c r="J242" s="11"/>
      <c r="K242" s="11"/>
      <c r="L242" s="11"/>
      <c r="M242" s="10"/>
      <c r="N242" s="11"/>
      <c r="O242" s="10"/>
      <c r="P242" s="11"/>
      <c r="Q242" s="11"/>
      <c r="R242" s="12"/>
    </row>
    <row r="243" spans="1:18" x14ac:dyDescent="0.25">
      <c r="A243" s="8"/>
      <c r="B243" s="9"/>
      <c r="C243" s="10"/>
      <c r="D243" s="10"/>
      <c r="E243" s="9"/>
      <c r="F243" s="11"/>
      <c r="G243" s="9"/>
      <c r="H243" s="10"/>
      <c r="I243" s="10"/>
      <c r="J243" s="11"/>
      <c r="K243" s="11"/>
      <c r="L243" s="11"/>
      <c r="M243" s="10"/>
      <c r="N243" s="11"/>
      <c r="O243" s="10"/>
      <c r="P243" s="11"/>
      <c r="Q243" s="11"/>
      <c r="R243" s="12"/>
    </row>
    <row r="244" spans="1:18" x14ac:dyDescent="0.25">
      <c r="A244" s="8"/>
      <c r="B244" s="9"/>
      <c r="C244" s="10"/>
      <c r="D244" s="10"/>
      <c r="E244" s="9"/>
      <c r="F244" s="11"/>
      <c r="G244" s="9"/>
      <c r="H244" s="10"/>
      <c r="I244" s="10"/>
      <c r="J244" s="11"/>
      <c r="K244" s="11"/>
      <c r="L244" s="11"/>
      <c r="M244" s="10"/>
      <c r="N244" s="11"/>
      <c r="O244" s="10"/>
      <c r="P244" s="11"/>
      <c r="Q244" s="11"/>
      <c r="R244" s="12"/>
    </row>
    <row r="245" spans="1:18" x14ac:dyDescent="0.25">
      <c r="A245" s="8"/>
      <c r="B245" s="9"/>
      <c r="C245" s="10"/>
      <c r="D245" s="10"/>
      <c r="E245" s="9"/>
      <c r="F245" s="11"/>
      <c r="G245" s="9"/>
      <c r="H245" s="10"/>
      <c r="I245" s="10"/>
      <c r="J245" s="11"/>
      <c r="K245" s="11"/>
      <c r="L245" s="11"/>
      <c r="M245" s="10"/>
      <c r="N245" s="11"/>
      <c r="O245" s="10"/>
      <c r="P245" s="11"/>
      <c r="Q245" s="11"/>
      <c r="R245" s="12"/>
    </row>
    <row r="246" spans="1:18" x14ac:dyDescent="0.25">
      <c r="A246" s="8"/>
      <c r="B246" s="9"/>
      <c r="C246" s="10"/>
      <c r="D246" s="10"/>
      <c r="E246" s="9"/>
      <c r="F246" s="11"/>
      <c r="G246" s="9"/>
      <c r="H246" s="10"/>
      <c r="I246" s="10"/>
      <c r="J246" s="11"/>
      <c r="K246" s="11"/>
      <c r="L246" s="11"/>
      <c r="M246" s="10"/>
      <c r="N246" s="11"/>
      <c r="O246" s="10"/>
      <c r="P246" s="11"/>
      <c r="Q246" s="11"/>
      <c r="R246" s="12"/>
    </row>
    <row r="247" spans="1:18" x14ac:dyDescent="0.25">
      <c r="A247" s="8"/>
      <c r="B247" s="9"/>
      <c r="C247" s="10"/>
      <c r="D247" s="10"/>
      <c r="E247" s="9"/>
      <c r="F247" s="11"/>
      <c r="G247" s="9"/>
      <c r="H247" s="10"/>
      <c r="I247" s="10"/>
      <c r="J247" s="11"/>
      <c r="K247" s="11"/>
      <c r="L247" s="11"/>
      <c r="M247" s="10"/>
      <c r="N247" s="11"/>
      <c r="O247" s="10"/>
      <c r="P247" s="11"/>
      <c r="Q247" s="11"/>
      <c r="R247" s="12"/>
    </row>
    <row r="248" spans="1:18" x14ac:dyDescent="0.25">
      <c r="A248" s="8"/>
      <c r="B248" s="9"/>
      <c r="C248" s="10"/>
      <c r="D248" s="10"/>
      <c r="E248" s="9"/>
      <c r="F248" s="11"/>
      <c r="G248" s="9"/>
      <c r="H248" s="10"/>
      <c r="I248" s="10"/>
      <c r="J248" s="11"/>
      <c r="K248" s="11"/>
      <c r="L248" s="11"/>
      <c r="M248" s="10"/>
      <c r="N248" s="11"/>
      <c r="O248" s="10"/>
      <c r="P248" s="11"/>
      <c r="Q248" s="11"/>
      <c r="R248" s="12"/>
    </row>
    <row r="249" spans="1:18" x14ac:dyDescent="0.25">
      <c r="A249" s="8"/>
      <c r="B249" s="9"/>
      <c r="C249" s="10"/>
      <c r="D249" s="10"/>
      <c r="E249" s="9"/>
      <c r="F249" s="11"/>
      <c r="G249" s="9"/>
      <c r="H249" s="10"/>
      <c r="I249" s="10"/>
      <c r="J249" s="11"/>
      <c r="K249" s="11"/>
      <c r="L249" s="11"/>
      <c r="M249" s="10"/>
      <c r="N249" s="11"/>
      <c r="O249" s="10"/>
      <c r="P249" s="11"/>
      <c r="Q249" s="11"/>
      <c r="R249" s="12"/>
    </row>
    <row r="250" spans="1:18" x14ac:dyDescent="0.25">
      <c r="A250" s="8"/>
      <c r="B250" s="9"/>
      <c r="C250" s="10"/>
      <c r="D250" s="10"/>
      <c r="E250" s="9"/>
      <c r="F250" s="11"/>
      <c r="G250" s="9"/>
      <c r="H250" s="10"/>
      <c r="I250" s="10"/>
      <c r="J250" s="11"/>
      <c r="K250" s="11"/>
      <c r="L250" s="11"/>
      <c r="M250" s="10"/>
      <c r="N250" s="11"/>
      <c r="O250" s="10"/>
      <c r="P250" s="11"/>
      <c r="Q250" s="11"/>
      <c r="R250" s="12"/>
    </row>
    <row r="251" spans="1:18" x14ac:dyDescent="0.25">
      <c r="A251" s="8"/>
      <c r="B251" s="9"/>
      <c r="C251" s="10"/>
      <c r="D251" s="10"/>
      <c r="E251" s="9"/>
      <c r="F251" s="11"/>
      <c r="G251" s="9"/>
      <c r="H251" s="10"/>
      <c r="I251" s="10"/>
      <c r="J251" s="11"/>
      <c r="K251" s="11"/>
      <c r="L251" s="11"/>
      <c r="M251" s="10"/>
      <c r="N251" s="11"/>
      <c r="O251" s="10"/>
      <c r="P251" s="11"/>
      <c r="Q251" s="11"/>
      <c r="R251" s="12"/>
    </row>
    <row r="252" spans="1:18" x14ac:dyDescent="0.25">
      <c r="A252" s="8"/>
      <c r="B252" s="9"/>
      <c r="C252" s="10"/>
      <c r="D252" s="10"/>
      <c r="E252" s="9"/>
      <c r="F252" s="11"/>
      <c r="G252" s="9"/>
      <c r="H252" s="10"/>
      <c r="I252" s="10"/>
      <c r="J252" s="11"/>
      <c r="K252" s="11"/>
      <c r="L252" s="11"/>
      <c r="M252" s="10"/>
      <c r="N252" s="11"/>
      <c r="O252" s="10"/>
      <c r="P252" s="11"/>
      <c r="Q252" s="11"/>
      <c r="R252" s="12"/>
    </row>
    <row r="253" spans="1:18" x14ac:dyDescent="0.25">
      <c r="A253" s="8"/>
      <c r="B253" s="9"/>
      <c r="C253" s="10"/>
      <c r="D253" s="10"/>
      <c r="E253" s="9"/>
      <c r="F253" s="11"/>
      <c r="G253" s="9"/>
      <c r="H253" s="10"/>
      <c r="I253" s="10"/>
      <c r="J253" s="11"/>
      <c r="K253" s="11"/>
      <c r="L253" s="11"/>
      <c r="M253" s="10"/>
      <c r="N253" s="11"/>
      <c r="O253" s="10"/>
      <c r="P253" s="11"/>
      <c r="Q253" s="11"/>
      <c r="R253" s="12"/>
    </row>
    <row r="254" spans="1:18" x14ac:dyDescent="0.25">
      <c r="A254" s="8"/>
      <c r="B254" s="9"/>
      <c r="C254" s="10"/>
      <c r="D254" s="10"/>
      <c r="E254" s="9"/>
      <c r="F254" s="11"/>
      <c r="G254" s="9"/>
      <c r="H254" s="10"/>
      <c r="I254" s="10"/>
      <c r="J254" s="11"/>
      <c r="K254" s="11"/>
      <c r="L254" s="11"/>
      <c r="M254" s="10"/>
      <c r="N254" s="11"/>
      <c r="O254" s="10"/>
      <c r="P254" s="11"/>
      <c r="Q254" s="11"/>
      <c r="R254" s="12"/>
    </row>
    <row r="255" spans="1:18" x14ac:dyDescent="0.25">
      <c r="A255" s="8"/>
      <c r="B255" s="9"/>
      <c r="C255" s="10"/>
      <c r="D255" s="10"/>
      <c r="E255" s="9"/>
      <c r="F255" s="11"/>
      <c r="G255" s="9"/>
      <c r="H255" s="10"/>
      <c r="I255" s="10"/>
      <c r="J255" s="11"/>
      <c r="K255" s="11"/>
      <c r="L255" s="11"/>
      <c r="M255" s="10"/>
      <c r="N255" s="11"/>
      <c r="O255" s="10"/>
      <c r="P255" s="11"/>
      <c r="Q255" s="11"/>
      <c r="R255" s="12"/>
    </row>
    <row r="256" spans="1:18" x14ac:dyDescent="0.25">
      <c r="A256" s="8"/>
      <c r="B256" s="9"/>
      <c r="C256" s="10"/>
      <c r="D256" s="10"/>
      <c r="E256" s="9"/>
      <c r="F256" s="11"/>
      <c r="G256" s="9"/>
      <c r="H256" s="10"/>
      <c r="I256" s="10"/>
      <c r="J256" s="11"/>
      <c r="K256" s="11"/>
      <c r="L256" s="11"/>
      <c r="M256" s="10"/>
      <c r="N256" s="11"/>
      <c r="O256" s="10"/>
      <c r="P256" s="11"/>
      <c r="Q256" s="11"/>
      <c r="R256" s="12"/>
    </row>
    <row r="257" spans="1:18" x14ac:dyDescent="0.25">
      <c r="A257" s="8"/>
      <c r="B257" s="9"/>
      <c r="C257" s="10"/>
      <c r="D257" s="10"/>
      <c r="E257" s="9"/>
      <c r="F257" s="11"/>
      <c r="G257" s="9"/>
      <c r="H257" s="10"/>
      <c r="I257" s="10"/>
      <c r="J257" s="11"/>
      <c r="K257" s="11"/>
      <c r="L257" s="11"/>
      <c r="M257" s="10"/>
      <c r="N257" s="11"/>
      <c r="O257" s="10"/>
      <c r="P257" s="11"/>
      <c r="Q257" s="11"/>
      <c r="R257" s="12"/>
    </row>
    <row r="258" spans="1:18" x14ac:dyDescent="0.25">
      <c r="A258" s="8"/>
      <c r="B258" s="9"/>
      <c r="C258" s="10"/>
      <c r="D258" s="10"/>
      <c r="E258" s="9"/>
      <c r="F258" s="11"/>
      <c r="G258" s="9"/>
      <c r="H258" s="10"/>
      <c r="I258" s="10"/>
      <c r="J258" s="11"/>
      <c r="K258" s="11"/>
      <c r="L258" s="11"/>
      <c r="M258" s="10"/>
      <c r="N258" s="11"/>
      <c r="O258" s="10"/>
      <c r="P258" s="11"/>
      <c r="Q258" s="11"/>
      <c r="R258" s="12"/>
    </row>
    <row r="259" spans="1:18" x14ac:dyDescent="0.25">
      <c r="A259" s="8"/>
      <c r="B259" s="9"/>
      <c r="C259" s="10"/>
      <c r="D259" s="10"/>
      <c r="E259" s="9"/>
      <c r="F259" s="11"/>
      <c r="G259" s="9"/>
      <c r="H259" s="10"/>
      <c r="I259" s="10"/>
      <c r="J259" s="11"/>
      <c r="K259" s="11"/>
      <c r="L259" s="11"/>
      <c r="M259" s="10"/>
      <c r="N259" s="11"/>
      <c r="O259" s="10"/>
      <c r="P259" s="11"/>
      <c r="Q259" s="11"/>
      <c r="R259" s="12"/>
    </row>
    <row r="260" spans="1:18" x14ac:dyDescent="0.25">
      <c r="A260" s="8"/>
      <c r="B260" s="9"/>
      <c r="C260" s="10"/>
      <c r="D260" s="10"/>
      <c r="E260" s="9"/>
      <c r="F260" s="11"/>
      <c r="G260" s="9"/>
      <c r="H260" s="10"/>
      <c r="I260" s="10"/>
      <c r="J260" s="11"/>
      <c r="K260" s="11"/>
      <c r="L260" s="11"/>
      <c r="M260" s="10"/>
      <c r="N260" s="11"/>
      <c r="O260" s="10"/>
      <c r="P260" s="11"/>
      <c r="Q260" s="11"/>
      <c r="R260" s="12"/>
    </row>
    <row r="261" spans="1:18" x14ac:dyDescent="0.25">
      <c r="A261" s="8"/>
      <c r="B261" s="9"/>
      <c r="C261" s="10"/>
      <c r="D261" s="10"/>
      <c r="E261" s="9"/>
      <c r="F261" s="11"/>
      <c r="G261" s="9"/>
      <c r="H261" s="10"/>
      <c r="I261" s="10"/>
      <c r="J261" s="11"/>
      <c r="K261" s="11"/>
      <c r="L261" s="11"/>
      <c r="M261" s="10"/>
      <c r="N261" s="11"/>
      <c r="O261" s="10"/>
      <c r="P261" s="11"/>
      <c r="Q261" s="11"/>
      <c r="R261" s="12"/>
    </row>
    <row r="262" spans="1:18" x14ac:dyDescent="0.25">
      <c r="A262" s="8"/>
      <c r="B262" s="9"/>
      <c r="C262" s="10"/>
      <c r="D262" s="10"/>
      <c r="E262" s="9"/>
      <c r="F262" s="11"/>
      <c r="G262" s="9"/>
      <c r="H262" s="10"/>
      <c r="I262" s="10"/>
      <c r="J262" s="11"/>
      <c r="K262" s="11"/>
      <c r="L262" s="11"/>
      <c r="M262" s="10"/>
      <c r="N262" s="11"/>
      <c r="O262" s="10"/>
      <c r="P262" s="11"/>
      <c r="Q262" s="11"/>
      <c r="R262" s="12"/>
    </row>
    <row r="263" spans="1:18" x14ac:dyDescent="0.25">
      <c r="A263" s="8"/>
      <c r="B263" s="9"/>
      <c r="C263" s="10"/>
      <c r="D263" s="10"/>
      <c r="E263" s="9"/>
      <c r="F263" s="11"/>
      <c r="G263" s="9"/>
      <c r="H263" s="10"/>
      <c r="I263" s="10"/>
      <c r="J263" s="11"/>
      <c r="K263" s="11"/>
      <c r="L263" s="11"/>
      <c r="M263" s="10"/>
      <c r="N263" s="11"/>
      <c r="O263" s="10"/>
      <c r="P263" s="11"/>
      <c r="Q263" s="11"/>
      <c r="R263" s="12"/>
    </row>
    <row r="264" spans="1:18" x14ac:dyDescent="0.25">
      <c r="A264" s="8"/>
      <c r="B264" s="9"/>
      <c r="C264" s="10"/>
      <c r="D264" s="10"/>
      <c r="E264" s="9"/>
      <c r="F264" s="11"/>
      <c r="G264" s="9"/>
      <c r="H264" s="10"/>
      <c r="I264" s="10"/>
      <c r="J264" s="11"/>
      <c r="K264" s="11"/>
      <c r="L264" s="11"/>
      <c r="M264" s="10"/>
      <c r="N264" s="11"/>
      <c r="O264" s="10"/>
      <c r="P264" s="11"/>
      <c r="Q264" s="11"/>
      <c r="R264" s="12"/>
    </row>
    <row r="265" spans="1:18" x14ac:dyDescent="0.25">
      <c r="A265" s="8"/>
      <c r="B265" s="9"/>
      <c r="C265" s="10"/>
      <c r="D265" s="10"/>
      <c r="E265" s="9"/>
      <c r="F265" s="11"/>
      <c r="G265" s="9"/>
      <c r="H265" s="10"/>
      <c r="I265" s="10"/>
      <c r="J265" s="11"/>
      <c r="K265" s="11"/>
      <c r="L265" s="11"/>
      <c r="M265" s="10"/>
      <c r="N265" s="11"/>
      <c r="O265" s="10"/>
      <c r="P265" s="11"/>
      <c r="Q265" s="11"/>
      <c r="R265" s="12"/>
    </row>
    <row r="266" spans="1:18" x14ac:dyDescent="0.25">
      <c r="A266" s="8"/>
      <c r="B266" s="9"/>
      <c r="C266" s="10"/>
      <c r="D266" s="10"/>
      <c r="E266" s="9"/>
      <c r="F266" s="11"/>
      <c r="G266" s="9"/>
      <c r="H266" s="10"/>
      <c r="I266" s="10"/>
      <c r="J266" s="11"/>
      <c r="K266" s="11"/>
      <c r="L266" s="11"/>
      <c r="M266" s="10"/>
      <c r="N266" s="11"/>
      <c r="O266" s="10"/>
      <c r="P266" s="11"/>
      <c r="Q266" s="11"/>
      <c r="R266" s="12"/>
    </row>
    <row r="267" spans="1:18" x14ac:dyDescent="0.25">
      <c r="A267" s="8"/>
      <c r="B267" s="9"/>
      <c r="C267" s="10"/>
      <c r="D267" s="10"/>
      <c r="E267" s="9"/>
      <c r="F267" s="11"/>
      <c r="G267" s="9"/>
      <c r="H267" s="10"/>
      <c r="I267" s="10"/>
      <c r="J267" s="11"/>
      <c r="K267" s="11"/>
      <c r="L267" s="11"/>
      <c r="M267" s="10"/>
      <c r="N267" s="11"/>
      <c r="O267" s="10"/>
      <c r="P267" s="11"/>
      <c r="Q267" s="11"/>
      <c r="R267" s="12"/>
    </row>
    <row r="268" spans="1:18" x14ac:dyDescent="0.25">
      <c r="A268" s="8"/>
      <c r="B268" s="9"/>
      <c r="C268" s="10"/>
      <c r="D268" s="10"/>
      <c r="E268" s="9"/>
      <c r="F268" s="11"/>
      <c r="G268" s="9"/>
      <c r="H268" s="10"/>
      <c r="I268" s="10"/>
      <c r="J268" s="11"/>
      <c r="K268" s="11"/>
      <c r="L268" s="11"/>
      <c r="M268" s="10"/>
      <c r="N268" s="11"/>
      <c r="O268" s="10"/>
      <c r="P268" s="11"/>
      <c r="Q268" s="11"/>
      <c r="R268" s="12"/>
    </row>
    <row r="269" spans="1:18" x14ac:dyDescent="0.25">
      <c r="A269" s="8"/>
      <c r="B269" s="9"/>
      <c r="C269" s="10"/>
      <c r="D269" s="10"/>
      <c r="E269" s="9"/>
      <c r="F269" s="11"/>
      <c r="G269" s="9"/>
      <c r="H269" s="10"/>
      <c r="I269" s="10"/>
      <c r="J269" s="11"/>
      <c r="K269" s="11"/>
      <c r="L269" s="11"/>
      <c r="M269" s="10"/>
      <c r="N269" s="11"/>
      <c r="O269" s="10"/>
      <c r="P269" s="11"/>
      <c r="Q269" s="11"/>
      <c r="R269" s="12"/>
    </row>
    <row r="270" spans="1:18" x14ac:dyDescent="0.25">
      <c r="A270" s="8"/>
      <c r="B270" s="9"/>
      <c r="C270" s="10"/>
      <c r="D270" s="10"/>
      <c r="E270" s="9"/>
      <c r="F270" s="11"/>
      <c r="G270" s="9"/>
      <c r="H270" s="10"/>
      <c r="I270" s="10"/>
      <c r="J270" s="11"/>
      <c r="K270" s="11"/>
      <c r="L270" s="11"/>
      <c r="M270" s="10"/>
      <c r="N270" s="11"/>
      <c r="O270" s="10"/>
      <c r="P270" s="11"/>
      <c r="Q270" s="11"/>
      <c r="R270" s="12"/>
    </row>
    <row r="271" spans="1:18" x14ac:dyDescent="0.25">
      <c r="A271" s="8"/>
      <c r="B271" s="9"/>
      <c r="C271" s="10"/>
      <c r="D271" s="10"/>
      <c r="E271" s="9"/>
      <c r="F271" s="11"/>
      <c r="G271" s="9"/>
      <c r="H271" s="10"/>
      <c r="I271" s="10"/>
      <c r="J271" s="11"/>
      <c r="K271" s="11"/>
      <c r="L271" s="11"/>
      <c r="M271" s="10"/>
      <c r="N271" s="11"/>
      <c r="O271" s="10"/>
      <c r="P271" s="11"/>
      <c r="Q271" s="11"/>
      <c r="R271" s="12"/>
    </row>
    <row r="272" spans="1:18" x14ac:dyDescent="0.25">
      <c r="A272" s="8"/>
      <c r="B272" s="9"/>
      <c r="C272" s="10"/>
      <c r="D272" s="10"/>
      <c r="E272" s="9"/>
      <c r="F272" s="11"/>
      <c r="G272" s="9"/>
      <c r="H272" s="10"/>
      <c r="I272" s="10"/>
      <c r="J272" s="11"/>
      <c r="K272" s="11"/>
      <c r="L272" s="11"/>
      <c r="M272" s="10"/>
      <c r="N272" s="11"/>
      <c r="O272" s="10"/>
      <c r="P272" s="11"/>
      <c r="Q272" s="11"/>
      <c r="R272" s="12"/>
    </row>
    <row r="273" spans="1:18" x14ac:dyDescent="0.25">
      <c r="A273" s="8"/>
      <c r="B273" s="9"/>
      <c r="C273" s="10"/>
      <c r="D273" s="10"/>
      <c r="E273" s="9"/>
      <c r="F273" s="11"/>
      <c r="G273" s="9"/>
      <c r="H273" s="10"/>
      <c r="I273" s="10"/>
      <c r="J273" s="11"/>
      <c r="K273" s="11"/>
      <c r="L273" s="11"/>
      <c r="M273" s="10"/>
      <c r="N273" s="11"/>
      <c r="O273" s="10"/>
      <c r="P273" s="11"/>
      <c r="Q273" s="11"/>
      <c r="R273" s="12"/>
    </row>
    <row r="274" spans="1:18" x14ac:dyDescent="0.25">
      <c r="A274" s="8"/>
      <c r="B274" s="9"/>
      <c r="C274" s="10"/>
      <c r="D274" s="10"/>
      <c r="E274" s="9"/>
      <c r="F274" s="11"/>
      <c r="G274" s="9"/>
      <c r="H274" s="10"/>
      <c r="I274" s="10"/>
      <c r="J274" s="11"/>
      <c r="K274" s="11"/>
      <c r="L274" s="11"/>
      <c r="M274" s="10"/>
      <c r="N274" s="11"/>
      <c r="O274" s="10"/>
      <c r="P274" s="11"/>
      <c r="Q274" s="11"/>
      <c r="R274" s="12"/>
    </row>
    <row r="275" spans="1:18" x14ac:dyDescent="0.25">
      <c r="A275" s="8"/>
      <c r="B275" s="9"/>
      <c r="C275" s="10"/>
      <c r="D275" s="10"/>
      <c r="E275" s="9"/>
      <c r="F275" s="11"/>
      <c r="G275" s="9"/>
      <c r="H275" s="10"/>
      <c r="I275" s="10"/>
      <c r="J275" s="11"/>
      <c r="K275" s="11"/>
      <c r="L275" s="11"/>
      <c r="M275" s="10"/>
      <c r="N275" s="11"/>
      <c r="O275" s="10"/>
      <c r="P275" s="11"/>
      <c r="Q275" s="11"/>
      <c r="R275" s="12"/>
    </row>
    <row r="276" spans="1:18" x14ac:dyDescent="0.25">
      <c r="A276" s="8"/>
      <c r="B276" s="9"/>
      <c r="C276" s="10"/>
      <c r="D276" s="10"/>
      <c r="E276" s="9"/>
      <c r="F276" s="11"/>
      <c r="G276" s="9"/>
      <c r="H276" s="10"/>
      <c r="I276" s="10"/>
      <c r="J276" s="11"/>
      <c r="K276" s="11"/>
      <c r="L276" s="11"/>
      <c r="M276" s="10"/>
      <c r="N276" s="11"/>
      <c r="O276" s="10"/>
      <c r="P276" s="11"/>
      <c r="Q276" s="11"/>
      <c r="R276" s="12"/>
    </row>
    <row r="277" spans="1:18" x14ac:dyDescent="0.25">
      <c r="A277" s="8"/>
      <c r="B277" s="9"/>
      <c r="C277" s="10"/>
      <c r="D277" s="10"/>
      <c r="E277" s="9"/>
      <c r="F277" s="11"/>
      <c r="G277" s="9"/>
      <c r="H277" s="10"/>
      <c r="I277" s="10"/>
      <c r="J277" s="11"/>
      <c r="K277" s="11"/>
      <c r="L277" s="11"/>
      <c r="M277" s="10"/>
      <c r="N277" s="11"/>
      <c r="O277" s="10"/>
      <c r="P277" s="11"/>
      <c r="Q277" s="11"/>
      <c r="R277" s="12"/>
    </row>
    <row r="278" spans="1:18" x14ac:dyDescent="0.25">
      <c r="A278" s="8"/>
      <c r="B278" s="9"/>
      <c r="C278" s="10"/>
      <c r="D278" s="10"/>
      <c r="E278" s="9"/>
      <c r="F278" s="11"/>
      <c r="G278" s="9"/>
      <c r="H278" s="10"/>
      <c r="I278" s="10"/>
      <c r="J278" s="11"/>
      <c r="K278" s="11"/>
      <c r="L278" s="11"/>
      <c r="M278" s="10"/>
      <c r="N278" s="11"/>
      <c r="O278" s="10"/>
      <c r="P278" s="11"/>
      <c r="Q278" s="11"/>
      <c r="R278" s="12"/>
    </row>
    <row r="279" spans="1:18" x14ac:dyDescent="0.25">
      <c r="A279" s="8"/>
      <c r="B279" s="9"/>
      <c r="C279" s="10"/>
      <c r="D279" s="10"/>
      <c r="E279" s="9"/>
      <c r="F279" s="11"/>
      <c r="G279" s="9"/>
      <c r="H279" s="10"/>
      <c r="I279" s="10"/>
      <c r="J279" s="11"/>
      <c r="K279" s="11"/>
      <c r="L279" s="11"/>
      <c r="M279" s="10"/>
      <c r="N279" s="11"/>
      <c r="O279" s="10"/>
      <c r="P279" s="11"/>
      <c r="Q279" s="11"/>
      <c r="R279" s="12"/>
    </row>
    <row r="280" spans="1:18" x14ac:dyDescent="0.25">
      <c r="A280" s="8"/>
      <c r="B280" s="9"/>
      <c r="C280" s="10"/>
      <c r="D280" s="10"/>
      <c r="E280" s="9"/>
      <c r="F280" s="11"/>
      <c r="G280" s="9"/>
      <c r="H280" s="10"/>
      <c r="I280" s="10"/>
      <c r="J280" s="11"/>
      <c r="K280" s="11"/>
      <c r="L280" s="11"/>
      <c r="M280" s="10"/>
      <c r="N280" s="11"/>
      <c r="O280" s="10"/>
      <c r="P280" s="11"/>
      <c r="Q280" s="11"/>
      <c r="R280" s="12"/>
    </row>
    <row r="281" spans="1:18" x14ac:dyDescent="0.25">
      <c r="A281" s="8"/>
      <c r="B281" s="9"/>
      <c r="C281" s="10"/>
      <c r="D281" s="10"/>
      <c r="E281" s="9"/>
      <c r="F281" s="11"/>
      <c r="G281" s="9"/>
      <c r="H281" s="10"/>
      <c r="I281" s="10"/>
      <c r="J281" s="11"/>
      <c r="K281" s="11"/>
      <c r="L281" s="11"/>
      <c r="M281" s="10"/>
      <c r="N281" s="11"/>
      <c r="O281" s="10"/>
      <c r="P281" s="11"/>
      <c r="Q281" s="11"/>
      <c r="R281" s="12"/>
    </row>
    <row r="282" spans="1:18" x14ac:dyDescent="0.25">
      <c r="A282" s="8"/>
      <c r="B282" s="9"/>
      <c r="C282" s="10"/>
      <c r="D282" s="10"/>
      <c r="E282" s="9"/>
      <c r="F282" s="11"/>
      <c r="G282" s="9"/>
      <c r="H282" s="10"/>
      <c r="I282" s="10"/>
      <c r="J282" s="11"/>
      <c r="K282" s="11"/>
      <c r="L282" s="11"/>
      <c r="M282" s="10"/>
      <c r="N282" s="11"/>
      <c r="O282" s="10"/>
      <c r="P282" s="11"/>
      <c r="Q282" s="11"/>
      <c r="R282" s="12"/>
    </row>
    <row r="283" spans="1:18" x14ac:dyDescent="0.25">
      <c r="A283" s="8"/>
      <c r="B283" s="9"/>
      <c r="C283" s="10"/>
      <c r="D283" s="10"/>
      <c r="E283" s="9"/>
      <c r="F283" s="11"/>
      <c r="G283" s="9"/>
      <c r="H283" s="10"/>
      <c r="I283" s="10"/>
      <c r="J283" s="11"/>
      <c r="K283" s="11"/>
      <c r="L283" s="11"/>
      <c r="M283" s="10"/>
      <c r="N283" s="11"/>
      <c r="O283" s="10"/>
      <c r="P283" s="11"/>
      <c r="Q283" s="11"/>
      <c r="R283" s="12"/>
    </row>
    <row r="284" spans="1:18" x14ac:dyDescent="0.25">
      <c r="A284" s="8"/>
      <c r="B284" s="9"/>
      <c r="C284" s="10"/>
      <c r="D284" s="10"/>
      <c r="E284" s="9"/>
      <c r="F284" s="11"/>
      <c r="G284" s="9"/>
      <c r="H284" s="10"/>
      <c r="I284" s="10"/>
      <c r="J284" s="11"/>
      <c r="K284" s="11"/>
      <c r="L284" s="11"/>
      <c r="M284" s="10"/>
      <c r="N284" s="11"/>
      <c r="O284" s="10"/>
      <c r="P284" s="11"/>
      <c r="Q284" s="11"/>
      <c r="R284" s="12"/>
    </row>
    <row r="285" spans="1:18" x14ac:dyDescent="0.25">
      <c r="A285" s="8"/>
      <c r="B285" s="9"/>
      <c r="C285" s="10"/>
      <c r="D285" s="10"/>
      <c r="E285" s="9"/>
      <c r="F285" s="11"/>
      <c r="G285" s="9"/>
      <c r="H285" s="10"/>
      <c r="I285" s="10"/>
      <c r="J285" s="11"/>
      <c r="K285" s="11"/>
      <c r="L285" s="11"/>
      <c r="M285" s="10"/>
      <c r="N285" s="11"/>
      <c r="O285" s="10"/>
      <c r="P285" s="11"/>
      <c r="Q285" s="11"/>
      <c r="R285" s="12"/>
    </row>
    <row r="286" spans="1:18" x14ac:dyDescent="0.25">
      <c r="A286" s="8"/>
      <c r="B286" s="9"/>
      <c r="C286" s="10"/>
      <c r="D286" s="10"/>
      <c r="E286" s="9"/>
      <c r="F286" s="11"/>
      <c r="G286" s="9"/>
      <c r="H286" s="10"/>
      <c r="I286" s="10"/>
      <c r="J286" s="11"/>
      <c r="K286" s="11"/>
      <c r="L286" s="11"/>
      <c r="M286" s="10"/>
      <c r="N286" s="11"/>
      <c r="O286" s="10"/>
      <c r="P286" s="11"/>
      <c r="Q286" s="11"/>
      <c r="R286" s="12"/>
    </row>
    <row r="287" spans="1:18" x14ac:dyDescent="0.25">
      <c r="A287" s="8"/>
      <c r="B287" s="9"/>
      <c r="C287" s="10"/>
      <c r="D287" s="10"/>
      <c r="E287" s="9"/>
      <c r="F287" s="11"/>
      <c r="G287" s="9"/>
      <c r="H287" s="10"/>
      <c r="I287" s="10"/>
      <c r="J287" s="11"/>
      <c r="K287" s="11"/>
      <c r="L287" s="11"/>
      <c r="M287" s="10"/>
      <c r="N287" s="11"/>
      <c r="O287" s="10"/>
      <c r="P287" s="11"/>
      <c r="Q287" s="11"/>
      <c r="R287" s="12"/>
    </row>
    <row r="288" spans="1:18" x14ac:dyDescent="0.25">
      <c r="A288" s="8"/>
      <c r="B288" s="9"/>
      <c r="C288" s="10"/>
      <c r="D288" s="10"/>
      <c r="E288" s="9"/>
      <c r="F288" s="11"/>
      <c r="G288" s="9"/>
      <c r="H288" s="10"/>
      <c r="I288" s="10"/>
      <c r="J288" s="11"/>
      <c r="K288" s="11"/>
      <c r="L288" s="11"/>
      <c r="M288" s="10"/>
      <c r="N288" s="11"/>
      <c r="O288" s="10"/>
      <c r="P288" s="11"/>
      <c r="Q288" s="11"/>
      <c r="R288" s="12"/>
    </row>
    <row r="289" spans="1:18" x14ac:dyDescent="0.25">
      <c r="A289" s="8"/>
      <c r="B289" s="9"/>
      <c r="C289" s="10"/>
      <c r="D289" s="10"/>
      <c r="E289" s="9"/>
      <c r="F289" s="11"/>
      <c r="G289" s="9"/>
      <c r="H289" s="10"/>
      <c r="I289" s="10"/>
      <c r="J289" s="11"/>
      <c r="K289" s="11"/>
      <c r="L289" s="11"/>
      <c r="M289" s="10"/>
      <c r="N289" s="11"/>
      <c r="O289" s="10"/>
      <c r="P289" s="11"/>
      <c r="Q289" s="11"/>
      <c r="R289" s="12"/>
    </row>
    <row r="290" spans="1:18" x14ac:dyDescent="0.25">
      <c r="A290" s="8"/>
      <c r="B290" s="9"/>
      <c r="C290" s="10"/>
      <c r="D290" s="10"/>
      <c r="E290" s="9"/>
      <c r="F290" s="11"/>
      <c r="G290" s="9"/>
      <c r="H290" s="10"/>
      <c r="I290" s="10"/>
      <c r="J290" s="11"/>
      <c r="K290" s="11"/>
      <c r="L290" s="11"/>
      <c r="M290" s="10"/>
      <c r="N290" s="11"/>
      <c r="O290" s="10"/>
      <c r="P290" s="11"/>
      <c r="Q290" s="11"/>
      <c r="R290" s="12"/>
    </row>
    <row r="291" spans="1:18" x14ac:dyDescent="0.25">
      <c r="A291" s="8"/>
      <c r="B291" s="9"/>
      <c r="C291" s="10"/>
      <c r="D291" s="10"/>
      <c r="E291" s="9"/>
      <c r="F291" s="11"/>
      <c r="G291" s="9"/>
      <c r="H291" s="10"/>
      <c r="I291" s="10"/>
      <c r="J291" s="11"/>
      <c r="K291" s="11"/>
      <c r="L291" s="11"/>
      <c r="M291" s="10"/>
      <c r="N291" s="11"/>
      <c r="O291" s="10"/>
      <c r="P291" s="11"/>
      <c r="Q291" s="11"/>
      <c r="R291" s="12"/>
    </row>
    <row r="292" spans="1:18" x14ac:dyDescent="0.25">
      <c r="A292" s="8"/>
      <c r="B292" s="9"/>
      <c r="C292" s="10"/>
      <c r="D292" s="10"/>
      <c r="E292" s="9"/>
      <c r="F292" s="11"/>
      <c r="G292" s="9"/>
      <c r="H292" s="10"/>
      <c r="I292" s="10"/>
      <c r="J292" s="11"/>
      <c r="K292" s="11"/>
      <c r="L292" s="11"/>
      <c r="M292" s="10"/>
      <c r="N292" s="11"/>
      <c r="O292" s="10"/>
      <c r="P292" s="11"/>
      <c r="Q292" s="11"/>
      <c r="R292" s="12"/>
    </row>
    <row r="293" spans="1:18" x14ac:dyDescent="0.25">
      <c r="A293" s="8"/>
      <c r="B293" s="9"/>
      <c r="C293" s="10"/>
      <c r="D293" s="10"/>
      <c r="E293" s="9"/>
      <c r="F293" s="11"/>
      <c r="G293" s="9"/>
      <c r="H293" s="10"/>
      <c r="I293" s="10"/>
      <c r="J293" s="11"/>
      <c r="K293" s="11"/>
      <c r="L293" s="11"/>
      <c r="M293" s="10"/>
      <c r="N293" s="11"/>
      <c r="O293" s="10"/>
      <c r="P293" s="11"/>
      <c r="Q293" s="11"/>
      <c r="R293" s="12"/>
    </row>
    <row r="294" spans="1:18" x14ac:dyDescent="0.25">
      <c r="A294" s="8"/>
      <c r="B294" s="9"/>
      <c r="C294" s="10"/>
      <c r="D294" s="10"/>
      <c r="E294" s="9"/>
      <c r="F294" s="11"/>
      <c r="G294" s="9"/>
      <c r="H294" s="10"/>
      <c r="I294" s="10"/>
      <c r="J294" s="11"/>
      <c r="K294" s="11"/>
      <c r="L294" s="11"/>
      <c r="M294" s="10"/>
      <c r="N294" s="11"/>
      <c r="O294" s="10"/>
      <c r="P294" s="11"/>
      <c r="Q294" s="11"/>
      <c r="R294" s="12"/>
    </row>
    <row r="295" spans="1:18" x14ac:dyDescent="0.25">
      <c r="A295" s="8"/>
      <c r="B295" s="9"/>
      <c r="C295" s="10"/>
      <c r="D295" s="10"/>
      <c r="E295" s="9"/>
      <c r="F295" s="11"/>
      <c r="G295" s="9"/>
      <c r="H295" s="10"/>
      <c r="I295" s="10"/>
      <c r="J295" s="11"/>
      <c r="K295" s="11"/>
      <c r="L295" s="11"/>
      <c r="M295" s="10"/>
      <c r="N295" s="11"/>
      <c r="O295" s="10"/>
      <c r="P295" s="11"/>
      <c r="Q295" s="11"/>
      <c r="R295" s="12"/>
    </row>
    <row r="296" spans="1:18" x14ac:dyDescent="0.25">
      <c r="A296" s="8"/>
      <c r="B296" s="9"/>
      <c r="C296" s="10"/>
      <c r="D296" s="10"/>
      <c r="E296" s="9"/>
      <c r="F296" s="11"/>
      <c r="G296" s="9"/>
      <c r="H296" s="10"/>
      <c r="I296" s="10"/>
      <c r="J296" s="11"/>
      <c r="K296" s="11"/>
      <c r="L296" s="11"/>
      <c r="M296" s="10"/>
      <c r="N296" s="11"/>
      <c r="O296" s="10"/>
      <c r="P296" s="11"/>
      <c r="Q296" s="11"/>
      <c r="R296" s="12"/>
    </row>
    <row r="297" spans="1:18" x14ac:dyDescent="0.25">
      <c r="A297" s="8"/>
      <c r="B297" s="9"/>
      <c r="C297" s="10"/>
      <c r="D297" s="10"/>
      <c r="E297" s="9"/>
      <c r="F297" s="11"/>
      <c r="G297" s="9"/>
      <c r="H297" s="10"/>
      <c r="I297" s="10"/>
      <c r="J297" s="11"/>
      <c r="K297" s="11"/>
      <c r="L297" s="11"/>
      <c r="M297" s="10"/>
      <c r="N297" s="11"/>
      <c r="O297" s="10"/>
      <c r="P297" s="11"/>
      <c r="Q297" s="11"/>
      <c r="R297" s="12"/>
    </row>
    <row r="298" spans="1:18" x14ac:dyDescent="0.25">
      <c r="A298" s="8"/>
      <c r="B298" s="9"/>
      <c r="C298" s="10"/>
      <c r="D298" s="10"/>
      <c r="E298" s="9"/>
      <c r="F298" s="11"/>
      <c r="G298" s="9"/>
      <c r="H298" s="10"/>
      <c r="I298" s="10"/>
      <c r="J298" s="11"/>
      <c r="K298" s="11"/>
      <c r="L298" s="11"/>
      <c r="M298" s="10"/>
      <c r="N298" s="11"/>
      <c r="O298" s="10"/>
      <c r="P298" s="11"/>
      <c r="Q298" s="11"/>
      <c r="R298" s="12"/>
    </row>
    <row r="299" spans="1:18" x14ac:dyDescent="0.25">
      <c r="A299" s="8"/>
      <c r="B299" s="9"/>
      <c r="C299" s="10"/>
      <c r="D299" s="10"/>
      <c r="E299" s="9"/>
      <c r="F299" s="11"/>
      <c r="G299" s="9"/>
      <c r="H299" s="10"/>
      <c r="I299" s="10"/>
      <c r="J299" s="11"/>
      <c r="K299" s="11"/>
      <c r="L299" s="11"/>
      <c r="M299" s="10"/>
      <c r="N299" s="11"/>
      <c r="O299" s="10"/>
      <c r="P299" s="11"/>
      <c r="Q299" s="11"/>
      <c r="R299" s="12"/>
    </row>
    <row r="300" spans="1:18" x14ac:dyDescent="0.25">
      <c r="A300" s="8"/>
      <c r="B300" s="9"/>
      <c r="C300" s="10"/>
      <c r="D300" s="10"/>
      <c r="E300" s="9"/>
      <c r="F300" s="11"/>
      <c r="G300" s="9"/>
      <c r="H300" s="10"/>
      <c r="I300" s="10"/>
      <c r="J300" s="11"/>
      <c r="K300" s="11"/>
      <c r="L300" s="11"/>
      <c r="M300" s="10"/>
      <c r="N300" s="11"/>
      <c r="O300" s="10"/>
      <c r="P300" s="11"/>
      <c r="Q300" s="11"/>
      <c r="R300" s="12"/>
    </row>
    <row r="301" spans="1:18" x14ac:dyDescent="0.25">
      <c r="A301" s="8"/>
      <c r="B301" s="9"/>
      <c r="C301" s="10"/>
      <c r="D301" s="10"/>
      <c r="E301" s="9"/>
      <c r="F301" s="11"/>
      <c r="G301" s="9"/>
      <c r="H301" s="10"/>
      <c r="I301" s="10"/>
      <c r="J301" s="11"/>
      <c r="K301" s="11"/>
      <c r="L301" s="11"/>
      <c r="M301" s="10"/>
      <c r="N301" s="11"/>
      <c r="O301" s="10"/>
      <c r="P301" s="11"/>
      <c r="Q301" s="11"/>
      <c r="R301" s="12"/>
    </row>
    <row r="302" spans="1:18" x14ac:dyDescent="0.25">
      <c r="A302" s="8"/>
      <c r="B302" s="9"/>
      <c r="C302" s="10"/>
      <c r="D302" s="10"/>
      <c r="E302" s="9"/>
      <c r="F302" s="11"/>
      <c r="G302" s="9"/>
      <c r="H302" s="10"/>
      <c r="I302" s="10"/>
      <c r="J302" s="11"/>
      <c r="K302" s="11"/>
      <c r="L302" s="11"/>
      <c r="M302" s="10"/>
      <c r="N302" s="11"/>
      <c r="O302" s="10"/>
      <c r="P302" s="11"/>
      <c r="Q302" s="11"/>
      <c r="R302" s="12"/>
    </row>
    <row r="303" spans="1:18" x14ac:dyDescent="0.25">
      <c r="A303" s="8"/>
      <c r="B303" s="9"/>
      <c r="C303" s="10"/>
      <c r="D303" s="10"/>
      <c r="E303" s="9"/>
      <c r="F303" s="11"/>
      <c r="G303" s="9"/>
      <c r="H303" s="10"/>
      <c r="I303" s="10"/>
      <c r="J303" s="11"/>
      <c r="K303" s="11"/>
      <c r="L303" s="11"/>
      <c r="M303" s="10"/>
      <c r="N303" s="11"/>
      <c r="O303" s="10"/>
      <c r="P303" s="11"/>
      <c r="Q303" s="11"/>
      <c r="R303" s="12"/>
    </row>
    <row r="304" spans="1:18" x14ac:dyDescent="0.25">
      <c r="A304" s="8"/>
      <c r="B304" s="9"/>
      <c r="C304" s="10"/>
      <c r="D304" s="10"/>
      <c r="E304" s="9"/>
      <c r="F304" s="11"/>
      <c r="G304" s="9"/>
      <c r="H304" s="10"/>
      <c r="I304" s="10"/>
      <c r="J304" s="11"/>
      <c r="K304" s="11"/>
      <c r="L304" s="11"/>
      <c r="M304" s="10"/>
      <c r="N304" s="11"/>
      <c r="O304" s="10"/>
      <c r="P304" s="11"/>
      <c r="Q304" s="11"/>
      <c r="R304" s="12"/>
    </row>
    <row r="305" spans="1:18" x14ac:dyDescent="0.25">
      <c r="A305" s="8"/>
      <c r="B305" s="9"/>
      <c r="C305" s="10"/>
      <c r="D305" s="10"/>
      <c r="E305" s="9"/>
      <c r="F305" s="11"/>
      <c r="G305" s="9"/>
      <c r="H305" s="10"/>
      <c r="I305" s="10"/>
      <c r="J305" s="11"/>
      <c r="K305" s="11"/>
      <c r="L305" s="11"/>
      <c r="M305" s="10"/>
      <c r="N305" s="11"/>
      <c r="O305" s="10"/>
      <c r="P305" s="11"/>
      <c r="Q305" s="11"/>
      <c r="R305" s="12"/>
    </row>
    <row r="306" spans="1:18" x14ac:dyDescent="0.25">
      <c r="A306" s="8"/>
      <c r="B306" s="9"/>
      <c r="C306" s="10"/>
      <c r="D306" s="10"/>
      <c r="E306" s="9"/>
      <c r="F306" s="11"/>
      <c r="G306" s="9"/>
      <c r="H306" s="10"/>
      <c r="I306" s="10"/>
      <c r="J306" s="11"/>
      <c r="K306" s="11"/>
      <c r="L306" s="11"/>
      <c r="M306" s="10"/>
      <c r="N306" s="11"/>
      <c r="O306" s="10"/>
      <c r="P306" s="11"/>
      <c r="Q306" s="11"/>
      <c r="R306" s="12"/>
    </row>
    <row r="307" spans="1:18" x14ac:dyDescent="0.25">
      <c r="A307" s="8"/>
      <c r="B307" s="9"/>
      <c r="C307" s="10"/>
      <c r="D307" s="10"/>
      <c r="E307" s="9"/>
      <c r="F307" s="11"/>
      <c r="G307" s="9"/>
      <c r="H307" s="10"/>
      <c r="I307" s="10"/>
      <c r="J307" s="11"/>
      <c r="K307" s="11"/>
      <c r="L307" s="11"/>
      <c r="M307" s="10"/>
      <c r="N307" s="11"/>
      <c r="O307" s="10"/>
      <c r="P307" s="11"/>
      <c r="Q307" s="11"/>
      <c r="R307" s="12"/>
    </row>
    <row r="308" spans="1:18" x14ac:dyDescent="0.25">
      <c r="A308" s="8"/>
      <c r="B308" s="9"/>
      <c r="C308" s="10"/>
      <c r="D308" s="10"/>
      <c r="E308" s="9"/>
      <c r="F308" s="11"/>
      <c r="G308" s="9"/>
      <c r="H308" s="10"/>
      <c r="I308" s="10"/>
      <c r="J308" s="11"/>
      <c r="K308" s="11"/>
      <c r="L308" s="11"/>
      <c r="M308" s="10"/>
      <c r="N308" s="11"/>
      <c r="O308" s="10"/>
      <c r="P308" s="11"/>
      <c r="Q308" s="11"/>
      <c r="R308" s="12"/>
    </row>
    <row r="309" spans="1:18" x14ac:dyDescent="0.25">
      <c r="A309" s="8"/>
      <c r="B309" s="9"/>
      <c r="C309" s="10"/>
      <c r="D309" s="10"/>
      <c r="E309" s="9"/>
      <c r="F309" s="11"/>
      <c r="G309" s="9"/>
      <c r="H309" s="10"/>
      <c r="I309" s="10"/>
      <c r="J309" s="11"/>
      <c r="K309" s="11"/>
      <c r="L309" s="11"/>
      <c r="M309" s="10"/>
      <c r="N309" s="11"/>
      <c r="O309" s="10"/>
      <c r="P309" s="11"/>
      <c r="Q309" s="11"/>
      <c r="R309" s="12"/>
    </row>
    <row r="310" spans="1:18" x14ac:dyDescent="0.25">
      <c r="A310" s="8"/>
      <c r="B310" s="9"/>
      <c r="C310" s="10"/>
      <c r="D310" s="10"/>
      <c r="E310" s="9"/>
      <c r="F310" s="11"/>
      <c r="G310" s="9"/>
      <c r="H310" s="10"/>
      <c r="I310" s="10"/>
      <c r="J310" s="11"/>
      <c r="K310" s="11"/>
      <c r="L310" s="11"/>
      <c r="M310" s="10"/>
      <c r="N310" s="11"/>
      <c r="O310" s="10"/>
      <c r="P310" s="11"/>
      <c r="Q310" s="11"/>
      <c r="R310" s="12"/>
    </row>
    <row r="311" spans="1:18" x14ac:dyDescent="0.25">
      <c r="A311" s="8"/>
      <c r="B311" s="9"/>
      <c r="C311" s="10"/>
      <c r="D311" s="10"/>
      <c r="E311" s="9"/>
      <c r="F311" s="11"/>
      <c r="G311" s="9"/>
      <c r="H311" s="10"/>
      <c r="I311" s="10"/>
      <c r="J311" s="11"/>
      <c r="K311" s="11"/>
      <c r="L311" s="11"/>
      <c r="M311" s="10"/>
      <c r="N311" s="11"/>
      <c r="O311" s="10"/>
      <c r="P311" s="11"/>
      <c r="Q311" s="11"/>
      <c r="R311" s="12"/>
    </row>
    <row r="312" spans="1:18" x14ac:dyDescent="0.25">
      <c r="A312" s="8"/>
      <c r="B312" s="9"/>
      <c r="C312" s="10"/>
      <c r="D312" s="10"/>
      <c r="E312" s="9"/>
      <c r="F312" s="11"/>
      <c r="G312" s="9"/>
      <c r="H312" s="10"/>
      <c r="I312" s="10"/>
      <c r="J312" s="11"/>
      <c r="K312" s="11"/>
      <c r="L312" s="11"/>
      <c r="M312" s="10"/>
      <c r="N312" s="11"/>
      <c r="O312" s="10"/>
      <c r="P312" s="11"/>
      <c r="Q312" s="11"/>
      <c r="R312" s="12"/>
    </row>
    <row r="313" spans="1:18" x14ac:dyDescent="0.25">
      <c r="A313" s="8"/>
      <c r="B313" s="9"/>
      <c r="C313" s="10"/>
      <c r="D313" s="10"/>
      <c r="E313" s="9"/>
      <c r="F313" s="11"/>
      <c r="G313" s="9"/>
      <c r="H313" s="10"/>
      <c r="I313" s="10"/>
      <c r="J313" s="11"/>
      <c r="K313" s="11"/>
      <c r="L313" s="11"/>
      <c r="M313" s="10"/>
      <c r="N313" s="11"/>
      <c r="O313" s="10"/>
      <c r="P313" s="11"/>
      <c r="Q313" s="11"/>
      <c r="R313" s="12"/>
    </row>
    <row r="314" spans="1:18" x14ac:dyDescent="0.25">
      <c r="A314" s="8"/>
      <c r="B314" s="9"/>
      <c r="C314" s="10"/>
      <c r="D314" s="10"/>
      <c r="E314" s="9"/>
      <c r="F314" s="11"/>
      <c r="G314" s="9"/>
      <c r="H314" s="10"/>
      <c r="I314" s="10"/>
      <c r="J314" s="11"/>
      <c r="K314" s="11"/>
      <c r="L314" s="11"/>
      <c r="M314" s="10"/>
      <c r="N314" s="11"/>
      <c r="O314" s="10"/>
      <c r="P314" s="11"/>
      <c r="Q314" s="11"/>
      <c r="R314" s="12"/>
    </row>
    <row r="315" spans="1:18" x14ac:dyDescent="0.25">
      <c r="A315" s="8"/>
      <c r="B315" s="9"/>
      <c r="C315" s="10"/>
      <c r="D315" s="10"/>
      <c r="E315" s="9"/>
      <c r="F315" s="11"/>
      <c r="G315" s="9"/>
      <c r="H315" s="10"/>
      <c r="I315" s="10"/>
      <c r="J315" s="11"/>
      <c r="K315" s="11"/>
      <c r="L315" s="11"/>
      <c r="M315" s="10"/>
      <c r="N315" s="11"/>
      <c r="O315" s="10"/>
      <c r="P315" s="11"/>
      <c r="Q315" s="11"/>
      <c r="R315" s="12"/>
    </row>
    <row r="316" spans="1:18" x14ac:dyDescent="0.25">
      <c r="A316" s="8"/>
      <c r="B316" s="9"/>
      <c r="C316" s="10"/>
      <c r="D316" s="10"/>
      <c r="E316" s="9"/>
      <c r="F316" s="11"/>
      <c r="G316" s="9"/>
      <c r="H316" s="10"/>
      <c r="I316" s="10"/>
      <c r="J316" s="11"/>
      <c r="K316" s="11"/>
      <c r="L316" s="11"/>
      <c r="M316" s="10"/>
      <c r="N316" s="11"/>
      <c r="O316" s="10"/>
      <c r="P316" s="11"/>
      <c r="Q316" s="11"/>
      <c r="R316" s="12"/>
    </row>
    <row r="317" spans="1:18" x14ac:dyDescent="0.25">
      <c r="A317" s="8"/>
      <c r="B317" s="9"/>
      <c r="C317" s="10"/>
      <c r="D317" s="10"/>
      <c r="E317" s="9"/>
      <c r="F317" s="11"/>
      <c r="G317" s="9"/>
      <c r="H317" s="10"/>
      <c r="I317" s="10"/>
      <c r="J317" s="11"/>
      <c r="K317" s="11"/>
      <c r="L317" s="11"/>
      <c r="M317" s="10"/>
      <c r="N317" s="11"/>
      <c r="O317" s="10"/>
      <c r="P317" s="11"/>
      <c r="Q317" s="11"/>
      <c r="R317" s="12"/>
    </row>
    <row r="318" spans="1:18" x14ac:dyDescent="0.25">
      <c r="A318" s="8"/>
      <c r="B318" s="9"/>
      <c r="C318" s="10"/>
      <c r="D318" s="10"/>
      <c r="E318" s="9"/>
      <c r="F318" s="11"/>
      <c r="G318" s="9"/>
      <c r="H318" s="10"/>
      <c r="I318" s="10"/>
      <c r="J318" s="11"/>
      <c r="K318" s="11"/>
      <c r="L318" s="11"/>
      <c r="M318" s="10"/>
      <c r="N318" s="11"/>
      <c r="O318" s="10"/>
      <c r="P318" s="11"/>
      <c r="Q318" s="11"/>
      <c r="R318" s="12"/>
    </row>
    <row r="319" spans="1:18" x14ac:dyDescent="0.25">
      <c r="A319" s="8"/>
      <c r="B319" s="9"/>
      <c r="C319" s="10"/>
      <c r="D319" s="10"/>
      <c r="E319" s="9"/>
      <c r="F319" s="11"/>
      <c r="G319" s="9"/>
      <c r="H319" s="10"/>
      <c r="I319" s="10"/>
      <c r="J319" s="11"/>
      <c r="K319" s="11"/>
      <c r="L319" s="11"/>
      <c r="M319" s="10"/>
      <c r="N319" s="11"/>
      <c r="O319" s="10"/>
      <c r="P319" s="11"/>
      <c r="Q319" s="11"/>
      <c r="R319" s="12"/>
    </row>
    <row r="320" spans="1:18" x14ac:dyDescent="0.25">
      <c r="A320" s="8"/>
      <c r="B320" s="9"/>
      <c r="C320" s="10"/>
      <c r="D320" s="10"/>
      <c r="E320" s="9"/>
      <c r="F320" s="11"/>
      <c r="G320" s="9"/>
      <c r="H320" s="10"/>
      <c r="I320" s="10"/>
      <c r="J320" s="11"/>
      <c r="K320" s="11"/>
      <c r="L320" s="11"/>
      <c r="M320" s="10"/>
      <c r="N320" s="11"/>
      <c r="O320" s="10"/>
      <c r="P320" s="11"/>
      <c r="Q320" s="11"/>
      <c r="R320" s="12"/>
    </row>
    <row r="321" spans="1:18" x14ac:dyDescent="0.25">
      <c r="A321" s="8"/>
      <c r="B321" s="9"/>
      <c r="C321" s="10"/>
      <c r="D321" s="10"/>
      <c r="E321" s="9"/>
      <c r="F321" s="11"/>
      <c r="G321" s="9"/>
      <c r="H321" s="10"/>
      <c r="I321" s="10"/>
      <c r="J321" s="11"/>
      <c r="K321" s="11"/>
      <c r="L321" s="11"/>
      <c r="M321" s="10"/>
      <c r="N321" s="11"/>
      <c r="O321" s="10"/>
      <c r="P321" s="11"/>
      <c r="Q321" s="11"/>
      <c r="R321" s="12"/>
    </row>
    <row r="322" spans="1:18" x14ac:dyDescent="0.25">
      <c r="A322" s="8"/>
      <c r="B322" s="9"/>
      <c r="C322" s="10"/>
      <c r="D322" s="10"/>
      <c r="E322" s="9"/>
      <c r="F322" s="11"/>
      <c r="G322" s="9"/>
      <c r="H322" s="10"/>
      <c r="I322" s="10"/>
      <c r="J322" s="11"/>
      <c r="K322" s="11"/>
      <c r="L322" s="11"/>
      <c r="M322" s="10"/>
      <c r="N322" s="11"/>
      <c r="O322" s="10"/>
      <c r="P322" s="11"/>
      <c r="Q322" s="11"/>
      <c r="R322" s="12"/>
    </row>
    <row r="323" spans="1:18" x14ac:dyDescent="0.25">
      <c r="A323" s="8"/>
      <c r="B323" s="9"/>
      <c r="C323" s="10"/>
      <c r="D323" s="10"/>
      <c r="E323" s="9"/>
      <c r="F323" s="11"/>
      <c r="G323" s="9"/>
      <c r="H323" s="10"/>
      <c r="I323" s="10"/>
      <c r="J323" s="11"/>
      <c r="K323" s="11"/>
      <c r="L323" s="11"/>
      <c r="M323" s="10"/>
      <c r="N323" s="11"/>
      <c r="O323" s="10"/>
      <c r="P323" s="11"/>
      <c r="Q323" s="11"/>
      <c r="R323" s="12"/>
    </row>
    <row r="324" spans="1:18" x14ac:dyDescent="0.25">
      <c r="A324" s="8"/>
      <c r="B324" s="9"/>
      <c r="C324" s="10"/>
      <c r="D324" s="10"/>
      <c r="E324" s="9"/>
      <c r="F324" s="11"/>
      <c r="G324" s="9"/>
      <c r="H324" s="10"/>
      <c r="I324" s="10"/>
      <c r="J324" s="11"/>
      <c r="K324" s="11"/>
      <c r="L324" s="11"/>
      <c r="M324" s="10"/>
      <c r="N324" s="11"/>
      <c r="O324" s="10"/>
      <c r="P324" s="11"/>
      <c r="Q324" s="11"/>
      <c r="R324" s="12"/>
    </row>
    <row r="325" spans="1:18" x14ac:dyDescent="0.25">
      <c r="A325" s="8"/>
      <c r="B325" s="9"/>
      <c r="C325" s="10"/>
      <c r="D325" s="10"/>
      <c r="E325" s="9"/>
      <c r="F325" s="11"/>
      <c r="G325" s="9"/>
      <c r="H325" s="10"/>
      <c r="I325" s="10"/>
      <c r="J325" s="11"/>
      <c r="K325" s="11"/>
      <c r="L325" s="11"/>
      <c r="M325" s="10"/>
      <c r="N325" s="11"/>
      <c r="O325" s="10"/>
      <c r="P325" s="11"/>
      <c r="Q325" s="11"/>
      <c r="R325" s="12"/>
    </row>
    <row r="326" spans="1:18" x14ac:dyDescent="0.25">
      <c r="A326" s="8"/>
      <c r="B326" s="9"/>
      <c r="C326" s="10"/>
      <c r="D326" s="10"/>
      <c r="E326" s="9"/>
      <c r="F326" s="11"/>
      <c r="G326" s="9"/>
      <c r="H326" s="10"/>
      <c r="I326" s="10"/>
      <c r="J326" s="11"/>
      <c r="K326" s="11"/>
      <c r="L326" s="11"/>
      <c r="M326" s="10"/>
      <c r="N326" s="11"/>
      <c r="O326" s="10"/>
      <c r="P326" s="11"/>
      <c r="Q326" s="11"/>
      <c r="R326" s="12"/>
    </row>
    <row r="327" spans="1:18" x14ac:dyDescent="0.25">
      <c r="A327" s="8"/>
      <c r="B327" s="9"/>
      <c r="C327" s="10"/>
      <c r="D327" s="10"/>
      <c r="E327" s="9"/>
      <c r="F327" s="11"/>
      <c r="G327" s="9"/>
      <c r="H327" s="10"/>
      <c r="I327" s="10"/>
      <c r="J327" s="11"/>
      <c r="K327" s="11"/>
      <c r="L327" s="11"/>
      <c r="M327" s="10"/>
      <c r="N327" s="11"/>
      <c r="O327" s="10"/>
      <c r="P327" s="11"/>
      <c r="Q327" s="11"/>
      <c r="R327" s="12"/>
    </row>
    <row r="328" spans="1:18" x14ac:dyDescent="0.25">
      <c r="A328" s="8"/>
      <c r="B328" s="9"/>
      <c r="C328" s="10"/>
      <c r="D328" s="10"/>
      <c r="E328" s="9"/>
      <c r="F328" s="11"/>
      <c r="G328" s="9"/>
      <c r="H328" s="10"/>
      <c r="I328" s="10"/>
      <c r="J328" s="11"/>
      <c r="K328" s="11"/>
      <c r="L328" s="11"/>
      <c r="M328" s="10"/>
      <c r="N328" s="11"/>
      <c r="O328" s="10"/>
      <c r="P328" s="11"/>
      <c r="Q328" s="11"/>
      <c r="R328" s="12"/>
    </row>
    <row r="329" spans="1:18" x14ac:dyDescent="0.25">
      <c r="A329" s="8"/>
      <c r="B329" s="9"/>
      <c r="C329" s="10"/>
      <c r="D329" s="10"/>
      <c r="E329" s="9"/>
      <c r="F329" s="11"/>
      <c r="G329" s="9"/>
      <c r="H329" s="10"/>
      <c r="I329" s="10"/>
      <c r="J329" s="11"/>
      <c r="K329" s="11"/>
      <c r="L329" s="11"/>
      <c r="M329" s="10"/>
      <c r="N329" s="11"/>
      <c r="O329" s="10"/>
      <c r="P329" s="11"/>
      <c r="Q329" s="11"/>
      <c r="R329" s="12"/>
    </row>
    <row r="330" spans="1:18" x14ac:dyDescent="0.25">
      <c r="A330" s="8"/>
      <c r="B330" s="9"/>
      <c r="C330" s="10"/>
      <c r="D330" s="10"/>
      <c r="E330" s="9"/>
      <c r="F330" s="11"/>
      <c r="G330" s="9"/>
      <c r="H330" s="10"/>
      <c r="I330" s="10"/>
      <c r="J330" s="11"/>
      <c r="K330" s="11"/>
      <c r="L330" s="11"/>
      <c r="M330" s="10"/>
      <c r="N330" s="11"/>
      <c r="O330" s="10"/>
      <c r="P330" s="11"/>
      <c r="Q330" s="11"/>
      <c r="R330" s="12"/>
    </row>
    <row r="331" spans="1:18" x14ac:dyDescent="0.25">
      <c r="A331" s="8"/>
      <c r="B331" s="9"/>
      <c r="C331" s="10"/>
      <c r="D331" s="10"/>
      <c r="E331" s="9"/>
      <c r="F331" s="11"/>
      <c r="G331" s="9"/>
      <c r="H331" s="10"/>
      <c r="I331" s="10"/>
      <c r="J331" s="11"/>
      <c r="K331" s="11"/>
      <c r="L331" s="11"/>
      <c r="M331" s="10"/>
      <c r="N331" s="11"/>
      <c r="O331" s="10"/>
      <c r="P331" s="11"/>
      <c r="Q331" s="11"/>
      <c r="R331" s="12"/>
    </row>
    <row r="332" spans="1:18" x14ac:dyDescent="0.25">
      <c r="A332" s="8"/>
      <c r="B332" s="9"/>
      <c r="C332" s="10"/>
      <c r="D332" s="10"/>
      <c r="E332" s="9"/>
      <c r="F332" s="11"/>
      <c r="G332" s="9"/>
      <c r="H332" s="10"/>
      <c r="I332" s="10"/>
      <c r="J332" s="11"/>
      <c r="K332" s="11"/>
      <c r="L332" s="11"/>
      <c r="M332" s="10"/>
      <c r="N332" s="11"/>
      <c r="O332" s="10"/>
      <c r="P332" s="11"/>
      <c r="Q332" s="11"/>
      <c r="R332" s="12"/>
    </row>
    <row r="333" spans="1:18" x14ac:dyDescent="0.25">
      <c r="A333" s="8"/>
      <c r="B333" s="9"/>
      <c r="C333" s="10"/>
      <c r="D333" s="10"/>
      <c r="E333" s="9"/>
      <c r="F333" s="11"/>
      <c r="G333" s="9"/>
      <c r="H333" s="10"/>
      <c r="I333" s="10"/>
      <c r="J333" s="11"/>
      <c r="K333" s="11"/>
      <c r="L333" s="11"/>
      <c r="M333" s="10"/>
      <c r="N333" s="11"/>
      <c r="O333" s="10"/>
      <c r="P333" s="11"/>
      <c r="Q333" s="11"/>
      <c r="R333" s="12"/>
    </row>
    <row r="334" spans="1:18" x14ac:dyDescent="0.25">
      <c r="A334" s="8"/>
      <c r="B334" s="9"/>
      <c r="C334" s="10"/>
      <c r="D334" s="10"/>
      <c r="E334" s="9"/>
      <c r="F334" s="11"/>
      <c r="G334" s="9"/>
      <c r="H334" s="10"/>
      <c r="I334" s="10"/>
      <c r="J334" s="11"/>
      <c r="K334" s="11"/>
      <c r="L334" s="11"/>
      <c r="M334" s="10"/>
      <c r="N334" s="11"/>
      <c r="O334" s="10"/>
      <c r="P334" s="11"/>
      <c r="Q334" s="11"/>
      <c r="R334" s="12"/>
    </row>
    <row r="335" spans="1:18" x14ac:dyDescent="0.25">
      <c r="A335" s="8"/>
      <c r="B335" s="9"/>
      <c r="C335" s="10"/>
      <c r="D335" s="10"/>
      <c r="E335" s="9"/>
      <c r="F335" s="11"/>
      <c r="G335" s="9"/>
      <c r="H335" s="10"/>
      <c r="I335" s="10"/>
      <c r="J335" s="11"/>
      <c r="K335" s="11"/>
      <c r="L335" s="11"/>
      <c r="M335" s="10"/>
      <c r="N335" s="11"/>
      <c r="O335" s="10"/>
      <c r="P335" s="11"/>
      <c r="Q335" s="11"/>
      <c r="R335" s="12"/>
    </row>
    <row r="336" spans="1:18" x14ac:dyDescent="0.25">
      <c r="A336" s="8"/>
      <c r="B336" s="9"/>
      <c r="C336" s="10"/>
      <c r="D336" s="10"/>
      <c r="E336" s="9"/>
      <c r="F336" s="11"/>
      <c r="G336" s="9"/>
      <c r="H336" s="10"/>
      <c r="I336" s="10"/>
      <c r="J336" s="11"/>
      <c r="K336" s="11"/>
      <c r="L336" s="11"/>
      <c r="M336" s="10"/>
      <c r="N336" s="11"/>
      <c r="O336" s="10"/>
      <c r="P336" s="11"/>
      <c r="Q336" s="11"/>
      <c r="R336" s="12"/>
    </row>
    <row r="337" spans="1:18" x14ac:dyDescent="0.25">
      <c r="A337" s="8"/>
      <c r="B337" s="9"/>
      <c r="C337" s="10"/>
      <c r="D337" s="10"/>
      <c r="E337" s="9"/>
      <c r="F337" s="11"/>
      <c r="G337" s="9"/>
      <c r="H337" s="10"/>
      <c r="I337" s="10"/>
      <c r="J337" s="11"/>
      <c r="K337" s="11"/>
      <c r="L337" s="11"/>
      <c r="M337" s="10"/>
      <c r="N337" s="11"/>
      <c r="O337" s="10"/>
      <c r="P337" s="11"/>
      <c r="Q337" s="11"/>
      <c r="R337" s="12"/>
    </row>
    <row r="338" spans="1:18" x14ac:dyDescent="0.25">
      <c r="A338" s="8"/>
      <c r="B338" s="9"/>
      <c r="C338" s="10"/>
      <c r="D338" s="10"/>
      <c r="E338" s="9"/>
      <c r="F338" s="11"/>
      <c r="G338" s="9"/>
      <c r="H338" s="10"/>
      <c r="I338" s="10"/>
      <c r="J338" s="11"/>
      <c r="K338" s="11"/>
      <c r="L338" s="11"/>
      <c r="M338" s="10"/>
      <c r="N338" s="11"/>
      <c r="O338" s="10"/>
      <c r="P338" s="11"/>
      <c r="Q338" s="11"/>
      <c r="R338" s="12"/>
    </row>
    <row r="339" spans="1:18" x14ac:dyDescent="0.25">
      <c r="A339" s="8"/>
      <c r="B339" s="9"/>
      <c r="C339" s="10"/>
      <c r="D339" s="10"/>
      <c r="E339" s="9"/>
      <c r="F339" s="11"/>
      <c r="G339" s="9"/>
      <c r="H339" s="10"/>
      <c r="I339" s="10"/>
      <c r="J339" s="11"/>
      <c r="K339" s="11"/>
      <c r="L339" s="11"/>
      <c r="M339" s="10"/>
      <c r="N339" s="11"/>
      <c r="O339" s="10"/>
      <c r="P339" s="11"/>
      <c r="Q339" s="11"/>
      <c r="R339" s="12"/>
    </row>
    <row r="340" spans="1:18" x14ac:dyDescent="0.25">
      <c r="A340" s="8"/>
      <c r="B340" s="9"/>
      <c r="C340" s="10"/>
      <c r="D340" s="10"/>
      <c r="E340" s="9"/>
      <c r="F340" s="11"/>
      <c r="G340" s="9"/>
      <c r="H340" s="10"/>
      <c r="I340" s="10"/>
      <c r="J340" s="11"/>
      <c r="K340" s="11"/>
      <c r="L340" s="11"/>
      <c r="M340" s="10"/>
      <c r="N340" s="11"/>
      <c r="O340" s="10"/>
      <c r="P340" s="11"/>
      <c r="Q340" s="11"/>
      <c r="R340" s="12"/>
    </row>
    <row r="341" spans="1:18" x14ac:dyDescent="0.25">
      <c r="A341" s="8"/>
      <c r="B341" s="9"/>
      <c r="C341" s="10"/>
      <c r="D341" s="10"/>
      <c r="E341" s="9"/>
      <c r="F341" s="11"/>
      <c r="G341" s="9"/>
      <c r="H341" s="10"/>
      <c r="I341" s="10"/>
      <c r="J341" s="11"/>
      <c r="K341" s="11"/>
      <c r="L341" s="11"/>
      <c r="M341" s="10"/>
      <c r="N341" s="11"/>
      <c r="O341" s="10"/>
      <c r="P341" s="11"/>
      <c r="Q341" s="11"/>
      <c r="R341" s="12"/>
    </row>
    <row r="342" spans="1:18" x14ac:dyDescent="0.25">
      <c r="A342" s="8"/>
      <c r="B342" s="9"/>
      <c r="C342" s="10"/>
      <c r="D342" s="10"/>
      <c r="E342" s="9"/>
      <c r="F342" s="11"/>
      <c r="G342" s="9"/>
      <c r="H342" s="10"/>
      <c r="I342" s="10"/>
      <c r="J342" s="11"/>
      <c r="K342" s="11"/>
      <c r="L342" s="11"/>
      <c r="M342" s="10"/>
      <c r="N342" s="11"/>
      <c r="O342" s="10"/>
      <c r="P342" s="11"/>
      <c r="Q342" s="11"/>
      <c r="R342" s="12"/>
    </row>
    <row r="343" spans="1:18" x14ac:dyDescent="0.25">
      <c r="A343" s="8"/>
      <c r="B343" s="9"/>
      <c r="C343" s="10"/>
      <c r="D343" s="10"/>
      <c r="E343" s="9"/>
      <c r="F343" s="11"/>
      <c r="G343" s="9"/>
      <c r="H343" s="10"/>
      <c r="I343" s="10"/>
      <c r="J343" s="11"/>
      <c r="K343" s="11"/>
      <c r="L343" s="11"/>
      <c r="M343" s="10"/>
      <c r="N343" s="11"/>
      <c r="O343" s="10"/>
      <c r="P343" s="11"/>
      <c r="Q343" s="11"/>
      <c r="R343" s="12"/>
    </row>
    <row r="344" spans="1:18" x14ac:dyDescent="0.25">
      <c r="A344" s="8"/>
      <c r="B344" s="9"/>
      <c r="C344" s="10"/>
      <c r="D344" s="10"/>
      <c r="E344" s="9"/>
      <c r="F344" s="11"/>
      <c r="G344" s="9"/>
      <c r="H344" s="10"/>
      <c r="I344" s="10"/>
      <c r="J344" s="11"/>
      <c r="K344" s="11"/>
      <c r="L344" s="11"/>
      <c r="M344" s="10"/>
      <c r="N344" s="11"/>
      <c r="O344" s="10"/>
      <c r="P344" s="11"/>
      <c r="Q344" s="11"/>
      <c r="R344" s="12"/>
    </row>
    <row r="345" spans="1:18" x14ac:dyDescent="0.25">
      <c r="A345" s="8"/>
      <c r="B345" s="9"/>
      <c r="C345" s="10"/>
      <c r="D345" s="10"/>
      <c r="E345" s="9"/>
      <c r="F345" s="11"/>
      <c r="G345" s="9"/>
      <c r="H345" s="10"/>
      <c r="I345" s="10"/>
      <c r="J345" s="11"/>
      <c r="K345" s="11"/>
      <c r="L345" s="11"/>
      <c r="M345" s="10"/>
      <c r="N345" s="11"/>
      <c r="O345" s="10"/>
      <c r="P345" s="11"/>
      <c r="Q345" s="11"/>
      <c r="R345" s="12"/>
    </row>
    <row r="346" spans="1:18" x14ac:dyDescent="0.25">
      <c r="A346" s="8"/>
      <c r="B346" s="9"/>
      <c r="C346" s="10"/>
      <c r="D346" s="10"/>
      <c r="E346" s="9"/>
      <c r="F346" s="11"/>
      <c r="G346" s="9"/>
      <c r="H346" s="10"/>
      <c r="I346" s="10"/>
      <c r="J346" s="11"/>
      <c r="K346" s="11"/>
      <c r="L346" s="11"/>
      <c r="M346" s="10"/>
      <c r="N346" s="11"/>
      <c r="O346" s="10"/>
      <c r="P346" s="11"/>
      <c r="Q346" s="11"/>
      <c r="R346" s="12"/>
    </row>
    <row r="347" spans="1:18" x14ac:dyDescent="0.25">
      <c r="A347" s="8"/>
      <c r="B347" s="9"/>
      <c r="C347" s="10"/>
      <c r="D347" s="10"/>
      <c r="E347" s="9"/>
      <c r="F347" s="11"/>
      <c r="G347" s="9"/>
      <c r="H347" s="10"/>
      <c r="I347" s="10"/>
      <c r="J347" s="11"/>
      <c r="K347" s="11"/>
      <c r="L347" s="11"/>
      <c r="M347" s="10"/>
      <c r="N347" s="11"/>
      <c r="O347" s="10"/>
      <c r="P347" s="11"/>
      <c r="Q347" s="11"/>
      <c r="R347" s="12"/>
    </row>
    <row r="348" spans="1:18" x14ac:dyDescent="0.25">
      <c r="A348" s="8"/>
      <c r="B348" s="9"/>
      <c r="C348" s="10"/>
      <c r="D348" s="10"/>
      <c r="E348" s="9"/>
      <c r="F348" s="11"/>
      <c r="G348" s="9"/>
      <c r="H348" s="10"/>
      <c r="I348" s="10"/>
      <c r="J348" s="11"/>
      <c r="K348" s="11"/>
      <c r="L348" s="11"/>
      <c r="M348" s="10"/>
      <c r="N348" s="11"/>
      <c r="O348" s="10"/>
      <c r="P348" s="11"/>
      <c r="Q348" s="11"/>
      <c r="R348" s="12"/>
    </row>
    <row r="349" spans="1:18" x14ac:dyDescent="0.25">
      <c r="A349" s="8"/>
      <c r="B349" s="9"/>
      <c r="C349" s="10"/>
      <c r="D349" s="10"/>
      <c r="E349" s="9"/>
      <c r="F349" s="11"/>
      <c r="G349" s="9"/>
      <c r="H349" s="10"/>
      <c r="I349" s="10"/>
      <c r="J349" s="11"/>
      <c r="K349" s="11"/>
      <c r="L349" s="11"/>
      <c r="M349" s="10"/>
      <c r="N349" s="11"/>
      <c r="O349" s="10"/>
      <c r="P349" s="11"/>
      <c r="Q349" s="11"/>
      <c r="R349" s="12"/>
    </row>
    <row r="350" spans="1:18" x14ac:dyDescent="0.25">
      <c r="A350" s="8"/>
      <c r="B350" s="9"/>
      <c r="C350" s="10"/>
      <c r="D350" s="10"/>
      <c r="E350" s="9"/>
      <c r="F350" s="11"/>
      <c r="G350" s="9"/>
      <c r="H350" s="10"/>
      <c r="I350" s="10"/>
      <c r="J350" s="11"/>
      <c r="K350" s="11"/>
      <c r="L350" s="11"/>
      <c r="M350" s="10"/>
      <c r="N350" s="11"/>
      <c r="O350" s="10"/>
      <c r="P350" s="11"/>
      <c r="Q350" s="11"/>
      <c r="R350" s="12"/>
    </row>
    <row r="351" spans="1:18" x14ac:dyDescent="0.25">
      <c r="A351" s="8"/>
      <c r="B351" s="9"/>
      <c r="C351" s="10"/>
      <c r="D351" s="10"/>
      <c r="E351" s="9"/>
      <c r="F351" s="11"/>
      <c r="G351" s="9"/>
      <c r="H351" s="10"/>
      <c r="I351" s="10"/>
      <c r="J351" s="11"/>
      <c r="K351" s="11"/>
      <c r="L351" s="11"/>
      <c r="M351" s="10"/>
      <c r="N351" s="11"/>
      <c r="O351" s="10"/>
      <c r="P351" s="11"/>
      <c r="Q351" s="11"/>
      <c r="R351" s="12"/>
    </row>
    <row r="352" spans="1:18" x14ac:dyDescent="0.25">
      <c r="A352" s="8"/>
      <c r="B352" s="9"/>
      <c r="C352" s="10"/>
      <c r="D352" s="10"/>
      <c r="E352" s="9"/>
      <c r="F352" s="11"/>
      <c r="G352" s="9"/>
      <c r="H352" s="10"/>
      <c r="I352" s="10"/>
      <c r="J352" s="11"/>
      <c r="K352" s="11"/>
      <c r="L352" s="11"/>
      <c r="M352" s="10"/>
      <c r="N352" s="11"/>
      <c r="O352" s="10"/>
      <c r="P352" s="11"/>
      <c r="Q352" s="11"/>
      <c r="R352" s="12"/>
    </row>
    <row r="353" spans="1:18" x14ac:dyDescent="0.25">
      <c r="A353" s="8"/>
      <c r="B353" s="9"/>
      <c r="C353" s="10"/>
      <c r="D353" s="10"/>
      <c r="E353" s="9"/>
      <c r="F353" s="11"/>
      <c r="G353" s="9"/>
      <c r="H353" s="10"/>
      <c r="I353" s="10"/>
      <c r="J353" s="11"/>
      <c r="K353" s="11"/>
      <c r="L353" s="11"/>
      <c r="M353" s="10"/>
      <c r="N353" s="11"/>
      <c r="O353" s="10"/>
      <c r="P353" s="11"/>
      <c r="Q353" s="11"/>
      <c r="R353" s="12"/>
    </row>
    <row r="354" spans="1:18" x14ac:dyDescent="0.25">
      <c r="A354" s="8"/>
      <c r="B354" s="9"/>
      <c r="C354" s="10"/>
      <c r="D354" s="10"/>
      <c r="E354" s="9"/>
      <c r="F354" s="11"/>
      <c r="G354" s="9"/>
      <c r="H354" s="10"/>
      <c r="I354" s="10"/>
      <c r="J354" s="11"/>
      <c r="K354" s="11"/>
      <c r="L354" s="11"/>
      <c r="M354" s="10"/>
      <c r="N354" s="11"/>
      <c r="O354" s="10"/>
      <c r="P354" s="11"/>
      <c r="Q354" s="11"/>
      <c r="R354" s="12"/>
    </row>
    <row r="355" spans="1:18" x14ac:dyDescent="0.25">
      <c r="A355" s="8"/>
      <c r="B355" s="9"/>
      <c r="C355" s="10"/>
      <c r="D355" s="10"/>
      <c r="E355" s="9"/>
      <c r="F355" s="11"/>
      <c r="G355" s="9"/>
      <c r="H355" s="10"/>
      <c r="I355" s="10"/>
      <c r="J355" s="11"/>
      <c r="K355" s="11"/>
      <c r="L355" s="11"/>
      <c r="M355" s="10"/>
      <c r="N355" s="11"/>
      <c r="O355" s="10"/>
      <c r="P355" s="11"/>
      <c r="Q355" s="11"/>
      <c r="R355" s="12"/>
    </row>
    <row r="356" spans="1:18" x14ac:dyDescent="0.25">
      <c r="A356" s="8"/>
      <c r="B356" s="9"/>
      <c r="C356" s="10"/>
      <c r="D356" s="10"/>
      <c r="E356" s="9"/>
      <c r="F356" s="11"/>
      <c r="G356" s="9"/>
      <c r="H356" s="10"/>
      <c r="I356" s="10"/>
      <c r="J356" s="11"/>
      <c r="K356" s="11"/>
      <c r="L356" s="11"/>
      <c r="M356" s="10"/>
      <c r="N356" s="11"/>
      <c r="O356" s="10"/>
      <c r="P356" s="11"/>
      <c r="Q356" s="11"/>
      <c r="R356" s="12"/>
    </row>
    <row r="357" spans="1:18" x14ac:dyDescent="0.25">
      <c r="A357" s="8"/>
      <c r="B357" s="9"/>
      <c r="C357" s="10"/>
      <c r="D357" s="10"/>
      <c r="E357" s="9"/>
      <c r="F357" s="11"/>
      <c r="G357" s="9"/>
      <c r="H357" s="10"/>
      <c r="I357" s="10"/>
      <c r="J357" s="11"/>
      <c r="K357" s="11"/>
      <c r="L357" s="11"/>
      <c r="M357" s="10"/>
      <c r="N357" s="11"/>
      <c r="O357" s="10"/>
      <c r="P357" s="11"/>
      <c r="Q357" s="11"/>
      <c r="R357" s="12"/>
    </row>
    <row r="358" spans="1:18" x14ac:dyDescent="0.25">
      <c r="A358" s="8"/>
      <c r="B358" s="9"/>
      <c r="C358" s="10"/>
      <c r="D358" s="10"/>
      <c r="E358" s="9"/>
      <c r="F358" s="11"/>
      <c r="G358" s="9"/>
      <c r="H358" s="10"/>
      <c r="I358" s="10"/>
      <c r="J358" s="11"/>
      <c r="K358" s="11"/>
      <c r="L358" s="11"/>
      <c r="M358" s="10"/>
      <c r="N358" s="11"/>
      <c r="O358" s="10"/>
      <c r="P358" s="11"/>
      <c r="Q358" s="11"/>
      <c r="R358" s="12"/>
    </row>
    <row r="359" spans="1:18" x14ac:dyDescent="0.25">
      <c r="A359" s="8"/>
      <c r="B359" s="9"/>
      <c r="C359" s="10"/>
      <c r="D359" s="10"/>
      <c r="E359" s="9"/>
      <c r="F359" s="11"/>
      <c r="G359" s="9"/>
      <c r="H359" s="10"/>
      <c r="I359" s="10"/>
      <c r="J359" s="11"/>
      <c r="K359" s="11"/>
      <c r="L359" s="11"/>
      <c r="M359" s="10"/>
      <c r="N359" s="11"/>
      <c r="O359" s="10"/>
      <c r="P359" s="11"/>
      <c r="Q359" s="11"/>
      <c r="R359" s="12"/>
    </row>
    <row r="360" spans="1:18" x14ac:dyDescent="0.25">
      <c r="A360" s="8"/>
      <c r="B360" s="9"/>
      <c r="C360" s="10"/>
      <c r="D360" s="10"/>
      <c r="E360" s="9"/>
      <c r="F360" s="11"/>
      <c r="G360" s="9"/>
      <c r="H360" s="10"/>
      <c r="I360" s="10"/>
      <c r="J360" s="11"/>
      <c r="K360" s="11"/>
      <c r="L360" s="11"/>
      <c r="M360" s="10"/>
      <c r="N360" s="11"/>
      <c r="O360" s="10"/>
      <c r="P360" s="11"/>
      <c r="Q360" s="11"/>
      <c r="R360" s="12"/>
    </row>
    <row r="361" spans="1:18" x14ac:dyDescent="0.25">
      <c r="A361" s="8"/>
      <c r="B361" s="9"/>
      <c r="C361" s="10"/>
      <c r="D361" s="10"/>
      <c r="E361" s="9"/>
      <c r="F361" s="11"/>
      <c r="G361" s="9"/>
      <c r="H361" s="10"/>
      <c r="I361" s="10"/>
      <c r="J361" s="11"/>
      <c r="K361" s="11"/>
      <c r="L361" s="11"/>
      <c r="M361" s="10"/>
      <c r="N361" s="11"/>
      <c r="O361" s="10"/>
      <c r="P361" s="11"/>
      <c r="Q361" s="11"/>
      <c r="R361" s="12"/>
    </row>
    <row r="362" spans="1:18" x14ac:dyDescent="0.25">
      <c r="A362" s="8"/>
      <c r="B362" s="9"/>
      <c r="C362" s="10"/>
      <c r="D362" s="10"/>
      <c r="E362" s="9"/>
      <c r="F362" s="11"/>
      <c r="G362" s="9"/>
      <c r="H362" s="10"/>
      <c r="I362" s="10"/>
      <c r="J362" s="11"/>
      <c r="K362" s="11"/>
      <c r="L362" s="11"/>
      <c r="M362" s="10"/>
      <c r="N362" s="11"/>
      <c r="O362" s="10"/>
      <c r="P362" s="11"/>
      <c r="Q362" s="11"/>
      <c r="R362" s="12"/>
    </row>
    <row r="363" spans="1:18" x14ac:dyDescent="0.25">
      <c r="A363" s="8"/>
      <c r="B363" s="9"/>
      <c r="C363" s="10"/>
      <c r="D363" s="10"/>
      <c r="E363" s="9"/>
      <c r="F363" s="11"/>
      <c r="G363" s="9"/>
      <c r="H363" s="10"/>
      <c r="I363" s="10"/>
      <c r="J363" s="11"/>
      <c r="K363" s="11"/>
      <c r="L363" s="11"/>
      <c r="M363" s="10"/>
      <c r="N363" s="11"/>
      <c r="O363" s="10"/>
      <c r="P363" s="11"/>
      <c r="Q363" s="11"/>
      <c r="R363" s="12"/>
    </row>
    <row r="364" spans="1:18" x14ac:dyDescent="0.25">
      <c r="A364" s="8"/>
      <c r="B364" s="9"/>
      <c r="C364" s="10"/>
      <c r="D364" s="15"/>
      <c r="E364" s="9"/>
      <c r="F364" s="11"/>
      <c r="G364" s="9"/>
      <c r="H364" s="10"/>
      <c r="I364" s="10"/>
      <c r="J364" s="11"/>
      <c r="K364" s="11"/>
      <c r="L364" s="11"/>
      <c r="M364" s="10"/>
      <c r="N364" s="11"/>
      <c r="O364" s="10"/>
      <c r="P364" s="11"/>
      <c r="Q364" s="11"/>
      <c r="R364" s="12"/>
    </row>
    <row r="365" spans="1:18" x14ac:dyDescent="0.25">
      <c r="A365" s="8"/>
      <c r="B365" s="9"/>
      <c r="C365" s="10"/>
      <c r="D365" s="10"/>
      <c r="E365" s="9"/>
      <c r="F365" s="11"/>
      <c r="G365" s="9"/>
      <c r="H365" s="10"/>
      <c r="I365" s="10"/>
      <c r="J365" s="11"/>
      <c r="K365" s="11"/>
      <c r="L365" s="11"/>
      <c r="M365" s="10"/>
      <c r="N365" s="11"/>
      <c r="O365" s="10"/>
      <c r="P365" s="11"/>
      <c r="Q365" s="11"/>
      <c r="R365" s="12"/>
    </row>
    <row r="366" spans="1:18" x14ac:dyDescent="0.25">
      <c r="A366" s="8"/>
      <c r="B366" s="9"/>
      <c r="C366" s="10"/>
      <c r="D366" s="10"/>
      <c r="E366" s="9"/>
      <c r="F366" s="11"/>
      <c r="G366" s="9"/>
      <c r="H366" s="10"/>
      <c r="I366" s="10"/>
      <c r="J366" s="11"/>
      <c r="K366" s="11"/>
      <c r="L366" s="11"/>
      <c r="M366" s="10"/>
      <c r="N366" s="11"/>
      <c r="O366" s="10"/>
      <c r="P366" s="11"/>
      <c r="Q366" s="11"/>
      <c r="R366" s="12"/>
    </row>
    <row r="367" spans="1:18" x14ac:dyDescent="0.25">
      <c r="A367" s="8"/>
      <c r="B367" s="9"/>
      <c r="C367" s="10"/>
      <c r="D367" s="10"/>
      <c r="E367" s="9"/>
      <c r="F367" s="11"/>
      <c r="G367" s="9"/>
      <c r="H367" s="10"/>
      <c r="I367" s="10"/>
      <c r="J367" s="11"/>
      <c r="K367" s="11"/>
      <c r="L367" s="11"/>
      <c r="M367" s="10"/>
      <c r="N367" s="11"/>
      <c r="O367" s="10"/>
      <c r="P367" s="11"/>
      <c r="Q367" s="11"/>
      <c r="R367" s="12"/>
    </row>
    <row r="368" spans="1:18" x14ac:dyDescent="0.25">
      <c r="A368" s="8"/>
      <c r="B368" s="9"/>
      <c r="C368" s="10"/>
      <c r="D368" s="10"/>
      <c r="E368" s="9"/>
      <c r="F368" s="11"/>
      <c r="G368" s="9"/>
      <c r="H368" s="10"/>
      <c r="I368" s="10"/>
      <c r="J368" s="11"/>
      <c r="K368" s="11"/>
      <c r="L368" s="11"/>
      <c r="M368" s="10"/>
      <c r="N368" s="11"/>
      <c r="O368" s="10"/>
      <c r="P368" s="11"/>
      <c r="Q368" s="11"/>
      <c r="R368" s="12"/>
    </row>
    <row r="369" spans="1:18" x14ac:dyDescent="0.25">
      <c r="A369" s="8"/>
      <c r="B369" s="9"/>
      <c r="C369" s="10"/>
      <c r="D369" s="10"/>
      <c r="E369" s="9"/>
      <c r="F369" s="11"/>
      <c r="G369" s="9"/>
      <c r="H369" s="10"/>
      <c r="I369" s="10"/>
      <c r="J369" s="11"/>
      <c r="K369" s="11"/>
      <c r="L369" s="11"/>
      <c r="M369" s="10"/>
      <c r="N369" s="11"/>
      <c r="O369" s="10"/>
      <c r="P369" s="11"/>
      <c r="Q369" s="11"/>
      <c r="R369" s="12"/>
    </row>
    <row r="370" spans="1:18" x14ac:dyDescent="0.25">
      <c r="A370" s="8"/>
      <c r="B370" s="9"/>
      <c r="C370" s="10"/>
      <c r="D370" s="10"/>
      <c r="E370" s="9"/>
      <c r="F370" s="11"/>
      <c r="G370" s="9"/>
      <c r="H370" s="10"/>
      <c r="I370" s="10"/>
      <c r="J370" s="11"/>
      <c r="K370" s="11"/>
      <c r="L370" s="11"/>
      <c r="M370" s="10"/>
      <c r="N370" s="11"/>
      <c r="O370" s="10"/>
      <c r="P370" s="11"/>
      <c r="Q370" s="11"/>
      <c r="R370" s="12"/>
    </row>
    <row r="371" spans="1:18" x14ac:dyDescent="0.25">
      <c r="A371" s="8"/>
      <c r="B371" s="9"/>
      <c r="C371" s="10"/>
      <c r="D371" s="10"/>
      <c r="E371" s="9"/>
      <c r="F371" s="11"/>
      <c r="G371" s="9"/>
      <c r="H371" s="10"/>
      <c r="I371" s="10"/>
      <c r="J371" s="11"/>
      <c r="K371" s="11"/>
      <c r="L371" s="11"/>
      <c r="M371" s="10"/>
      <c r="N371" s="11"/>
      <c r="O371" s="10"/>
      <c r="P371" s="11"/>
      <c r="Q371" s="11"/>
      <c r="R371" s="12"/>
    </row>
    <row r="372" spans="1:18" x14ac:dyDescent="0.25">
      <c r="A372" s="8"/>
      <c r="B372" s="9"/>
      <c r="C372" s="10"/>
      <c r="D372" s="10"/>
      <c r="E372" s="9"/>
      <c r="F372" s="11"/>
      <c r="G372" s="9"/>
      <c r="H372" s="10"/>
      <c r="I372" s="10"/>
      <c r="J372" s="11"/>
      <c r="K372" s="11"/>
      <c r="L372" s="11"/>
      <c r="M372" s="10"/>
      <c r="N372" s="11"/>
      <c r="O372" s="10"/>
      <c r="P372" s="11"/>
      <c r="Q372" s="11"/>
      <c r="R372" s="12"/>
    </row>
    <row r="373" spans="1:18" x14ac:dyDescent="0.25">
      <c r="A373" s="8"/>
      <c r="B373" s="9"/>
      <c r="C373" s="10"/>
      <c r="D373" s="10"/>
      <c r="E373" s="9"/>
      <c r="F373" s="11"/>
      <c r="G373" s="9"/>
      <c r="H373" s="10"/>
      <c r="I373" s="10"/>
      <c r="J373" s="11"/>
      <c r="K373" s="11"/>
      <c r="L373" s="11"/>
      <c r="M373" s="10"/>
      <c r="N373" s="11"/>
      <c r="O373" s="10"/>
      <c r="P373" s="11"/>
      <c r="Q373" s="11"/>
      <c r="R373" s="12"/>
    </row>
    <row r="374" spans="1:18" x14ac:dyDescent="0.25">
      <c r="A374" s="8"/>
      <c r="B374" s="9"/>
      <c r="C374" s="10"/>
      <c r="D374" s="10"/>
      <c r="E374" s="9"/>
      <c r="F374" s="11"/>
      <c r="G374" s="9"/>
      <c r="H374" s="10"/>
      <c r="I374" s="10"/>
      <c r="J374" s="11"/>
      <c r="K374" s="11"/>
      <c r="L374" s="11"/>
      <c r="M374" s="10"/>
      <c r="N374" s="11"/>
      <c r="O374" s="10"/>
      <c r="P374" s="11"/>
      <c r="Q374" s="11"/>
      <c r="R374" s="12"/>
    </row>
    <row r="375" spans="1:18" x14ac:dyDescent="0.25">
      <c r="A375" s="8"/>
      <c r="B375" s="9"/>
      <c r="C375" s="10"/>
      <c r="D375" s="10"/>
      <c r="E375" s="9"/>
      <c r="F375" s="11"/>
      <c r="G375" s="9"/>
      <c r="H375" s="10"/>
      <c r="I375" s="10"/>
      <c r="J375" s="11"/>
      <c r="K375" s="11"/>
      <c r="L375" s="11"/>
      <c r="M375" s="10"/>
      <c r="N375" s="11"/>
      <c r="O375" s="10"/>
      <c r="P375" s="11"/>
      <c r="Q375" s="11"/>
      <c r="R375" s="12"/>
    </row>
    <row r="376" spans="1:18" x14ac:dyDescent="0.25">
      <c r="A376" s="8"/>
      <c r="B376" s="9"/>
      <c r="C376" s="10"/>
      <c r="D376" s="10"/>
      <c r="E376" s="9"/>
      <c r="F376" s="11"/>
      <c r="G376" s="9"/>
      <c r="H376" s="10"/>
      <c r="I376" s="10"/>
      <c r="J376" s="11"/>
      <c r="K376" s="11"/>
      <c r="L376" s="11"/>
      <c r="M376" s="10"/>
      <c r="N376" s="11"/>
      <c r="O376" s="10"/>
      <c r="P376" s="11"/>
      <c r="Q376" s="11"/>
      <c r="R376" s="12"/>
    </row>
    <row r="377" spans="1:18" x14ac:dyDescent="0.25">
      <c r="A377" s="8"/>
      <c r="B377" s="9"/>
      <c r="C377" s="10"/>
      <c r="D377" s="10"/>
      <c r="E377" s="9"/>
      <c r="F377" s="11"/>
      <c r="G377" s="9"/>
      <c r="H377" s="10"/>
      <c r="I377" s="10"/>
      <c r="J377" s="11"/>
      <c r="K377" s="11"/>
      <c r="L377" s="11"/>
      <c r="M377" s="10"/>
      <c r="N377" s="11"/>
      <c r="O377" s="10"/>
      <c r="P377" s="11"/>
      <c r="Q377" s="11"/>
      <c r="R377" s="12"/>
    </row>
    <row r="378" spans="1:18" x14ac:dyDescent="0.25">
      <c r="A378" s="8"/>
      <c r="B378" s="9"/>
      <c r="C378" s="10"/>
      <c r="D378" s="10"/>
      <c r="E378" s="9"/>
      <c r="F378" s="11"/>
      <c r="G378" s="9"/>
      <c r="H378" s="10"/>
      <c r="I378" s="10"/>
      <c r="J378" s="11"/>
      <c r="K378" s="11"/>
      <c r="L378" s="11"/>
      <c r="M378" s="10"/>
      <c r="N378" s="11"/>
      <c r="O378" s="10"/>
      <c r="P378" s="11"/>
      <c r="Q378" s="11"/>
      <c r="R378" s="12"/>
    </row>
    <row r="379" spans="1:18" x14ac:dyDescent="0.25">
      <c r="A379" s="8"/>
      <c r="B379" s="9"/>
      <c r="C379" s="10"/>
      <c r="D379" s="10"/>
      <c r="E379" s="9"/>
      <c r="F379" s="11"/>
      <c r="G379" s="9"/>
      <c r="H379" s="10"/>
      <c r="I379" s="10"/>
      <c r="J379" s="11"/>
      <c r="K379" s="11"/>
      <c r="L379" s="11"/>
      <c r="M379" s="10"/>
      <c r="N379" s="11"/>
      <c r="O379" s="10"/>
      <c r="P379" s="11"/>
      <c r="Q379" s="11"/>
      <c r="R379" s="12"/>
    </row>
    <row r="380" spans="1:18" x14ac:dyDescent="0.25">
      <c r="A380" s="8"/>
      <c r="B380" s="9"/>
      <c r="C380" s="10"/>
      <c r="D380" s="10"/>
      <c r="E380" s="9"/>
      <c r="F380" s="11"/>
      <c r="G380" s="9"/>
      <c r="H380" s="10"/>
      <c r="I380" s="10"/>
      <c r="J380" s="11"/>
      <c r="K380" s="11"/>
      <c r="L380" s="11"/>
      <c r="M380" s="10"/>
      <c r="N380" s="11"/>
      <c r="O380" s="10"/>
      <c r="P380" s="11"/>
      <c r="Q380" s="11"/>
      <c r="R380" s="12"/>
    </row>
    <row r="381" spans="1:18" x14ac:dyDescent="0.25">
      <c r="A381" s="8"/>
      <c r="B381" s="9"/>
      <c r="C381" s="10"/>
      <c r="D381" s="10"/>
      <c r="E381" s="9"/>
      <c r="F381" s="11"/>
      <c r="G381" s="9"/>
      <c r="H381" s="10"/>
      <c r="I381" s="10"/>
      <c r="J381" s="11"/>
      <c r="K381" s="11"/>
      <c r="L381" s="11"/>
      <c r="M381" s="10"/>
      <c r="N381" s="11"/>
      <c r="O381" s="10"/>
      <c r="P381" s="11"/>
      <c r="Q381" s="11"/>
      <c r="R381" s="12"/>
    </row>
    <row r="382" spans="1:18" x14ac:dyDescent="0.25">
      <c r="A382" s="8"/>
      <c r="B382" s="9"/>
      <c r="C382" s="10"/>
      <c r="D382" s="10"/>
      <c r="E382" s="9"/>
      <c r="F382" s="11"/>
      <c r="G382" s="9"/>
      <c r="H382" s="10"/>
      <c r="I382" s="10"/>
      <c r="J382" s="11"/>
      <c r="K382" s="11"/>
      <c r="L382" s="11"/>
      <c r="M382" s="10"/>
      <c r="N382" s="11"/>
      <c r="O382" s="10"/>
      <c r="P382" s="11"/>
      <c r="Q382" s="11"/>
      <c r="R382" s="12"/>
    </row>
    <row r="383" spans="1:18" x14ac:dyDescent="0.25">
      <c r="A383" s="8"/>
      <c r="B383" s="9"/>
      <c r="C383" s="10"/>
      <c r="D383" s="10"/>
      <c r="E383" s="9"/>
      <c r="F383" s="11"/>
      <c r="G383" s="9"/>
      <c r="H383" s="10"/>
      <c r="I383" s="10"/>
      <c r="J383" s="11"/>
      <c r="K383" s="11"/>
      <c r="L383" s="11"/>
      <c r="M383" s="10"/>
      <c r="N383" s="11"/>
      <c r="O383" s="10"/>
      <c r="P383" s="11"/>
      <c r="Q383" s="11"/>
      <c r="R383" s="12"/>
    </row>
    <row r="384" spans="1:18" x14ac:dyDescent="0.25">
      <c r="A384" s="8"/>
      <c r="B384" s="9"/>
      <c r="C384" s="10"/>
      <c r="D384" s="10"/>
      <c r="E384" s="9"/>
      <c r="F384" s="11"/>
      <c r="G384" s="9"/>
      <c r="H384" s="10"/>
      <c r="I384" s="10"/>
      <c r="J384" s="11"/>
      <c r="K384" s="11"/>
      <c r="L384" s="11"/>
      <c r="M384" s="10"/>
      <c r="N384" s="11"/>
      <c r="O384" s="10"/>
      <c r="P384" s="11"/>
      <c r="Q384" s="11"/>
      <c r="R384" s="12"/>
    </row>
    <row r="385" spans="1:18" x14ac:dyDescent="0.25">
      <c r="A385" s="8"/>
      <c r="B385" s="9"/>
      <c r="C385" s="10"/>
      <c r="D385" s="10"/>
      <c r="E385" s="9"/>
      <c r="F385" s="11"/>
      <c r="G385" s="9"/>
      <c r="H385" s="10"/>
      <c r="I385" s="10"/>
      <c r="J385" s="11"/>
      <c r="K385" s="11"/>
      <c r="L385" s="11"/>
      <c r="M385" s="10"/>
      <c r="N385" s="11"/>
      <c r="O385" s="10"/>
      <c r="P385" s="11"/>
      <c r="Q385" s="11"/>
      <c r="R385" s="12"/>
    </row>
    <row r="386" spans="1:18" x14ac:dyDescent="0.25">
      <c r="A386" s="8"/>
      <c r="B386" s="9"/>
      <c r="C386" s="10"/>
      <c r="D386" s="10"/>
      <c r="E386" s="9"/>
      <c r="F386" s="11"/>
      <c r="G386" s="9"/>
      <c r="H386" s="10"/>
      <c r="I386" s="10"/>
      <c r="J386" s="11"/>
      <c r="K386" s="11"/>
      <c r="L386" s="11"/>
      <c r="M386" s="10"/>
      <c r="N386" s="11"/>
      <c r="O386" s="10"/>
      <c r="P386" s="11"/>
      <c r="Q386" s="11"/>
      <c r="R386" s="12"/>
    </row>
    <row r="387" spans="1:18" x14ac:dyDescent="0.25">
      <c r="A387" s="8"/>
      <c r="B387" s="9"/>
      <c r="C387" s="10"/>
      <c r="D387" s="10"/>
      <c r="E387" s="9"/>
      <c r="F387" s="11"/>
      <c r="G387" s="9"/>
      <c r="H387" s="10"/>
      <c r="I387" s="10"/>
      <c r="J387" s="11"/>
      <c r="K387" s="11"/>
      <c r="L387" s="11"/>
      <c r="M387" s="10"/>
      <c r="N387" s="11"/>
      <c r="O387" s="10"/>
      <c r="P387" s="11"/>
      <c r="Q387" s="11"/>
      <c r="R387" s="12"/>
    </row>
    <row r="388" spans="1:18" x14ac:dyDescent="0.25">
      <c r="A388" s="8"/>
      <c r="B388" s="9"/>
      <c r="C388" s="10"/>
      <c r="D388" s="10"/>
      <c r="E388" s="9"/>
      <c r="F388" s="11"/>
      <c r="G388" s="9"/>
      <c r="H388" s="10"/>
      <c r="I388" s="10"/>
      <c r="J388" s="11"/>
      <c r="K388" s="11"/>
      <c r="L388" s="11"/>
      <c r="M388" s="10"/>
      <c r="N388" s="11"/>
      <c r="O388" s="10"/>
      <c r="P388" s="11"/>
      <c r="Q388" s="11"/>
      <c r="R388" s="12"/>
    </row>
    <row r="389" spans="1:18" x14ac:dyDescent="0.25">
      <c r="A389" s="8"/>
      <c r="B389" s="9"/>
      <c r="C389" s="10"/>
      <c r="D389" s="10"/>
      <c r="E389" s="9"/>
      <c r="F389" s="11"/>
      <c r="G389" s="9"/>
      <c r="H389" s="10"/>
      <c r="I389" s="10"/>
      <c r="J389" s="11"/>
      <c r="K389" s="11"/>
      <c r="L389" s="11"/>
      <c r="M389" s="10"/>
      <c r="N389" s="11"/>
      <c r="O389" s="10"/>
      <c r="P389" s="11"/>
      <c r="Q389" s="11"/>
      <c r="R389" s="12"/>
    </row>
    <row r="390" spans="1:18" x14ac:dyDescent="0.25">
      <c r="A390" s="8"/>
      <c r="B390" s="9"/>
      <c r="C390" s="10"/>
      <c r="D390" s="10"/>
      <c r="E390" s="9"/>
      <c r="F390" s="11"/>
      <c r="G390" s="9"/>
      <c r="H390" s="10"/>
      <c r="I390" s="10"/>
      <c r="J390" s="11"/>
      <c r="K390" s="11"/>
      <c r="L390" s="11"/>
      <c r="M390" s="10"/>
      <c r="N390" s="11"/>
      <c r="O390" s="10"/>
      <c r="P390" s="11"/>
      <c r="Q390" s="11"/>
      <c r="R390" s="12"/>
    </row>
    <row r="391" spans="1:18" x14ac:dyDescent="0.25">
      <c r="A391" s="8"/>
      <c r="B391" s="9"/>
      <c r="C391" s="10"/>
      <c r="D391" s="10"/>
      <c r="E391" s="9"/>
      <c r="F391" s="11"/>
      <c r="G391" s="9"/>
      <c r="H391" s="10"/>
      <c r="I391" s="10"/>
      <c r="J391" s="11"/>
      <c r="K391" s="11"/>
      <c r="L391" s="11"/>
      <c r="M391" s="10"/>
      <c r="N391" s="11"/>
      <c r="O391" s="10"/>
      <c r="P391" s="11"/>
      <c r="Q391" s="11"/>
      <c r="R391" s="12"/>
    </row>
    <row r="392" spans="1:18" x14ac:dyDescent="0.25">
      <c r="A392" s="8"/>
      <c r="B392" s="9"/>
      <c r="C392" s="10"/>
      <c r="D392" s="10"/>
      <c r="E392" s="9"/>
      <c r="F392" s="11"/>
      <c r="G392" s="9"/>
      <c r="H392" s="10"/>
      <c r="I392" s="10"/>
      <c r="J392" s="11"/>
      <c r="K392" s="11"/>
      <c r="L392" s="11"/>
      <c r="M392" s="10"/>
      <c r="N392" s="11"/>
      <c r="O392" s="10"/>
      <c r="P392" s="11"/>
      <c r="Q392" s="11"/>
      <c r="R392" s="12"/>
    </row>
    <row r="393" spans="1:18" x14ac:dyDescent="0.25">
      <c r="A393" s="8"/>
      <c r="B393" s="9"/>
      <c r="C393" s="10"/>
      <c r="D393" s="10"/>
      <c r="E393" s="9"/>
      <c r="F393" s="11"/>
      <c r="G393" s="9"/>
      <c r="H393" s="10"/>
      <c r="I393" s="10"/>
      <c r="J393" s="11"/>
      <c r="K393" s="11"/>
      <c r="L393" s="11"/>
      <c r="M393" s="10"/>
      <c r="N393" s="11"/>
      <c r="O393" s="10"/>
      <c r="P393" s="11"/>
      <c r="Q393" s="11"/>
      <c r="R393" s="12"/>
    </row>
    <row r="394" spans="1:18" x14ac:dyDescent="0.25">
      <c r="A394" s="8"/>
      <c r="B394" s="9"/>
      <c r="C394" s="10"/>
      <c r="D394" s="10"/>
      <c r="E394" s="9"/>
      <c r="F394" s="11"/>
      <c r="G394" s="9"/>
      <c r="H394" s="10"/>
      <c r="I394" s="10"/>
      <c r="J394" s="11"/>
      <c r="K394" s="11"/>
      <c r="L394" s="11"/>
      <c r="M394" s="10"/>
      <c r="N394" s="11"/>
      <c r="O394" s="10"/>
      <c r="P394" s="11"/>
      <c r="Q394" s="11"/>
      <c r="R394" s="12"/>
    </row>
    <row r="395" spans="1:18" x14ac:dyDescent="0.25">
      <c r="A395" s="8"/>
      <c r="B395" s="9"/>
      <c r="C395" s="10"/>
      <c r="D395" s="10"/>
      <c r="E395" s="9"/>
      <c r="F395" s="11"/>
      <c r="G395" s="9"/>
      <c r="H395" s="10"/>
      <c r="I395" s="10"/>
      <c r="J395" s="11"/>
      <c r="K395" s="11"/>
      <c r="L395" s="11"/>
      <c r="M395" s="10"/>
      <c r="N395" s="11"/>
      <c r="O395" s="10"/>
      <c r="P395" s="11"/>
      <c r="Q395" s="11"/>
      <c r="R395" s="12"/>
    </row>
    <row r="396" spans="1:18" x14ac:dyDescent="0.25">
      <c r="A396" s="8"/>
      <c r="B396" s="9"/>
      <c r="C396" s="10"/>
      <c r="D396" s="10"/>
      <c r="E396" s="9"/>
      <c r="F396" s="11"/>
      <c r="G396" s="9"/>
      <c r="H396" s="10"/>
      <c r="I396" s="10"/>
      <c r="J396" s="11"/>
      <c r="K396" s="11"/>
      <c r="L396" s="11"/>
      <c r="M396" s="10"/>
      <c r="N396" s="11"/>
      <c r="O396" s="10"/>
      <c r="P396" s="11"/>
      <c r="Q396" s="11"/>
      <c r="R396" s="12"/>
    </row>
    <row r="397" spans="1:18" x14ac:dyDescent="0.25">
      <c r="A397" s="8"/>
      <c r="B397" s="9"/>
      <c r="C397" s="10"/>
      <c r="D397" s="10"/>
      <c r="E397" s="9"/>
      <c r="F397" s="11"/>
      <c r="G397" s="9"/>
      <c r="H397" s="10"/>
      <c r="I397" s="10"/>
      <c r="J397" s="11"/>
      <c r="K397" s="11"/>
      <c r="L397" s="11"/>
      <c r="M397" s="10"/>
      <c r="N397" s="11"/>
      <c r="O397" s="10"/>
      <c r="P397" s="11"/>
      <c r="Q397" s="11"/>
      <c r="R397" s="12"/>
    </row>
    <row r="398" spans="1:18" x14ac:dyDescent="0.25">
      <c r="A398" s="8"/>
      <c r="B398" s="9"/>
      <c r="C398" s="10"/>
      <c r="D398" s="10"/>
      <c r="E398" s="9"/>
      <c r="F398" s="11"/>
      <c r="G398" s="9"/>
      <c r="H398" s="10"/>
      <c r="I398" s="10"/>
      <c r="J398" s="11"/>
      <c r="K398" s="11"/>
      <c r="L398" s="11"/>
      <c r="M398" s="10"/>
      <c r="N398" s="11"/>
      <c r="O398" s="10"/>
      <c r="P398" s="11"/>
      <c r="Q398" s="11"/>
      <c r="R398" s="12"/>
    </row>
    <row r="399" spans="1:18" x14ac:dyDescent="0.25">
      <c r="A399" s="8"/>
      <c r="B399" s="9"/>
      <c r="C399" s="10"/>
      <c r="D399" s="10"/>
      <c r="E399" s="9"/>
      <c r="F399" s="11"/>
      <c r="G399" s="9"/>
      <c r="H399" s="10"/>
      <c r="I399" s="10"/>
      <c r="J399" s="11"/>
      <c r="K399" s="11"/>
      <c r="L399" s="11"/>
      <c r="M399" s="10"/>
      <c r="N399" s="11"/>
      <c r="O399" s="10"/>
      <c r="P399" s="11"/>
      <c r="Q399" s="11"/>
      <c r="R399" s="12"/>
    </row>
    <row r="400" spans="1:18" x14ac:dyDescent="0.25">
      <c r="A400" s="8"/>
      <c r="B400" s="9"/>
      <c r="C400" s="10"/>
      <c r="D400" s="10"/>
      <c r="E400" s="9"/>
      <c r="F400" s="11"/>
      <c r="G400" s="9"/>
      <c r="H400" s="10"/>
      <c r="I400" s="10"/>
      <c r="J400" s="11"/>
      <c r="K400" s="11"/>
      <c r="L400" s="11"/>
      <c r="M400" s="10"/>
      <c r="N400" s="11"/>
      <c r="O400" s="10"/>
      <c r="P400" s="11"/>
      <c r="Q400" s="11"/>
      <c r="R400" s="12"/>
    </row>
    <row r="401" spans="1:18" x14ac:dyDescent="0.25">
      <c r="A401" s="8"/>
      <c r="B401" s="9"/>
      <c r="C401" s="10"/>
      <c r="D401" s="10"/>
      <c r="E401" s="9"/>
      <c r="F401" s="11"/>
      <c r="G401" s="9"/>
      <c r="H401" s="10"/>
      <c r="I401" s="10"/>
      <c r="J401" s="11"/>
      <c r="K401" s="11"/>
      <c r="L401" s="11"/>
      <c r="M401" s="10"/>
      <c r="N401" s="11"/>
      <c r="O401" s="10"/>
      <c r="P401" s="11"/>
      <c r="Q401" s="11"/>
      <c r="R401" s="12"/>
    </row>
    <row r="402" spans="1:18" x14ac:dyDescent="0.25">
      <c r="A402" s="8"/>
      <c r="B402" s="9"/>
      <c r="C402" s="10"/>
      <c r="D402" s="10"/>
      <c r="E402" s="9"/>
      <c r="F402" s="11"/>
      <c r="G402" s="9"/>
      <c r="H402" s="10"/>
      <c r="I402" s="10"/>
      <c r="J402" s="11"/>
      <c r="K402" s="11"/>
      <c r="L402" s="11"/>
      <c r="M402" s="10"/>
      <c r="N402" s="11"/>
      <c r="O402" s="10"/>
      <c r="P402" s="11"/>
      <c r="Q402" s="11"/>
      <c r="R402" s="12"/>
    </row>
    <row r="403" spans="1:18" x14ac:dyDescent="0.25">
      <c r="A403" s="8"/>
      <c r="B403" s="9"/>
      <c r="C403" s="10"/>
      <c r="D403" s="10"/>
      <c r="E403" s="9"/>
      <c r="F403" s="11"/>
      <c r="G403" s="9"/>
      <c r="H403" s="10"/>
      <c r="I403" s="10"/>
      <c r="J403" s="11"/>
      <c r="K403" s="11"/>
      <c r="L403" s="11"/>
      <c r="M403" s="10"/>
      <c r="N403" s="11"/>
      <c r="O403" s="10"/>
      <c r="P403" s="11"/>
      <c r="Q403" s="11"/>
      <c r="R403" s="12"/>
    </row>
    <row r="404" spans="1:18" x14ac:dyDescent="0.25">
      <c r="A404" s="8"/>
      <c r="B404" s="9"/>
      <c r="C404" s="10"/>
      <c r="D404" s="10"/>
      <c r="E404" s="9"/>
      <c r="F404" s="11"/>
      <c r="G404" s="9"/>
      <c r="H404" s="10"/>
      <c r="I404" s="10"/>
      <c r="J404" s="11"/>
      <c r="K404" s="11"/>
      <c r="L404" s="11"/>
      <c r="M404" s="10"/>
      <c r="N404" s="11"/>
      <c r="O404" s="10"/>
      <c r="P404" s="11"/>
      <c r="Q404" s="11"/>
      <c r="R404" s="12"/>
    </row>
    <row r="405" spans="1:18" x14ac:dyDescent="0.25">
      <c r="A405" s="8"/>
      <c r="B405" s="9"/>
      <c r="C405" s="10"/>
      <c r="D405" s="10"/>
      <c r="E405" s="9"/>
      <c r="F405" s="11"/>
      <c r="G405" s="9"/>
      <c r="H405" s="10"/>
      <c r="I405" s="10"/>
      <c r="J405" s="11"/>
      <c r="K405" s="11"/>
      <c r="L405" s="11"/>
      <c r="M405" s="10"/>
      <c r="N405" s="11"/>
      <c r="O405" s="10"/>
      <c r="P405" s="11"/>
      <c r="Q405" s="11"/>
      <c r="R405" s="12"/>
    </row>
    <row r="406" spans="1:18" x14ac:dyDescent="0.25">
      <c r="A406" s="8"/>
      <c r="B406" s="9"/>
      <c r="C406" s="10"/>
      <c r="D406" s="10"/>
      <c r="E406" s="9"/>
      <c r="F406" s="11"/>
      <c r="G406" s="9"/>
      <c r="H406" s="10"/>
      <c r="I406" s="10"/>
      <c r="J406" s="11"/>
      <c r="K406" s="11"/>
      <c r="L406" s="11"/>
      <c r="M406" s="10"/>
      <c r="N406" s="11"/>
      <c r="O406" s="10"/>
      <c r="P406" s="11"/>
      <c r="Q406" s="11"/>
      <c r="R406" s="12"/>
    </row>
    <row r="407" spans="1:18" x14ac:dyDescent="0.25">
      <c r="A407" s="8"/>
      <c r="B407" s="9"/>
      <c r="C407" s="10"/>
      <c r="D407" s="10"/>
      <c r="E407" s="9"/>
      <c r="F407" s="11"/>
      <c r="G407" s="9"/>
      <c r="H407" s="10"/>
      <c r="I407" s="10"/>
      <c r="J407" s="11"/>
      <c r="K407" s="11"/>
      <c r="L407" s="11"/>
      <c r="M407" s="10"/>
      <c r="N407" s="11"/>
      <c r="O407" s="10"/>
      <c r="P407" s="11"/>
      <c r="Q407" s="11"/>
      <c r="R407" s="12"/>
    </row>
    <row r="408" spans="1:18" x14ac:dyDescent="0.25">
      <c r="A408" s="8"/>
      <c r="B408" s="9"/>
      <c r="C408" s="10"/>
      <c r="D408" s="10"/>
      <c r="E408" s="9"/>
      <c r="F408" s="11"/>
      <c r="G408" s="9"/>
      <c r="H408" s="10"/>
      <c r="I408" s="10"/>
      <c r="J408" s="11"/>
      <c r="K408" s="11"/>
      <c r="L408" s="11"/>
      <c r="M408" s="10"/>
      <c r="N408" s="11"/>
      <c r="O408" s="10"/>
      <c r="P408" s="11"/>
      <c r="Q408" s="11"/>
      <c r="R408" s="12"/>
    </row>
    <row r="409" spans="1:18" x14ac:dyDescent="0.25">
      <c r="A409" s="8"/>
      <c r="B409" s="9"/>
      <c r="C409" s="10"/>
      <c r="D409" s="10"/>
      <c r="E409" s="9"/>
      <c r="F409" s="11"/>
      <c r="G409" s="9"/>
      <c r="H409" s="10"/>
      <c r="I409" s="10"/>
      <c r="J409" s="11"/>
      <c r="K409" s="11"/>
      <c r="L409" s="11"/>
      <c r="M409" s="10"/>
      <c r="N409" s="11"/>
      <c r="O409" s="10"/>
      <c r="P409" s="11"/>
      <c r="Q409" s="11"/>
      <c r="R409" s="12"/>
    </row>
    <row r="410" spans="1:18" x14ac:dyDescent="0.25">
      <c r="A410" s="8"/>
      <c r="B410" s="9"/>
      <c r="C410" s="10"/>
      <c r="D410" s="10"/>
      <c r="E410" s="9"/>
      <c r="F410" s="11"/>
      <c r="G410" s="9"/>
      <c r="H410" s="10"/>
      <c r="I410" s="10"/>
      <c r="J410" s="11"/>
      <c r="K410" s="11"/>
      <c r="L410" s="11"/>
      <c r="M410" s="10"/>
      <c r="N410" s="11"/>
      <c r="O410" s="10"/>
      <c r="P410" s="11"/>
      <c r="Q410" s="11"/>
      <c r="R410" s="12"/>
    </row>
    <row r="411" spans="1:18" x14ac:dyDescent="0.25">
      <c r="A411" s="8"/>
      <c r="B411" s="9"/>
      <c r="C411" s="10"/>
      <c r="D411" s="10"/>
      <c r="E411" s="9"/>
      <c r="F411" s="11"/>
      <c r="G411" s="9"/>
      <c r="H411" s="10"/>
      <c r="I411" s="10"/>
      <c r="J411" s="11"/>
      <c r="K411" s="11"/>
      <c r="L411" s="11"/>
      <c r="M411" s="10"/>
      <c r="N411" s="11"/>
      <c r="O411" s="10"/>
      <c r="P411" s="11"/>
      <c r="Q411" s="11"/>
      <c r="R411" s="12"/>
    </row>
    <row r="412" spans="1:18" x14ac:dyDescent="0.25">
      <c r="A412" s="8"/>
      <c r="B412" s="9"/>
      <c r="C412" s="10"/>
      <c r="D412" s="10"/>
      <c r="E412" s="9"/>
      <c r="F412" s="11"/>
      <c r="G412" s="9"/>
      <c r="H412" s="10"/>
      <c r="I412" s="10"/>
      <c r="J412" s="11"/>
      <c r="K412" s="11"/>
      <c r="L412" s="11"/>
      <c r="M412" s="10"/>
      <c r="N412" s="11"/>
      <c r="O412" s="10"/>
      <c r="P412" s="11"/>
      <c r="Q412" s="11"/>
      <c r="R412" s="12"/>
    </row>
    <row r="413" spans="1:18" x14ac:dyDescent="0.25">
      <c r="A413" s="8"/>
      <c r="B413" s="9"/>
      <c r="C413" s="10"/>
      <c r="D413" s="10"/>
      <c r="E413" s="9"/>
      <c r="F413" s="11"/>
      <c r="G413" s="9"/>
      <c r="H413" s="10"/>
      <c r="I413" s="10"/>
      <c r="J413" s="11"/>
      <c r="K413" s="11"/>
      <c r="L413" s="11"/>
      <c r="M413" s="10"/>
      <c r="N413" s="11"/>
      <c r="O413" s="10"/>
      <c r="P413" s="11"/>
      <c r="Q413" s="11"/>
      <c r="R413" s="12"/>
    </row>
    <row r="414" spans="1:18" x14ac:dyDescent="0.25">
      <c r="A414" s="8"/>
      <c r="B414" s="9"/>
      <c r="C414" s="10"/>
      <c r="D414" s="10"/>
      <c r="E414" s="9"/>
      <c r="F414" s="11"/>
      <c r="G414" s="9"/>
      <c r="H414" s="10"/>
      <c r="I414" s="10"/>
      <c r="J414" s="11"/>
      <c r="K414" s="11"/>
      <c r="L414" s="11"/>
      <c r="M414" s="10"/>
      <c r="N414" s="11"/>
      <c r="O414" s="10"/>
      <c r="P414" s="11"/>
      <c r="Q414" s="11"/>
      <c r="R414" s="12"/>
    </row>
    <row r="415" spans="1:18" x14ac:dyDescent="0.25">
      <c r="A415" s="8"/>
      <c r="B415" s="9"/>
      <c r="C415" s="10"/>
      <c r="D415" s="10"/>
      <c r="E415" s="9"/>
      <c r="F415" s="11"/>
      <c r="G415" s="9"/>
      <c r="H415" s="10"/>
      <c r="I415" s="10"/>
      <c r="J415" s="11"/>
      <c r="K415" s="11"/>
      <c r="L415" s="11"/>
      <c r="M415" s="10"/>
      <c r="N415" s="11"/>
      <c r="O415" s="10"/>
      <c r="P415" s="11"/>
      <c r="Q415" s="11"/>
      <c r="R415" s="12"/>
    </row>
    <row r="416" spans="1:18" x14ac:dyDescent="0.25">
      <c r="A416" s="8"/>
      <c r="B416" s="9"/>
      <c r="C416" s="10"/>
      <c r="D416" s="10"/>
      <c r="E416" s="9"/>
      <c r="F416" s="11"/>
      <c r="G416" s="9"/>
      <c r="H416" s="10"/>
      <c r="I416" s="10"/>
      <c r="J416" s="11"/>
      <c r="K416" s="11"/>
      <c r="L416" s="11"/>
      <c r="M416" s="10"/>
      <c r="N416" s="11"/>
      <c r="O416" s="10"/>
      <c r="P416" s="11"/>
      <c r="Q416" s="11"/>
      <c r="R416" s="12"/>
    </row>
    <row r="417" spans="1:18" x14ac:dyDescent="0.25">
      <c r="A417" s="8"/>
      <c r="B417" s="9"/>
      <c r="C417" s="10"/>
      <c r="D417" s="10"/>
      <c r="E417" s="9"/>
      <c r="F417" s="11"/>
      <c r="G417" s="9"/>
      <c r="H417" s="10"/>
      <c r="I417" s="10"/>
      <c r="J417" s="11"/>
      <c r="K417" s="11"/>
      <c r="L417" s="11"/>
      <c r="M417" s="10"/>
      <c r="N417" s="11"/>
      <c r="O417" s="10"/>
      <c r="P417" s="11"/>
      <c r="Q417" s="11"/>
      <c r="R417" s="12"/>
    </row>
    <row r="418" spans="1:18" x14ac:dyDescent="0.25">
      <c r="A418" s="8"/>
      <c r="B418" s="9"/>
      <c r="C418" s="10"/>
      <c r="D418" s="10"/>
      <c r="E418" s="9"/>
      <c r="F418" s="11"/>
      <c r="G418" s="9"/>
      <c r="H418" s="10"/>
      <c r="I418" s="10"/>
      <c r="J418" s="11"/>
      <c r="K418" s="11"/>
      <c r="L418" s="11"/>
      <c r="M418" s="10"/>
      <c r="N418" s="11"/>
      <c r="O418" s="10"/>
      <c r="P418" s="11"/>
      <c r="Q418" s="11"/>
      <c r="R418" s="12"/>
    </row>
    <row r="419" spans="1:18" x14ac:dyDescent="0.25">
      <c r="A419" s="8"/>
      <c r="B419" s="9"/>
      <c r="C419" s="10"/>
      <c r="D419" s="10"/>
      <c r="E419" s="9"/>
      <c r="F419" s="11"/>
      <c r="G419" s="9"/>
      <c r="H419" s="10"/>
      <c r="I419" s="10"/>
      <c r="J419" s="11"/>
      <c r="K419" s="11"/>
      <c r="L419" s="11"/>
      <c r="M419" s="10"/>
      <c r="N419" s="11"/>
      <c r="O419" s="10"/>
      <c r="P419" s="11"/>
      <c r="Q419" s="11"/>
      <c r="R419" s="12"/>
    </row>
    <row r="420" spans="1:18" x14ac:dyDescent="0.25">
      <c r="A420" s="8"/>
      <c r="B420" s="9"/>
      <c r="C420" s="10"/>
      <c r="D420" s="10"/>
      <c r="E420" s="9"/>
      <c r="F420" s="11"/>
      <c r="G420" s="9"/>
      <c r="H420" s="10"/>
      <c r="I420" s="10"/>
      <c r="J420" s="11"/>
      <c r="K420" s="11"/>
      <c r="L420" s="11"/>
      <c r="M420" s="10"/>
      <c r="N420" s="11"/>
      <c r="O420" s="10"/>
      <c r="P420" s="11"/>
      <c r="Q420" s="11"/>
      <c r="R420" s="12"/>
    </row>
    <row r="421" spans="1:18" x14ac:dyDescent="0.25">
      <c r="A421" s="8"/>
      <c r="B421" s="9"/>
      <c r="C421" s="10"/>
      <c r="D421" s="10"/>
      <c r="E421" s="9"/>
      <c r="F421" s="11"/>
      <c r="G421" s="9"/>
      <c r="H421" s="10"/>
      <c r="I421" s="10"/>
      <c r="J421" s="11"/>
      <c r="K421" s="11"/>
      <c r="L421" s="11"/>
      <c r="M421" s="10"/>
      <c r="N421" s="11"/>
      <c r="O421" s="10"/>
      <c r="P421" s="11"/>
      <c r="Q421" s="11"/>
      <c r="R421" s="12"/>
    </row>
    <row r="422" spans="1:18" x14ac:dyDescent="0.25">
      <c r="A422" s="8"/>
      <c r="B422" s="9"/>
      <c r="C422" s="10"/>
      <c r="D422" s="10"/>
      <c r="E422" s="9"/>
      <c r="F422" s="11"/>
      <c r="G422" s="9"/>
      <c r="H422" s="10"/>
      <c r="I422" s="10"/>
      <c r="J422" s="11"/>
      <c r="K422" s="11"/>
      <c r="L422" s="11"/>
      <c r="M422" s="10"/>
      <c r="N422" s="11"/>
      <c r="O422" s="10"/>
      <c r="P422" s="11"/>
      <c r="Q422" s="11"/>
      <c r="R422" s="12"/>
    </row>
    <row r="423" spans="1:18" x14ac:dyDescent="0.25">
      <c r="A423" s="8"/>
      <c r="B423" s="9"/>
      <c r="C423" s="10"/>
      <c r="D423" s="10"/>
      <c r="E423" s="9"/>
      <c r="F423" s="11"/>
      <c r="G423" s="9"/>
      <c r="H423" s="10"/>
      <c r="I423" s="10"/>
      <c r="J423" s="11"/>
      <c r="K423" s="11"/>
      <c r="L423" s="11"/>
      <c r="M423" s="10"/>
      <c r="N423" s="11"/>
      <c r="O423" s="10"/>
      <c r="P423" s="11"/>
      <c r="Q423" s="11"/>
      <c r="R423" s="12"/>
    </row>
    <row r="424" spans="1:18" x14ac:dyDescent="0.25">
      <c r="A424" s="8"/>
      <c r="B424" s="9"/>
      <c r="C424" s="10"/>
      <c r="D424" s="10"/>
      <c r="E424" s="9"/>
      <c r="F424" s="11"/>
      <c r="G424" s="9"/>
      <c r="H424" s="10"/>
      <c r="I424" s="10"/>
      <c r="J424" s="11"/>
      <c r="K424" s="11"/>
      <c r="L424" s="11"/>
      <c r="M424" s="10"/>
      <c r="N424" s="11"/>
      <c r="O424" s="10"/>
      <c r="P424" s="11"/>
      <c r="Q424" s="11"/>
      <c r="R424" s="12"/>
    </row>
    <row r="425" spans="1:18" x14ac:dyDescent="0.25">
      <c r="A425" s="8"/>
      <c r="B425" s="9"/>
      <c r="C425" s="10"/>
      <c r="D425" s="10"/>
      <c r="E425" s="9"/>
      <c r="F425" s="11"/>
      <c r="G425" s="9"/>
      <c r="H425" s="10"/>
      <c r="I425" s="10"/>
      <c r="J425" s="11"/>
      <c r="K425" s="11"/>
      <c r="L425" s="11"/>
      <c r="M425" s="10"/>
      <c r="N425" s="11"/>
      <c r="O425" s="10"/>
      <c r="P425" s="11"/>
      <c r="Q425" s="11"/>
      <c r="R425" s="12"/>
    </row>
    <row r="426" spans="1:18" x14ac:dyDescent="0.25">
      <c r="A426" s="8"/>
      <c r="B426" s="9"/>
      <c r="C426" s="10"/>
      <c r="D426" s="10"/>
      <c r="E426" s="9"/>
      <c r="F426" s="11"/>
      <c r="G426" s="9"/>
      <c r="H426" s="10"/>
      <c r="I426" s="10"/>
      <c r="J426" s="11"/>
      <c r="K426" s="11"/>
      <c r="L426" s="11"/>
      <c r="M426" s="10"/>
      <c r="N426" s="11"/>
      <c r="O426" s="10"/>
      <c r="P426" s="11"/>
      <c r="Q426" s="11"/>
      <c r="R426" s="12"/>
    </row>
    <row r="427" spans="1:18" x14ac:dyDescent="0.25">
      <c r="A427" s="8"/>
      <c r="B427" s="9"/>
      <c r="C427" s="10"/>
      <c r="D427" s="10"/>
      <c r="E427" s="9"/>
      <c r="F427" s="11"/>
      <c r="G427" s="9"/>
      <c r="H427" s="10"/>
      <c r="I427" s="10"/>
      <c r="J427" s="11"/>
      <c r="K427" s="11"/>
      <c r="L427" s="11"/>
      <c r="M427" s="10"/>
      <c r="N427" s="11"/>
      <c r="O427" s="10"/>
      <c r="P427" s="11"/>
      <c r="Q427" s="11"/>
      <c r="R427" s="12"/>
    </row>
    <row r="428" spans="1:18" x14ac:dyDescent="0.25">
      <c r="A428" s="8"/>
      <c r="B428" s="9"/>
      <c r="C428" s="10"/>
      <c r="D428" s="10"/>
      <c r="E428" s="9"/>
      <c r="F428" s="11"/>
      <c r="G428" s="9"/>
      <c r="H428" s="10"/>
      <c r="I428" s="10"/>
      <c r="J428" s="11"/>
      <c r="K428" s="11"/>
      <c r="L428" s="11"/>
      <c r="M428" s="10"/>
      <c r="N428" s="11"/>
      <c r="O428" s="10"/>
      <c r="P428" s="11"/>
      <c r="Q428" s="11"/>
      <c r="R428" s="12"/>
    </row>
    <row r="429" spans="1:18" x14ac:dyDescent="0.25">
      <c r="A429" s="8"/>
      <c r="B429" s="9"/>
      <c r="C429" s="10"/>
      <c r="D429" s="10"/>
      <c r="E429" s="9"/>
      <c r="F429" s="11"/>
      <c r="G429" s="9"/>
      <c r="H429" s="10"/>
      <c r="I429" s="10"/>
      <c r="J429" s="11"/>
      <c r="K429" s="11"/>
      <c r="L429" s="11"/>
      <c r="M429" s="10"/>
      <c r="N429" s="11"/>
      <c r="O429" s="10"/>
      <c r="P429" s="11"/>
      <c r="Q429" s="11"/>
      <c r="R429" s="12"/>
    </row>
    <row r="430" spans="1:18" x14ac:dyDescent="0.25">
      <c r="A430" s="8"/>
      <c r="B430" s="9"/>
      <c r="C430" s="10"/>
      <c r="D430" s="10"/>
      <c r="E430" s="9"/>
      <c r="F430" s="11"/>
      <c r="G430" s="9"/>
      <c r="H430" s="10"/>
      <c r="I430" s="10"/>
      <c r="J430" s="11"/>
      <c r="K430" s="11"/>
      <c r="L430" s="11"/>
      <c r="M430" s="10"/>
      <c r="N430" s="11"/>
      <c r="O430" s="10"/>
      <c r="P430" s="11"/>
      <c r="Q430" s="11"/>
      <c r="R430" s="12"/>
    </row>
    <row r="431" spans="1:18" x14ac:dyDescent="0.25">
      <c r="A431" s="8"/>
      <c r="B431" s="9"/>
      <c r="C431" s="10"/>
      <c r="D431" s="10"/>
      <c r="E431" s="9"/>
      <c r="F431" s="11"/>
      <c r="G431" s="9"/>
      <c r="H431" s="10"/>
      <c r="I431" s="10"/>
      <c r="J431" s="11"/>
      <c r="K431" s="11"/>
      <c r="L431" s="11"/>
      <c r="M431" s="10"/>
      <c r="N431" s="11"/>
      <c r="O431" s="10"/>
      <c r="P431" s="11"/>
      <c r="Q431" s="11"/>
      <c r="R431" s="12"/>
    </row>
    <row r="432" spans="1:18" x14ac:dyDescent="0.25">
      <c r="A432" s="8"/>
      <c r="B432" s="9"/>
      <c r="C432" s="10"/>
      <c r="D432" s="10"/>
      <c r="E432" s="9"/>
      <c r="F432" s="11"/>
      <c r="G432" s="9"/>
      <c r="H432" s="10"/>
      <c r="I432" s="10"/>
      <c r="J432" s="11"/>
      <c r="K432" s="11"/>
      <c r="L432" s="11"/>
      <c r="M432" s="10"/>
      <c r="N432" s="11"/>
      <c r="O432" s="10"/>
      <c r="P432" s="11"/>
      <c r="Q432" s="11"/>
      <c r="R432" s="12"/>
    </row>
    <row r="433" spans="1:18" x14ac:dyDescent="0.25">
      <c r="A433" s="8"/>
      <c r="B433" s="9"/>
      <c r="C433" s="10"/>
      <c r="D433" s="10"/>
      <c r="E433" s="9"/>
      <c r="F433" s="11"/>
      <c r="G433" s="9"/>
      <c r="H433" s="10"/>
      <c r="I433" s="10"/>
      <c r="J433" s="11"/>
      <c r="K433" s="11"/>
      <c r="L433" s="11"/>
      <c r="M433" s="10"/>
      <c r="N433" s="11"/>
      <c r="O433" s="10"/>
      <c r="P433" s="11"/>
      <c r="Q433" s="11"/>
      <c r="R433" s="12"/>
    </row>
    <row r="434" spans="1:18" x14ac:dyDescent="0.25">
      <c r="A434" s="8"/>
      <c r="B434" s="9"/>
      <c r="C434" s="10"/>
      <c r="D434" s="10"/>
      <c r="E434" s="9"/>
      <c r="F434" s="11"/>
      <c r="G434" s="9"/>
      <c r="H434" s="10"/>
      <c r="I434" s="10"/>
      <c r="J434" s="11"/>
      <c r="K434" s="11"/>
      <c r="L434" s="11"/>
      <c r="M434" s="10"/>
      <c r="N434" s="11"/>
      <c r="O434" s="10"/>
      <c r="P434" s="11"/>
      <c r="Q434" s="11"/>
      <c r="R434" s="12"/>
    </row>
    <row r="435" spans="1:18" x14ac:dyDescent="0.25">
      <c r="A435" s="8"/>
      <c r="B435" s="9"/>
      <c r="C435" s="10"/>
      <c r="D435" s="10"/>
      <c r="E435" s="9"/>
      <c r="F435" s="11"/>
      <c r="G435" s="9"/>
      <c r="H435" s="10"/>
      <c r="I435" s="10"/>
      <c r="J435" s="11"/>
      <c r="K435" s="11"/>
      <c r="L435" s="11"/>
      <c r="M435" s="10"/>
      <c r="N435" s="11"/>
      <c r="O435" s="10"/>
      <c r="P435" s="11"/>
      <c r="Q435" s="11"/>
      <c r="R435" s="12"/>
    </row>
    <row r="436" spans="1:18" x14ac:dyDescent="0.25">
      <c r="A436" s="8"/>
      <c r="B436" s="9"/>
      <c r="C436" s="10"/>
      <c r="D436" s="10"/>
      <c r="E436" s="9"/>
      <c r="F436" s="11"/>
      <c r="G436" s="9"/>
      <c r="H436" s="10"/>
      <c r="I436" s="10"/>
      <c r="J436" s="11"/>
      <c r="K436" s="11"/>
      <c r="L436" s="11"/>
      <c r="M436" s="10"/>
      <c r="N436" s="11"/>
      <c r="O436" s="10"/>
      <c r="P436" s="11"/>
      <c r="Q436" s="11"/>
      <c r="R436" s="12"/>
    </row>
    <row r="437" spans="1:18" x14ac:dyDescent="0.25">
      <c r="A437" s="8"/>
      <c r="B437" s="9"/>
      <c r="C437" s="10"/>
      <c r="D437" s="10"/>
      <c r="E437" s="9"/>
      <c r="F437" s="11"/>
      <c r="G437" s="9"/>
      <c r="H437" s="10"/>
      <c r="I437" s="10"/>
      <c r="J437" s="11"/>
      <c r="K437" s="11"/>
      <c r="L437" s="11"/>
      <c r="M437" s="10"/>
      <c r="N437" s="11"/>
      <c r="O437" s="10"/>
      <c r="P437" s="11"/>
      <c r="Q437" s="11"/>
      <c r="R437" s="12"/>
    </row>
    <row r="438" spans="1:18" x14ac:dyDescent="0.25">
      <c r="A438" s="8"/>
      <c r="B438" s="9"/>
      <c r="C438" s="10"/>
      <c r="D438" s="10"/>
      <c r="E438" s="9"/>
      <c r="F438" s="11"/>
      <c r="G438" s="9"/>
      <c r="H438" s="10"/>
      <c r="I438" s="10"/>
      <c r="J438" s="11"/>
      <c r="K438" s="11"/>
      <c r="L438" s="11"/>
      <c r="M438" s="10"/>
      <c r="N438" s="11"/>
      <c r="O438" s="10"/>
      <c r="P438" s="11"/>
      <c r="Q438" s="11"/>
      <c r="R438" s="12"/>
    </row>
    <row r="439" spans="1:18" x14ac:dyDescent="0.25">
      <c r="A439" s="8"/>
      <c r="B439" s="9"/>
      <c r="C439" s="10"/>
      <c r="D439" s="10"/>
      <c r="E439" s="9"/>
      <c r="F439" s="11"/>
      <c r="G439" s="9"/>
      <c r="H439" s="10"/>
      <c r="I439" s="10"/>
      <c r="J439" s="11"/>
      <c r="K439" s="11"/>
      <c r="L439" s="11"/>
      <c r="M439" s="10"/>
      <c r="N439" s="11"/>
      <c r="O439" s="10"/>
      <c r="P439" s="11"/>
      <c r="Q439" s="11"/>
      <c r="R439" s="12"/>
    </row>
    <row r="440" spans="1:18" x14ac:dyDescent="0.25">
      <c r="A440" s="8"/>
      <c r="B440" s="9"/>
      <c r="C440" s="10"/>
      <c r="D440" s="10"/>
      <c r="E440" s="9"/>
      <c r="F440" s="11"/>
      <c r="G440" s="9"/>
      <c r="H440" s="10"/>
      <c r="I440" s="10"/>
      <c r="J440" s="11"/>
      <c r="K440" s="11"/>
      <c r="L440" s="11"/>
      <c r="M440" s="10"/>
      <c r="N440" s="11"/>
      <c r="O440" s="10"/>
      <c r="P440" s="11"/>
      <c r="Q440" s="11"/>
      <c r="R440" s="12"/>
    </row>
    <row r="441" spans="1:18" x14ac:dyDescent="0.25">
      <c r="A441" s="8"/>
      <c r="B441" s="9"/>
      <c r="C441" s="10"/>
      <c r="D441" s="10"/>
      <c r="E441" s="9"/>
      <c r="F441" s="11"/>
      <c r="G441" s="9"/>
      <c r="H441" s="10"/>
      <c r="I441" s="10"/>
      <c r="J441" s="11"/>
      <c r="K441" s="11"/>
      <c r="L441" s="11"/>
      <c r="M441" s="10"/>
      <c r="N441" s="11"/>
      <c r="O441" s="10"/>
      <c r="P441" s="11"/>
      <c r="Q441" s="11"/>
      <c r="R441" s="12"/>
    </row>
    <row r="442" spans="1:18" x14ac:dyDescent="0.25">
      <c r="A442" s="8"/>
      <c r="B442" s="9"/>
      <c r="C442" s="10"/>
      <c r="D442" s="10"/>
      <c r="E442" s="9"/>
      <c r="F442" s="11"/>
      <c r="G442" s="9"/>
      <c r="H442" s="10"/>
      <c r="I442" s="10"/>
      <c r="J442" s="11"/>
      <c r="K442" s="11"/>
      <c r="L442" s="11"/>
      <c r="M442" s="10"/>
      <c r="N442" s="11"/>
      <c r="O442" s="10"/>
      <c r="P442" s="11"/>
      <c r="Q442" s="11"/>
      <c r="R442" s="12"/>
    </row>
    <row r="443" spans="1:18" x14ac:dyDescent="0.25">
      <c r="A443" s="8"/>
      <c r="B443" s="9"/>
      <c r="C443" s="10"/>
      <c r="D443" s="10"/>
      <c r="E443" s="9"/>
      <c r="F443" s="11"/>
      <c r="G443" s="9"/>
      <c r="H443" s="10"/>
      <c r="I443" s="10"/>
      <c r="J443" s="11"/>
      <c r="K443" s="11"/>
      <c r="L443" s="11"/>
      <c r="M443" s="10"/>
      <c r="N443" s="11"/>
      <c r="O443" s="10"/>
      <c r="P443" s="11"/>
      <c r="Q443" s="11"/>
      <c r="R443" s="12"/>
    </row>
    <row r="444" spans="1:18" x14ac:dyDescent="0.25">
      <c r="A444" s="8"/>
      <c r="B444" s="9"/>
      <c r="C444" s="10"/>
      <c r="D444" s="10"/>
      <c r="E444" s="9"/>
      <c r="F444" s="11"/>
      <c r="G444" s="9"/>
      <c r="H444" s="10"/>
      <c r="I444" s="10"/>
      <c r="J444" s="11"/>
      <c r="K444" s="11"/>
      <c r="L444" s="11"/>
      <c r="M444" s="10"/>
      <c r="N444" s="11"/>
      <c r="O444" s="10"/>
      <c r="P444" s="11"/>
      <c r="Q444" s="11"/>
      <c r="R444" s="12"/>
    </row>
    <row r="445" spans="1:18" x14ac:dyDescent="0.25">
      <c r="A445" s="8"/>
      <c r="B445" s="9"/>
      <c r="C445" s="10"/>
      <c r="D445" s="10"/>
      <c r="E445" s="9"/>
      <c r="F445" s="11"/>
      <c r="G445" s="9"/>
      <c r="H445" s="10"/>
      <c r="I445" s="10"/>
      <c r="J445" s="11"/>
      <c r="K445" s="11"/>
      <c r="L445" s="11"/>
      <c r="M445" s="10"/>
      <c r="N445" s="11"/>
      <c r="O445" s="10"/>
      <c r="P445" s="11"/>
      <c r="Q445" s="11"/>
      <c r="R445" s="12"/>
    </row>
    <row r="446" spans="1:18" x14ac:dyDescent="0.25">
      <c r="A446" s="8"/>
      <c r="B446" s="9"/>
      <c r="C446" s="10"/>
      <c r="D446" s="10"/>
      <c r="E446" s="9"/>
      <c r="F446" s="11"/>
      <c r="G446" s="9"/>
      <c r="H446" s="10"/>
      <c r="I446" s="10"/>
      <c r="J446" s="11"/>
      <c r="K446" s="11"/>
      <c r="L446" s="11"/>
      <c r="M446" s="10"/>
      <c r="N446" s="11"/>
      <c r="O446" s="10"/>
      <c r="P446" s="11"/>
      <c r="Q446" s="11"/>
      <c r="R446" s="12"/>
    </row>
    <row r="447" spans="1:18" x14ac:dyDescent="0.25">
      <c r="A447" s="8"/>
      <c r="B447" s="9"/>
      <c r="C447" s="10"/>
      <c r="D447" s="10"/>
      <c r="E447" s="9"/>
      <c r="F447" s="11"/>
      <c r="G447" s="9"/>
      <c r="H447" s="10"/>
      <c r="I447" s="10"/>
      <c r="J447" s="11"/>
      <c r="K447" s="11"/>
      <c r="L447" s="11"/>
      <c r="M447" s="10"/>
      <c r="N447" s="11"/>
      <c r="O447" s="10"/>
      <c r="P447" s="11"/>
      <c r="Q447" s="11"/>
      <c r="R447" s="12"/>
    </row>
    <row r="448" spans="1:18" x14ac:dyDescent="0.25">
      <c r="A448" s="8"/>
      <c r="B448" s="9"/>
      <c r="C448" s="10"/>
      <c r="D448" s="10"/>
      <c r="E448" s="9"/>
      <c r="F448" s="11"/>
      <c r="G448" s="9"/>
      <c r="H448" s="10"/>
      <c r="I448" s="10"/>
      <c r="J448" s="11"/>
      <c r="K448" s="11"/>
      <c r="L448" s="11"/>
      <c r="M448" s="10"/>
      <c r="N448" s="11"/>
      <c r="O448" s="10"/>
      <c r="P448" s="11"/>
      <c r="Q448" s="11"/>
      <c r="R448" s="12"/>
    </row>
    <row r="449" spans="1:18" x14ac:dyDescent="0.25">
      <c r="A449" s="8"/>
      <c r="B449" s="9"/>
      <c r="C449" s="10"/>
      <c r="D449" s="10"/>
      <c r="E449" s="9"/>
      <c r="F449" s="11"/>
      <c r="G449" s="9"/>
      <c r="H449" s="10"/>
      <c r="I449" s="10"/>
      <c r="J449" s="11"/>
      <c r="K449" s="11"/>
      <c r="L449" s="11"/>
      <c r="M449" s="10"/>
      <c r="N449" s="11"/>
      <c r="O449" s="10"/>
      <c r="P449" s="11"/>
      <c r="Q449" s="11"/>
      <c r="R449" s="12"/>
    </row>
    <row r="450" spans="1:18" x14ac:dyDescent="0.25">
      <c r="A450" s="8"/>
      <c r="B450" s="9"/>
      <c r="C450" s="10"/>
      <c r="D450" s="10"/>
      <c r="E450" s="9"/>
      <c r="F450" s="11"/>
      <c r="G450" s="9"/>
      <c r="H450" s="10"/>
      <c r="I450" s="10"/>
      <c r="J450" s="11"/>
      <c r="K450" s="11"/>
      <c r="L450" s="11"/>
      <c r="M450" s="10"/>
      <c r="N450" s="11"/>
      <c r="O450" s="10"/>
      <c r="P450" s="11"/>
      <c r="Q450" s="11"/>
      <c r="R450" s="12"/>
    </row>
    <row r="451" spans="1:18" x14ac:dyDescent="0.25">
      <c r="A451" s="8"/>
      <c r="B451" s="9"/>
      <c r="C451" s="10"/>
      <c r="D451" s="10"/>
      <c r="E451" s="9"/>
      <c r="F451" s="11"/>
      <c r="G451" s="9"/>
      <c r="H451" s="10"/>
      <c r="I451" s="10"/>
      <c r="J451" s="11"/>
      <c r="K451" s="11"/>
      <c r="L451" s="11"/>
      <c r="M451" s="10"/>
      <c r="N451" s="11"/>
      <c r="O451" s="10"/>
      <c r="P451" s="11"/>
      <c r="Q451" s="11"/>
      <c r="R451" s="12"/>
    </row>
    <row r="452" spans="1:18" x14ac:dyDescent="0.25">
      <c r="A452" s="8"/>
      <c r="B452" s="9"/>
      <c r="C452" s="10"/>
      <c r="D452" s="10"/>
      <c r="E452" s="9"/>
      <c r="F452" s="11"/>
      <c r="G452" s="9"/>
      <c r="H452" s="10"/>
      <c r="I452" s="10"/>
      <c r="J452" s="11"/>
      <c r="K452" s="11"/>
      <c r="L452" s="11"/>
      <c r="M452" s="10"/>
      <c r="N452" s="11"/>
      <c r="O452" s="10"/>
      <c r="P452" s="11"/>
      <c r="Q452" s="11"/>
      <c r="R452" s="12"/>
    </row>
    <row r="453" spans="1:18" x14ac:dyDescent="0.25">
      <c r="A453" s="8"/>
      <c r="B453" s="9"/>
      <c r="C453" s="10"/>
      <c r="D453" s="10"/>
      <c r="E453" s="9"/>
      <c r="F453" s="11"/>
      <c r="G453" s="9"/>
      <c r="H453" s="10"/>
      <c r="I453" s="10"/>
      <c r="J453" s="11"/>
      <c r="K453" s="11"/>
      <c r="L453" s="11"/>
      <c r="M453" s="10"/>
      <c r="N453" s="11"/>
      <c r="O453" s="10"/>
      <c r="P453" s="11"/>
      <c r="Q453" s="11"/>
      <c r="R453" s="12"/>
    </row>
    <row r="454" spans="1:18" x14ac:dyDescent="0.25">
      <c r="A454" s="8"/>
      <c r="B454" s="9"/>
      <c r="C454" s="10"/>
      <c r="D454" s="10"/>
      <c r="E454" s="9"/>
      <c r="F454" s="11"/>
      <c r="G454" s="9"/>
      <c r="H454" s="10"/>
      <c r="I454" s="10"/>
      <c r="J454" s="11"/>
      <c r="K454" s="11"/>
      <c r="L454" s="11"/>
      <c r="M454" s="10"/>
      <c r="N454" s="11"/>
      <c r="O454" s="10"/>
      <c r="P454" s="11"/>
      <c r="Q454" s="11"/>
      <c r="R454" s="12"/>
    </row>
    <row r="455" spans="1:18" x14ac:dyDescent="0.25">
      <c r="A455" s="8"/>
      <c r="B455" s="9"/>
      <c r="C455" s="10"/>
      <c r="D455" s="10"/>
      <c r="E455" s="9"/>
      <c r="F455" s="11"/>
      <c r="G455" s="9"/>
      <c r="H455" s="10"/>
      <c r="I455" s="10"/>
      <c r="J455" s="11"/>
      <c r="K455" s="11"/>
      <c r="L455" s="11"/>
      <c r="M455" s="10"/>
      <c r="N455" s="11"/>
      <c r="O455" s="10"/>
      <c r="P455" s="11"/>
      <c r="Q455" s="11"/>
      <c r="R455" s="12"/>
    </row>
    <row r="456" spans="1:18" x14ac:dyDescent="0.25">
      <c r="A456" s="8"/>
      <c r="B456" s="9"/>
      <c r="C456" s="10"/>
      <c r="D456" s="10"/>
      <c r="E456" s="9"/>
      <c r="F456" s="11"/>
      <c r="G456" s="9"/>
      <c r="H456" s="10"/>
      <c r="I456" s="10"/>
      <c r="J456" s="11"/>
      <c r="K456" s="11"/>
      <c r="L456" s="11"/>
      <c r="M456" s="10"/>
      <c r="N456" s="11"/>
      <c r="O456" s="10"/>
      <c r="P456" s="11"/>
      <c r="Q456" s="11"/>
      <c r="R456" s="12"/>
    </row>
    <row r="457" spans="1:18" x14ac:dyDescent="0.25">
      <c r="A457" s="8"/>
      <c r="B457" s="9"/>
      <c r="C457" s="10"/>
      <c r="D457" s="10"/>
      <c r="E457" s="9"/>
      <c r="F457" s="11"/>
      <c r="G457" s="9"/>
      <c r="H457" s="10"/>
      <c r="I457" s="10"/>
      <c r="J457" s="11"/>
      <c r="K457" s="11"/>
      <c r="L457" s="11"/>
      <c r="M457" s="10"/>
      <c r="N457" s="11"/>
      <c r="O457" s="10"/>
      <c r="P457" s="11"/>
      <c r="Q457" s="11"/>
      <c r="R457" s="12"/>
    </row>
    <row r="458" spans="1:18" x14ac:dyDescent="0.25">
      <c r="A458" s="8"/>
      <c r="B458" s="9"/>
      <c r="C458" s="10"/>
      <c r="D458" s="10"/>
      <c r="E458" s="9"/>
      <c r="F458" s="11"/>
      <c r="G458" s="9"/>
      <c r="H458" s="10"/>
      <c r="I458" s="10"/>
      <c r="J458" s="11"/>
      <c r="K458" s="11"/>
      <c r="L458" s="11"/>
      <c r="M458" s="10"/>
      <c r="N458" s="11"/>
      <c r="O458" s="10"/>
      <c r="P458" s="11"/>
      <c r="Q458" s="11"/>
      <c r="R458" s="12"/>
    </row>
    <row r="459" spans="1:18" x14ac:dyDescent="0.25">
      <c r="A459" s="8"/>
      <c r="B459" s="9"/>
      <c r="C459" s="10"/>
      <c r="D459" s="10"/>
      <c r="E459" s="9"/>
      <c r="F459" s="11"/>
      <c r="G459" s="9"/>
      <c r="H459" s="10"/>
      <c r="I459" s="10"/>
      <c r="J459" s="11"/>
      <c r="K459" s="11"/>
      <c r="L459" s="11"/>
      <c r="M459" s="10"/>
      <c r="N459" s="11"/>
      <c r="O459" s="10"/>
      <c r="P459" s="11"/>
      <c r="Q459" s="11"/>
      <c r="R459" s="12"/>
    </row>
    <row r="460" spans="1:18" x14ac:dyDescent="0.25">
      <c r="A460" s="8"/>
      <c r="B460" s="9"/>
      <c r="C460" s="10"/>
      <c r="D460" s="10"/>
      <c r="E460" s="9"/>
      <c r="F460" s="11"/>
      <c r="G460" s="9"/>
      <c r="H460" s="10"/>
      <c r="I460" s="10"/>
      <c r="J460" s="11"/>
      <c r="K460" s="11"/>
      <c r="L460" s="11"/>
      <c r="M460" s="10"/>
      <c r="N460" s="11"/>
      <c r="O460" s="10"/>
      <c r="P460" s="11"/>
      <c r="Q460" s="11"/>
      <c r="R460" s="12"/>
    </row>
    <row r="461" spans="1:18" x14ac:dyDescent="0.25">
      <c r="A461" s="8"/>
      <c r="B461" s="9"/>
      <c r="C461" s="10"/>
      <c r="D461" s="10"/>
      <c r="E461" s="9"/>
      <c r="F461" s="11"/>
      <c r="G461" s="9"/>
      <c r="H461" s="10"/>
      <c r="I461" s="10"/>
      <c r="J461" s="11"/>
      <c r="K461" s="11"/>
      <c r="L461" s="11"/>
      <c r="M461" s="10"/>
      <c r="N461" s="11"/>
      <c r="O461" s="10"/>
      <c r="P461" s="11"/>
      <c r="Q461" s="11"/>
      <c r="R461" s="12"/>
    </row>
    <row r="462" spans="1:18" x14ac:dyDescent="0.25">
      <c r="A462" s="8"/>
      <c r="B462" s="9"/>
      <c r="C462" s="10"/>
      <c r="D462" s="10"/>
      <c r="E462" s="9"/>
      <c r="F462" s="11"/>
      <c r="G462" s="9"/>
      <c r="H462" s="10"/>
      <c r="I462" s="10"/>
      <c r="J462" s="11"/>
      <c r="K462" s="11"/>
      <c r="L462" s="11"/>
      <c r="M462" s="10"/>
      <c r="N462" s="11"/>
      <c r="O462" s="10"/>
      <c r="P462" s="11"/>
      <c r="Q462" s="11"/>
      <c r="R462" s="12"/>
    </row>
    <row r="463" spans="1:18" x14ac:dyDescent="0.25">
      <c r="A463" s="8"/>
      <c r="B463" s="9"/>
      <c r="C463" s="10"/>
      <c r="D463" s="10"/>
      <c r="E463" s="9"/>
      <c r="F463" s="11"/>
      <c r="G463" s="9"/>
      <c r="H463" s="10"/>
      <c r="I463" s="10"/>
      <c r="J463" s="11"/>
      <c r="K463" s="11"/>
      <c r="L463" s="11"/>
      <c r="M463" s="10"/>
      <c r="N463" s="11"/>
      <c r="O463" s="10"/>
      <c r="P463" s="11"/>
      <c r="Q463" s="11"/>
      <c r="R463" s="12"/>
    </row>
    <row r="464" spans="1:18" x14ac:dyDescent="0.25">
      <c r="A464" s="8"/>
      <c r="B464" s="9"/>
      <c r="C464" s="10"/>
      <c r="D464" s="10"/>
      <c r="E464" s="9"/>
      <c r="F464" s="11"/>
      <c r="G464" s="9"/>
      <c r="H464" s="10"/>
      <c r="I464" s="10"/>
      <c r="J464" s="11"/>
      <c r="K464" s="11"/>
      <c r="L464" s="11"/>
      <c r="M464" s="10"/>
      <c r="N464" s="11"/>
      <c r="O464" s="10"/>
      <c r="P464" s="11"/>
      <c r="Q464" s="11"/>
      <c r="R464" s="12"/>
    </row>
    <row r="465" spans="1:18" x14ac:dyDescent="0.25">
      <c r="A465" s="8"/>
      <c r="B465" s="9"/>
      <c r="C465" s="10"/>
      <c r="D465" s="10"/>
      <c r="E465" s="9"/>
      <c r="F465" s="11"/>
      <c r="G465" s="9"/>
      <c r="H465" s="10"/>
      <c r="I465" s="10"/>
      <c r="J465" s="11"/>
      <c r="K465" s="11"/>
      <c r="L465" s="11"/>
      <c r="M465" s="10"/>
      <c r="N465" s="11"/>
      <c r="O465" s="10"/>
      <c r="P465" s="11"/>
      <c r="Q465" s="11"/>
      <c r="R465" s="12"/>
    </row>
    <row r="466" spans="1:18" x14ac:dyDescent="0.25">
      <c r="A466" s="8"/>
      <c r="B466" s="9"/>
      <c r="C466" s="10"/>
      <c r="D466" s="10"/>
      <c r="E466" s="9"/>
      <c r="F466" s="11"/>
      <c r="G466" s="9"/>
      <c r="H466" s="10"/>
      <c r="I466" s="10"/>
      <c r="J466" s="11"/>
      <c r="K466" s="11"/>
      <c r="L466" s="11"/>
      <c r="M466" s="10"/>
      <c r="N466" s="11"/>
      <c r="O466" s="10"/>
      <c r="P466" s="11"/>
      <c r="Q466" s="11"/>
      <c r="R466" s="12"/>
    </row>
    <row r="467" spans="1:18" x14ac:dyDescent="0.25">
      <c r="A467" s="8"/>
      <c r="B467" s="9"/>
      <c r="C467" s="10"/>
      <c r="D467" s="10"/>
      <c r="E467" s="9"/>
      <c r="F467" s="11"/>
      <c r="G467" s="9"/>
      <c r="H467" s="10"/>
      <c r="I467" s="10"/>
      <c r="J467" s="11"/>
      <c r="K467" s="11"/>
      <c r="L467" s="11"/>
      <c r="M467" s="10"/>
      <c r="N467" s="11"/>
      <c r="O467" s="10"/>
      <c r="P467" s="11"/>
      <c r="Q467" s="11"/>
      <c r="R467" s="12"/>
    </row>
    <row r="468" spans="1:18" x14ac:dyDescent="0.25">
      <c r="A468" s="8"/>
      <c r="B468" s="9"/>
      <c r="C468" s="10"/>
      <c r="D468" s="10"/>
      <c r="E468" s="9"/>
      <c r="F468" s="11"/>
      <c r="G468" s="9"/>
      <c r="H468" s="10"/>
      <c r="I468" s="10"/>
      <c r="J468" s="11"/>
      <c r="K468" s="11"/>
      <c r="L468" s="11"/>
      <c r="M468" s="10"/>
      <c r="N468" s="11"/>
      <c r="O468" s="10"/>
      <c r="P468" s="11"/>
      <c r="Q468" s="11"/>
      <c r="R468" s="12"/>
    </row>
    <row r="469" spans="1:18" x14ac:dyDescent="0.25">
      <c r="A469" s="8"/>
      <c r="B469" s="9"/>
      <c r="C469" s="10"/>
      <c r="D469" s="10"/>
      <c r="E469" s="9"/>
      <c r="F469" s="11"/>
      <c r="G469" s="9"/>
      <c r="H469" s="10"/>
      <c r="I469" s="10"/>
      <c r="J469" s="11"/>
      <c r="K469" s="11"/>
      <c r="L469" s="11"/>
      <c r="M469" s="10"/>
      <c r="N469" s="11"/>
      <c r="O469" s="10"/>
      <c r="P469" s="11"/>
      <c r="Q469" s="11"/>
      <c r="R469" s="12"/>
    </row>
    <row r="470" spans="1:18" x14ac:dyDescent="0.25">
      <c r="A470" s="8"/>
      <c r="B470" s="9"/>
      <c r="C470" s="10"/>
      <c r="D470" s="10"/>
      <c r="E470" s="9"/>
      <c r="F470" s="11"/>
      <c r="G470" s="9"/>
      <c r="H470" s="10"/>
      <c r="I470" s="10"/>
      <c r="J470" s="11"/>
      <c r="K470" s="11"/>
      <c r="L470" s="11"/>
      <c r="M470" s="10"/>
      <c r="N470" s="11"/>
      <c r="O470" s="10"/>
      <c r="P470" s="11"/>
      <c r="Q470" s="11"/>
      <c r="R470" s="12"/>
    </row>
    <row r="471" spans="1:18" x14ac:dyDescent="0.25">
      <c r="A471" s="8"/>
      <c r="B471" s="9"/>
      <c r="C471" s="10"/>
      <c r="D471" s="10"/>
      <c r="E471" s="9"/>
      <c r="F471" s="11"/>
      <c r="G471" s="9"/>
      <c r="H471" s="10"/>
      <c r="I471" s="10"/>
      <c r="J471" s="11"/>
      <c r="K471" s="11"/>
      <c r="L471" s="11"/>
      <c r="M471" s="10"/>
      <c r="N471" s="11"/>
      <c r="O471" s="10"/>
      <c r="P471" s="11"/>
      <c r="Q471" s="11"/>
      <c r="R471" s="12"/>
    </row>
    <row r="472" spans="1:18" x14ac:dyDescent="0.25">
      <c r="A472" s="8"/>
      <c r="B472" s="9"/>
      <c r="C472" s="10"/>
      <c r="D472" s="10"/>
      <c r="E472" s="9"/>
      <c r="F472" s="11"/>
      <c r="G472" s="9"/>
      <c r="H472" s="10"/>
      <c r="I472" s="10"/>
      <c r="J472" s="11"/>
      <c r="K472" s="11"/>
      <c r="L472" s="11"/>
      <c r="M472" s="10"/>
      <c r="N472" s="11"/>
      <c r="O472" s="10"/>
      <c r="P472" s="11"/>
      <c r="Q472" s="11"/>
      <c r="R472" s="12"/>
    </row>
    <row r="473" spans="1:18" x14ac:dyDescent="0.25">
      <c r="A473" s="8"/>
      <c r="B473" s="9"/>
      <c r="C473" s="10"/>
      <c r="D473" s="10"/>
      <c r="E473" s="9"/>
      <c r="F473" s="11"/>
      <c r="G473" s="9"/>
      <c r="H473" s="10"/>
      <c r="I473" s="10"/>
      <c r="J473" s="11"/>
      <c r="K473" s="11"/>
      <c r="L473" s="11"/>
      <c r="M473" s="10"/>
      <c r="N473" s="11"/>
      <c r="O473" s="10"/>
      <c r="P473" s="11"/>
      <c r="Q473" s="11"/>
      <c r="R473" s="12"/>
    </row>
    <row r="474" spans="1:18" x14ac:dyDescent="0.25">
      <c r="A474" s="8"/>
      <c r="B474" s="9"/>
      <c r="C474" s="10"/>
      <c r="D474" s="10"/>
      <c r="E474" s="9"/>
      <c r="F474" s="11"/>
      <c r="G474" s="9"/>
      <c r="H474" s="10"/>
      <c r="I474" s="10"/>
      <c r="J474" s="11"/>
      <c r="K474" s="11"/>
      <c r="L474" s="11"/>
      <c r="M474" s="10"/>
      <c r="N474" s="11"/>
      <c r="O474" s="10"/>
      <c r="P474" s="11"/>
      <c r="Q474" s="11"/>
      <c r="R474" s="12"/>
    </row>
    <row r="475" spans="1:18" x14ac:dyDescent="0.25">
      <c r="A475" s="8"/>
      <c r="B475" s="9"/>
      <c r="C475" s="10"/>
      <c r="D475" s="10"/>
      <c r="E475" s="9"/>
      <c r="F475" s="11"/>
      <c r="G475" s="9"/>
      <c r="H475" s="10"/>
      <c r="I475" s="10"/>
      <c r="J475" s="11"/>
      <c r="K475" s="11"/>
      <c r="L475" s="11"/>
      <c r="M475" s="10"/>
      <c r="N475" s="11"/>
      <c r="O475" s="10"/>
      <c r="P475" s="11"/>
      <c r="Q475" s="11"/>
      <c r="R475" s="12"/>
    </row>
    <row r="476" spans="1:18" x14ac:dyDescent="0.25">
      <c r="A476" s="8"/>
      <c r="B476" s="9"/>
      <c r="C476" s="10"/>
      <c r="D476" s="10"/>
      <c r="E476" s="9"/>
      <c r="F476" s="11"/>
      <c r="G476" s="9"/>
      <c r="H476" s="10"/>
      <c r="I476" s="10"/>
      <c r="J476" s="11"/>
      <c r="K476" s="11"/>
      <c r="L476" s="11"/>
      <c r="M476" s="10"/>
      <c r="N476" s="11"/>
      <c r="O476" s="10"/>
      <c r="P476" s="11"/>
      <c r="Q476" s="11"/>
      <c r="R476" s="12"/>
    </row>
    <row r="477" spans="1:18" x14ac:dyDescent="0.25">
      <c r="A477" s="8"/>
      <c r="B477" s="9"/>
      <c r="C477" s="10"/>
      <c r="D477" s="10"/>
      <c r="E477" s="9"/>
      <c r="F477" s="11"/>
      <c r="G477" s="9"/>
      <c r="H477" s="10"/>
      <c r="I477" s="10"/>
      <c r="J477" s="11"/>
      <c r="K477" s="11"/>
      <c r="L477" s="11"/>
      <c r="M477" s="10"/>
      <c r="N477" s="11"/>
      <c r="O477" s="10"/>
      <c r="P477" s="11"/>
      <c r="Q477" s="11"/>
      <c r="R477" s="12"/>
    </row>
    <row r="478" spans="1:18" x14ac:dyDescent="0.25">
      <c r="A478" s="8"/>
      <c r="B478" s="9"/>
      <c r="C478" s="10"/>
      <c r="D478" s="10"/>
      <c r="E478" s="9"/>
      <c r="F478" s="11"/>
      <c r="G478" s="9"/>
      <c r="H478" s="10"/>
      <c r="I478" s="10"/>
      <c r="J478" s="11"/>
      <c r="K478" s="11"/>
      <c r="L478" s="11"/>
      <c r="M478" s="10"/>
      <c r="N478" s="11"/>
      <c r="O478" s="10"/>
      <c r="P478" s="11"/>
      <c r="Q478" s="11"/>
      <c r="R478" s="12"/>
    </row>
    <row r="479" spans="1:18" x14ac:dyDescent="0.25">
      <c r="A479" s="8"/>
      <c r="B479" s="9"/>
      <c r="C479" s="10"/>
      <c r="D479" s="10"/>
      <c r="E479" s="9"/>
      <c r="F479" s="11"/>
      <c r="G479" s="9"/>
      <c r="H479" s="10"/>
      <c r="I479" s="10"/>
      <c r="J479" s="11"/>
      <c r="K479" s="11"/>
      <c r="L479" s="11"/>
      <c r="M479" s="10"/>
      <c r="N479" s="11"/>
      <c r="O479" s="10"/>
      <c r="P479" s="11"/>
      <c r="Q479" s="11"/>
      <c r="R479" s="12"/>
    </row>
    <row r="480" spans="1:18" x14ac:dyDescent="0.25">
      <c r="A480" s="8"/>
      <c r="B480" s="9"/>
      <c r="C480" s="10"/>
      <c r="D480" s="10"/>
      <c r="E480" s="9"/>
      <c r="F480" s="11"/>
      <c r="G480" s="9"/>
      <c r="H480" s="10"/>
      <c r="I480" s="10"/>
      <c r="J480" s="11"/>
      <c r="K480" s="11"/>
      <c r="L480" s="11"/>
      <c r="M480" s="10"/>
      <c r="N480" s="11"/>
      <c r="O480" s="10"/>
      <c r="P480" s="11"/>
      <c r="Q480" s="11"/>
      <c r="R480" s="12"/>
    </row>
    <row r="481" spans="1:18" x14ac:dyDescent="0.25">
      <c r="A481" s="8"/>
      <c r="B481" s="9"/>
      <c r="C481" s="10"/>
      <c r="D481" s="10"/>
      <c r="E481" s="9"/>
      <c r="F481" s="11"/>
      <c r="G481" s="9"/>
      <c r="H481" s="10"/>
      <c r="I481" s="10"/>
      <c r="J481" s="11"/>
      <c r="K481" s="11"/>
      <c r="L481" s="11"/>
      <c r="M481" s="10"/>
      <c r="N481" s="11"/>
      <c r="O481" s="10"/>
      <c r="P481" s="11"/>
      <c r="Q481" s="11"/>
      <c r="R481" s="12"/>
    </row>
    <row r="482" spans="1:18" x14ac:dyDescent="0.25">
      <c r="A482" s="8"/>
      <c r="B482" s="9"/>
      <c r="C482" s="10"/>
      <c r="D482" s="10"/>
      <c r="E482" s="9"/>
      <c r="F482" s="11"/>
      <c r="G482" s="9"/>
      <c r="H482" s="10"/>
      <c r="I482" s="10"/>
      <c r="J482" s="11"/>
      <c r="K482" s="11"/>
      <c r="L482" s="11"/>
      <c r="M482" s="10"/>
      <c r="N482" s="11"/>
      <c r="O482" s="10"/>
      <c r="P482" s="11"/>
      <c r="Q482" s="11"/>
      <c r="R482" s="12"/>
    </row>
    <row r="483" spans="1:18" x14ac:dyDescent="0.25">
      <c r="A483" s="8"/>
      <c r="B483" s="9"/>
      <c r="C483" s="10"/>
      <c r="D483" s="10"/>
      <c r="E483" s="9"/>
      <c r="F483" s="11"/>
      <c r="G483" s="9"/>
      <c r="H483" s="10"/>
      <c r="I483" s="10"/>
      <c r="J483" s="11"/>
      <c r="K483" s="11"/>
      <c r="L483" s="11"/>
      <c r="M483" s="10"/>
      <c r="N483" s="11"/>
      <c r="O483" s="10"/>
      <c r="P483" s="11"/>
      <c r="Q483" s="11"/>
      <c r="R483" s="12"/>
    </row>
    <row r="484" spans="1:18" x14ac:dyDescent="0.25">
      <c r="A484" s="8"/>
      <c r="B484" s="9"/>
      <c r="C484" s="10"/>
      <c r="D484" s="10"/>
      <c r="E484" s="9"/>
      <c r="F484" s="11"/>
      <c r="G484" s="9"/>
      <c r="H484" s="10"/>
      <c r="I484" s="10"/>
      <c r="J484" s="11"/>
      <c r="K484" s="11"/>
      <c r="L484" s="11"/>
      <c r="M484" s="10"/>
      <c r="N484" s="11"/>
      <c r="O484" s="10"/>
      <c r="P484" s="11"/>
      <c r="Q484" s="11"/>
      <c r="R484" s="12"/>
    </row>
    <row r="485" spans="1:18" x14ac:dyDescent="0.25">
      <c r="A485" s="8"/>
      <c r="B485" s="9"/>
      <c r="C485" s="10"/>
      <c r="D485" s="10"/>
      <c r="E485" s="9"/>
      <c r="F485" s="11"/>
      <c r="G485" s="9"/>
      <c r="H485" s="10"/>
      <c r="I485" s="10"/>
      <c r="J485" s="11"/>
      <c r="K485" s="11"/>
      <c r="L485" s="11"/>
      <c r="M485" s="10"/>
      <c r="N485" s="11"/>
      <c r="O485" s="10"/>
      <c r="P485" s="11"/>
      <c r="Q485" s="11"/>
      <c r="R485" s="12"/>
    </row>
    <row r="486" spans="1:18" x14ac:dyDescent="0.25">
      <c r="A486" s="8"/>
      <c r="B486" s="9"/>
      <c r="C486" s="10"/>
      <c r="D486" s="10"/>
      <c r="E486" s="9"/>
      <c r="F486" s="11"/>
      <c r="G486" s="9"/>
      <c r="H486" s="10"/>
      <c r="I486" s="10"/>
      <c r="J486" s="11"/>
      <c r="K486" s="11"/>
      <c r="L486" s="11"/>
      <c r="M486" s="10"/>
      <c r="N486" s="11"/>
      <c r="O486" s="10"/>
      <c r="P486" s="11"/>
      <c r="Q486" s="11"/>
      <c r="R486" s="12"/>
    </row>
    <row r="487" spans="1:18" x14ac:dyDescent="0.25">
      <c r="A487" s="8"/>
      <c r="B487" s="9"/>
      <c r="C487" s="10"/>
      <c r="D487" s="10"/>
      <c r="E487" s="9"/>
      <c r="F487" s="11"/>
      <c r="G487" s="9"/>
      <c r="H487" s="10"/>
      <c r="I487" s="10"/>
      <c r="J487" s="11"/>
      <c r="K487" s="11"/>
      <c r="L487" s="11"/>
      <c r="M487" s="10"/>
      <c r="N487" s="11"/>
      <c r="O487" s="10"/>
      <c r="P487" s="11"/>
      <c r="Q487" s="11"/>
      <c r="R487" s="12"/>
    </row>
    <row r="488" spans="1:18" x14ac:dyDescent="0.25">
      <c r="A488" s="8"/>
      <c r="B488" s="9"/>
      <c r="C488" s="10"/>
      <c r="D488" s="10"/>
      <c r="E488" s="9"/>
      <c r="F488" s="11"/>
      <c r="G488" s="9"/>
      <c r="H488" s="10"/>
      <c r="I488" s="10"/>
      <c r="J488" s="11"/>
      <c r="K488" s="11"/>
      <c r="L488" s="11"/>
      <c r="M488" s="10"/>
      <c r="N488" s="11"/>
      <c r="O488" s="10"/>
      <c r="P488" s="11"/>
      <c r="Q488" s="11"/>
      <c r="R488" s="12"/>
    </row>
    <row r="489" spans="1:18" x14ac:dyDescent="0.25">
      <c r="A489" s="8"/>
      <c r="B489" s="9"/>
      <c r="C489" s="10"/>
      <c r="D489" s="10"/>
      <c r="E489" s="9"/>
      <c r="F489" s="11"/>
      <c r="G489" s="9"/>
      <c r="H489" s="10"/>
      <c r="I489" s="10"/>
      <c r="J489" s="11"/>
      <c r="K489" s="11"/>
      <c r="L489" s="11"/>
      <c r="M489" s="10"/>
      <c r="N489" s="11"/>
      <c r="O489" s="10"/>
      <c r="P489" s="11"/>
      <c r="Q489" s="11"/>
      <c r="R489" s="12"/>
    </row>
    <row r="490" spans="1:18" x14ac:dyDescent="0.25">
      <c r="A490" s="8"/>
      <c r="B490" s="9"/>
      <c r="C490" s="10"/>
      <c r="D490" s="10"/>
      <c r="E490" s="9"/>
      <c r="F490" s="11"/>
      <c r="G490" s="9"/>
      <c r="H490" s="10"/>
      <c r="I490" s="10"/>
      <c r="J490" s="11"/>
      <c r="K490" s="11"/>
      <c r="L490" s="11"/>
      <c r="M490" s="10"/>
      <c r="N490" s="11"/>
      <c r="O490" s="10"/>
      <c r="P490" s="11"/>
      <c r="Q490" s="11"/>
      <c r="R490" s="12"/>
    </row>
    <row r="491" spans="1:18" x14ac:dyDescent="0.25">
      <c r="A491" s="8"/>
      <c r="B491" s="9"/>
      <c r="C491" s="10"/>
      <c r="D491" s="10"/>
      <c r="E491" s="9"/>
      <c r="F491" s="11"/>
      <c r="G491" s="9"/>
      <c r="H491" s="10"/>
      <c r="I491" s="10"/>
      <c r="J491" s="11"/>
      <c r="K491" s="11"/>
      <c r="L491" s="11"/>
      <c r="M491" s="10"/>
      <c r="N491" s="11"/>
      <c r="O491" s="10"/>
      <c r="P491" s="11"/>
      <c r="Q491" s="11"/>
      <c r="R491" s="12"/>
    </row>
    <row r="492" spans="1:18" x14ac:dyDescent="0.25">
      <c r="A492" s="8"/>
      <c r="B492" s="9"/>
      <c r="C492" s="10"/>
      <c r="D492" s="10"/>
      <c r="E492" s="9"/>
      <c r="F492" s="11"/>
      <c r="G492" s="9"/>
      <c r="H492" s="10"/>
      <c r="I492" s="10"/>
      <c r="J492" s="11"/>
      <c r="K492" s="11"/>
      <c r="L492" s="11"/>
      <c r="M492" s="10"/>
      <c r="N492" s="11"/>
      <c r="O492" s="10"/>
      <c r="P492" s="11"/>
      <c r="Q492" s="11"/>
      <c r="R492" s="12"/>
    </row>
    <row r="493" spans="1:18" x14ac:dyDescent="0.25">
      <c r="A493" s="8"/>
      <c r="B493" s="9"/>
      <c r="C493" s="10"/>
      <c r="D493" s="10"/>
      <c r="E493" s="9"/>
      <c r="F493" s="11"/>
      <c r="G493" s="9"/>
      <c r="H493" s="10"/>
      <c r="I493" s="10"/>
      <c r="J493" s="11"/>
      <c r="K493" s="11"/>
      <c r="L493" s="11"/>
      <c r="M493" s="10"/>
      <c r="N493" s="11"/>
      <c r="O493" s="10"/>
      <c r="P493" s="11"/>
      <c r="Q493" s="11"/>
      <c r="R493" s="12"/>
    </row>
    <row r="494" spans="1:18" x14ac:dyDescent="0.25">
      <c r="A494" s="8"/>
      <c r="B494" s="9"/>
      <c r="C494" s="10"/>
      <c r="D494" s="10"/>
      <c r="E494" s="9"/>
      <c r="F494" s="11"/>
      <c r="G494" s="9"/>
      <c r="H494" s="10"/>
      <c r="I494" s="10"/>
      <c r="J494" s="11"/>
      <c r="K494" s="11"/>
      <c r="L494" s="11"/>
      <c r="M494" s="10"/>
      <c r="N494" s="11"/>
      <c r="O494" s="10"/>
      <c r="P494" s="11"/>
      <c r="Q494" s="11"/>
      <c r="R494" s="12"/>
    </row>
    <row r="495" spans="1:18" x14ac:dyDescent="0.25">
      <c r="A495" s="8"/>
      <c r="B495" s="9"/>
      <c r="C495" s="10"/>
      <c r="D495" s="10"/>
      <c r="E495" s="9"/>
      <c r="F495" s="11"/>
      <c r="G495" s="9"/>
      <c r="H495" s="10"/>
      <c r="I495" s="10"/>
      <c r="J495" s="11"/>
      <c r="K495" s="11"/>
      <c r="L495" s="11"/>
      <c r="M495" s="10"/>
      <c r="N495" s="11"/>
      <c r="O495" s="10"/>
      <c r="P495" s="11"/>
      <c r="Q495" s="11"/>
      <c r="R495" s="12"/>
    </row>
    <row r="496" spans="1:18" x14ac:dyDescent="0.25">
      <c r="A496" s="8"/>
      <c r="B496" s="9"/>
      <c r="C496" s="10"/>
      <c r="D496" s="10"/>
      <c r="E496" s="9"/>
      <c r="F496" s="11"/>
      <c r="G496" s="9"/>
      <c r="H496" s="10"/>
      <c r="I496" s="10"/>
      <c r="J496" s="11"/>
      <c r="K496" s="11"/>
      <c r="L496" s="11"/>
      <c r="M496" s="10"/>
      <c r="N496" s="11"/>
      <c r="O496" s="10"/>
      <c r="P496" s="11"/>
      <c r="Q496" s="11"/>
      <c r="R496" s="12"/>
    </row>
    <row r="497" spans="1:18" x14ac:dyDescent="0.25">
      <c r="A497" s="8"/>
      <c r="B497" s="9"/>
      <c r="C497" s="10"/>
      <c r="D497" s="10"/>
      <c r="E497" s="9"/>
      <c r="F497" s="11"/>
      <c r="G497" s="9"/>
      <c r="H497" s="10"/>
      <c r="I497" s="10"/>
      <c r="J497" s="11"/>
      <c r="K497" s="11"/>
      <c r="L497" s="11"/>
      <c r="M497" s="10"/>
      <c r="N497" s="11"/>
      <c r="O497" s="10"/>
      <c r="P497" s="11"/>
      <c r="Q497" s="11"/>
      <c r="R497" s="12"/>
    </row>
    <row r="498" spans="1:18" x14ac:dyDescent="0.25">
      <c r="A498" s="8"/>
      <c r="B498" s="9"/>
      <c r="C498" s="10"/>
      <c r="D498" s="10"/>
      <c r="E498" s="9"/>
      <c r="F498" s="11"/>
      <c r="G498" s="9"/>
      <c r="H498" s="10"/>
      <c r="I498" s="10"/>
      <c r="J498" s="11"/>
      <c r="K498" s="11"/>
      <c r="L498" s="11"/>
      <c r="M498" s="10"/>
      <c r="N498" s="11"/>
      <c r="O498" s="10"/>
      <c r="P498" s="11"/>
      <c r="Q498" s="11"/>
      <c r="R498" s="12"/>
    </row>
    <row r="499" spans="1:18" x14ac:dyDescent="0.25">
      <c r="A499" s="8"/>
      <c r="B499" s="9"/>
      <c r="C499" s="10"/>
      <c r="D499" s="10"/>
      <c r="E499" s="9"/>
      <c r="F499" s="11"/>
      <c r="G499" s="9"/>
      <c r="H499" s="10"/>
      <c r="I499" s="10"/>
      <c r="J499" s="11"/>
      <c r="K499" s="11"/>
      <c r="L499" s="11"/>
      <c r="M499" s="10"/>
      <c r="N499" s="11"/>
      <c r="O499" s="10"/>
      <c r="P499" s="11"/>
      <c r="Q499" s="11"/>
      <c r="R499" s="12"/>
    </row>
    <row r="500" spans="1:18" x14ac:dyDescent="0.25">
      <c r="A500" s="8"/>
      <c r="B500" s="9"/>
      <c r="C500" s="10"/>
      <c r="D500" s="10"/>
      <c r="E500" s="9"/>
      <c r="F500" s="11"/>
      <c r="G500" s="9"/>
      <c r="H500" s="10"/>
      <c r="I500" s="10"/>
      <c r="J500" s="11"/>
      <c r="K500" s="11"/>
      <c r="L500" s="11"/>
      <c r="M500" s="10"/>
      <c r="N500" s="11"/>
      <c r="O500" s="10"/>
      <c r="P500" s="11"/>
      <c r="Q500" s="11"/>
      <c r="R500" s="12"/>
    </row>
    <row r="501" spans="1:18" x14ac:dyDescent="0.25">
      <c r="A501" s="8"/>
      <c r="B501" s="9"/>
      <c r="C501" s="10"/>
      <c r="D501" s="10"/>
      <c r="E501" s="9"/>
      <c r="F501" s="11"/>
      <c r="G501" s="9"/>
      <c r="H501" s="10"/>
      <c r="I501" s="10"/>
      <c r="J501" s="11"/>
      <c r="K501" s="11"/>
      <c r="L501" s="11"/>
      <c r="M501" s="10"/>
      <c r="N501" s="11"/>
      <c r="O501" s="10"/>
      <c r="P501" s="11"/>
      <c r="Q501" s="11"/>
      <c r="R501" s="12"/>
    </row>
    <row r="502" spans="1:18" x14ac:dyDescent="0.25">
      <c r="A502" s="8"/>
      <c r="B502" s="9"/>
      <c r="C502" s="10"/>
      <c r="D502" s="10"/>
      <c r="E502" s="9"/>
      <c r="F502" s="11"/>
      <c r="G502" s="9"/>
      <c r="H502" s="10"/>
      <c r="I502" s="10"/>
      <c r="J502" s="11"/>
      <c r="K502" s="11"/>
      <c r="L502" s="11"/>
      <c r="M502" s="10"/>
      <c r="N502" s="11"/>
      <c r="O502" s="10"/>
      <c r="P502" s="11"/>
      <c r="Q502" s="11"/>
      <c r="R502" s="12"/>
    </row>
    <row r="503" spans="1:18" x14ac:dyDescent="0.25">
      <c r="A503" s="8"/>
      <c r="B503" s="9"/>
      <c r="C503" s="10"/>
      <c r="D503" s="10"/>
      <c r="E503" s="9"/>
      <c r="F503" s="11"/>
      <c r="G503" s="9"/>
      <c r="H503" s="10"/>
      <c r="I503" s="10"/>
      <c r="J503" s="11"/>
      <c r="K503" s="11"/>
      <c r="L503" s="11"/>
      <c r="M503" s="10"/>
      <c r="N503" s="11"/>
      <c r="O503" s="10"/>
      <c r="P503" s="11"/>
      <c r="Q503" s="11"/>
      <c r="R503" s="12"/>
    </row>
    <row r="504" spans="1:18" x14ac:dyDescent="0.25">
      <c r="A504" s="8"/>
      <c r="B504" s="9"/>
      <c r="C504" s="10"/>
      <c r="D504" s="10"/>
      <c r="E504" s="9"/>
      <c r="F504" s="11"/>
      <c r="G504" s="9"/>
      <c r="H504" s="10"/>
      <c r="I504" s="10"/>
      <c r="J504" s="11"/>
      <c r="K504" s="11"/>
      <c r="L504" s="11"/>
      <c r="M504" s="10"/>
      <c r="N504" s="11"/>
      <c r="O504" s="10"/>
      <c r="P504" s="11"/>
      <c r="Q504" s="11"/>
      <c r="R504" s="12"/>
    </row>
    <row r="505" spans="1:18" x14ac:dyDescent="0.25">
      <c r="A505" s="8"/>
      <c r="B505" s="9"/>
      <c r="C505" s="10"/>
      <c r="D505" s="10"/>
      <c r="E505" s="9"/>
      <c r="F505" s="11"/>
      <c r="G505" s="9"/>
      <c r="H505" s="10"/>
      <c r="I505" s="10"/>
      <c r="J505" s="11"/>
      <c r="K505" s="11"/>
      <c r="L505" s="11"/>
      <c r="M505" s="10"/>
      <c r="N505" s="11"/>
      <c r="O505" s="10"/>
      <c r="P505" s="11"/>
      <c r="Q505" s="11"/>
      <c r="R505" s="12"/>
    </row>
    <row r="506" spans="1:18" x14ac:dyDescent="0.25">
      <c r="A506" s="8"/>
      <c r="B506" s="9"/>
      <c r="C506" s="10"/>
      <c r="D506" s="10"/>
      <c r="E506" s="9"/>
      <c r="F506" s="11"/>
      <c r="G506" s="9"/>
      <c r="H506" s="10"/>
      <c r="I506" s="10"/>
      <c r="J506" s="11"/>
      <c r="K506" s="11"/>
      <c r="L506" s="11"/>
      <c r="M506" s="10"/>
      <c r="N506" s="11"/>
      <c r="O506" s="10"/>
      <c r="P506" s="11"/>
      <c r="Q506" s="11"/>
      <c r="R506" s="12"/>
    </row>
    <row r="507" spans="1:18" x14ac:dyDescent="0.25">
      <c r="A507" s="8"/>
      <c r="B507" s="9"/>
      <c r="C507" s="10"/>
      <c r="D507" s="10"/>
      <c r="E507" s="9"/>
      <c r="F507" s="11"/>
      <c r="G507" s="9"/>
      <c r="H507" s="10"/>
      <c r="I507" s="10"/>
      <c r="J507" s="11"/>
      <c r="K507" s="11"/>
      <c r="L507" s="11"/>
      <c r="M507" s="10"/>
      <c r="N507" s="11"/>
      <c r="O507" s="10"/>
      <c r="P507" s="11"/>
      <c r="Q507" s="11"/>
      <c r="R507" s="12"/>
    </row>
    <row r="508" spans="1:18" x14ac:dyDescent="0.25">
      <c r="A508" s="8"/>
      <c r="B508" s="9"/>
      <c r="C508" s="10"/>
      <c r="D508" s="10"/>
      <c r="E508" s="9"/>
      <c r="F508" s="11"/>
      <c r="G508" s="9"/>
      <c r="H508" s="10"/>
      <c r="I508" s="10"/>
      <c r="J508" s="11"/>
      <c r="K508" s="11"/>
      <c r="L508" s="11"/>
      <c r="M508" s="10"/>
      <c r="N508" s="11"/>
      <c r="O508" s="10"/>
      <c r="P508" s="11"/>
      <c r="Q508" s="11"/>
      <c r="R508" s="12"/>
    </row>
    <row r="509" spans="1:18" x14ac:dyDescent="0.25">
      <c r="A509" s="8"/>
      <c r="B509" s="9"/>
      <c r="C509" s="10"/>
      <c r="D509" s="10"/>
      <c r="E509" s="9"/>
      <c r="F509" s="11"/>
      <c r="G509" s="9"/>
      <c r="H509" s="10"/>
      <c r="I509" s="10"/>
      <c r="J509" s="11"/>
      <c r="K509" s="11"/>
      <c r="L509" s="11"/>
      <c r="M509" s="10"/>
      <c r="N509" s="11"/>
      <c r="O509" s="10"/>
      <c r="P509" s="11"/>
      <c r="Q509" s="11"/>
      <c r="R509" s="12"/>
    </row>
    <row r="510" spans="1:18" x14ac:dyDescent="0.25">
      <c r="A510" s="8"/>
      <c r="B510" s="9"/>
      <c r="C510" s="10"/>
      <c r="D510" s="10"/>
      <c r="E510" s="9"/>
      <c r="F510" s="11"/>
      <c r="G510" s="9"/>
      <c r="H510" s="10"/>
      <c r="I510" s="10"/>
      <c r="J510" s="11"/>
      <c r="K510" s="11"/>
      <c r="L510" s="11"/>
      <c r="M510" s="10"/>
      <c r="N510" s="11"/>
      <c r="O510" s="10"/>
      <c r="P510" s="11"/>
      <c r="Q510" s="11"/>
      <c r="R510" s="12"/>
    </row>
    <row r="511" spans="1:18" x14ac:dyDescent="0.25">
      <c r="A511" s="8"/>
      <c r="B511" s="9"/>
      <c r="C511" s="10"/>
      <c r="D511" s="10"/>
      <c r="E511" s="9"/>
      <c r="F511" s="11"/>
      <c r="G511" s="9"/>
      <c r="H511" s="10"/>
      <c r="I511" s="10"/>
      <c r="J511" s="11"/>
      <c r="K511" s="11"/>
      <c r="L511" s="11"/>
      <c r="M511" s="10"/>
      <c r="N511" s="11"/>
      <c r="O511" s="10"/>
      <c r="P511" s="11"/>
      <c r="Q511" s="11"/>
      <c r="R511" s="12"/>
    </row>
    <row r="512" spans="1:18" x14ac:dyDescent="0.25">
      <c r="A512" s="8"/>
      <c r="B512" s="9"/>
      <c r="C512" s="10"/>
      <c r="D512" s="10"/>
      <c r="E512" s="9"/>
      <c r="F512" s="11"/>
      <c r="G512" s="9"/>
      <c r="H512" s="10"/>
      <c r="I512" s="10"/>
      <c r="J512" s="11"/>
      <c r="K512" s="11"/>
      <c r="L512" s="11"/>
      <c r="M512" s="10"/>
      <c r="N512" s="11"/>
      <c r="O512" s="10"/>
      <c r="P512" s="11"/>
      <c r="Q512" s="11"/>
      <c r="R512" s="12"/>
    </row>
    <row r="513" spans="1:18" x14ac:dyDescent="0.25">
      <c r="A513" s="8"/>
      <c r="B513" s="9"/>
      <c r="C513" s="10"/>
      <c r="D513" s="10"/>
      <c r="E513" s="9"/>
      <c r="F513" s="11"/>
      <c r="G513" s="9"/>
      <c r="H513" s="10"/>
      <c r="I513" s="10"/>
      <c r="J513" s="11"/>
      <c r="K513" s="11"/>
      <c r="L513" s="11"/>
      <c r="M513" s="10"/>
      <c r="N513" s="11"/>
      <c r="O513" s="10"/>
      <c r="P513" s="11"/>
      <c r="Q513" s="11"/>
      <c r="R513" s="12"/>
    </row>
    <row r="514" spans="1:18" x14ac:dyDescent="0.25">
      <c r="A514" s="8"/>
      <c r="B514" s="9"/>
      <c r="C514" s="10"/>
      <c r="D514" s="10"/>
      <c r="E514" s="9"/>
      <c r="F514" s="11"/>
      <c r="G514" s="9"/>
      <c r="H514" s="10"/>
      <c r="I514" s="10"/>
      <c r="J514" s="11"/>
      <c r="K514" s="11"/>
      <c r="L514" s="11"/>
      <c r="M514" s="10"/>
      <c r="N514" s="11"/>
      <c r="O514" s="10"/>
      <c r="P514" s="11"/>
      <c r="Q514" s="11"/>
      <c r="R514" s="12"/>
    </row>
    <row r="515" spans="1:18" x14ac:dyDescent="0.25">
      <c r="A515" s="8"/>
      <c r="B515" s="9"/>
      <c r="C515" s="10"/>
      <c r="D515" s="10"/>
      <c r="E515" s="9"/>
      <c r="F515" s="11"/>
      <c r="G515" s="9"/>
      <c r="H515" s="10"/>
      <c r="I515" s="10"/>
      <c r="J515" s="11"/>
      <c r="K515" s="11"/>
      <c r="L515" s="11"/>
      <c r="M515" s="10"/>
      <c r="N515" s="11"/>
      <c r="O515" s="10"/>
      <c r="P515" s="11"/>
      <c r="Q515" s="11"/>
      <c r="R515" s="12"/>
    </row>
    <row r="516" spans="1:18" x14ac:dyDescent="0.25">
      <c r="A516" s="8"/>
      <c r="B516" s="9"/>
      <c r="C516" s="10"/>
      <c r="D516" s="10"/>
      <c r="E516" s="9"/>
      <c r="F516" s="11"/>
      <c r="G516" s="9"/>
      <c r="H516" s="10"/>
      <c r="I516" s="10"/>
      <c r="J516" s="11"/>
      <c r="K516" s="11"/>
      <c r="L516" s="11"/>
      <c r="M516" s="10"/>
      <c r="N516" s="11"/>
      <c r="O516" s="10"/>
      <c r="P516" s="11"/>
      <c r="Q516" s="11"/>
      <c r="R516" s="12"/>
    </row>
    <row r="517" spans="1:18" x14ac:dyDescent="0.25">
      <c r="A517" s="8"/>
      <c r="B517" s="9"/>
      <c r="C517" s="10"/>
      <c r="D517" s="10"/>
      <c r="E517" s="9"/>
      <c r="F517" s="11"/>
      <c r="G517" s="9"/>
      <c r="H517" s="10"/>
      <c r="I517" s="10"/>
      <c r="J517" s="11"/>
      <c r="K517" s="11"/>
      <c r="L517" s="11"/>
      <c r="M517" s="10"/>
      <c r="N517" s="11"/>
      <c r="O517" s="10"/>
      <c r="P517" s="11"/>
      <c r="Q517" s="11"/>
      <c r="R517" s="12"/>
    </row>
    <row r="518" spans="1:18" x14ac:dyDescent="0.25">
      <c r="A518" s="8"/>
      <c r="B518" s="9"/>
      <c r="C518" s="10"/>
      <c r="D518" s="10"/>
      <c r="E518" s="9"/>
      <c r="F518" s="11"/>
      <c r="G518" s="9"/>
      <c r="H518" s="10"/>
      <c r="I518" s="10"/>
      <c r="J518" s="11"/>
      <c r="K518" s="11"/>
      <c r="L518" s="11"/>
      <c r="M518" s="10"/>
      <c r="N518" s="11"/>
      <c r="O518" s="10"/>
      <c r="P518" s="11"/>
      <c r="Q518" s="11"/>
      <c r="R518" s="12"/>
    </row>
    <row r="519" spans="1:18" x14ac:dyDescent="0.25">
      <c r="A519" s="8"/>
      <c r="B519" s="9"/>
      <c r="C519" s="10"/>
      <c r="D519" s="10"/>
      <c r="E519" s="9"/>
      <c r="F519" s="11"/>
      <c r="G519" s="9"/>
      <c r="H519" s="10"/>
      <c r="I519" s="10"/>
      <c r="J519" s="11"/>
      <c r="K519" s="11"/>
      <c r="L519" s="11"/>
      <c r="M519" s="10"/>
      <c r="N519" s="11"/>
      <c r="O519" s="10"/>
      <c r="P519" s="11"/>
      <c r="Q519" s="11"/>
      <c r="R519" s="12"/>
    </row>
    <row r="520" spans="1:18" x14ac:dyDescent="0.25">
      <c r="A520" s="8"/>
      <c r="B520" s="9"/>
      <c r="C520" s="10"/>
      <c r="D520" s="10"/>
      <c r="E520" s="9"/>
      <c r="F520" s="11"/>
      <c r="G520" s="9"/>
      <c r="H520" s="10"/>
      <c r="I520" s="10"/>
      <c r="J520" s="11"/>
      <c r="K520" s="11"/>
      <c r="L520" s="11"/>
      <c r="M520" s="10"/>
      <c r="N520" s="11"/>
      <c r="O520" s="10"/>
      <c r="P520" s="11"/>
      <c r="Q520" s="11"/>
      <c r="R520" s="12"/>
    </row>
    <row r="521" spans="1:18" x14ac:dyDescent="0.25">
      <c r="A521" s="8"/>
      <c r="B521" s="9"/>
      <c r="C521" s="10"/>
      <c r="D521" s="10"/>
      <c r="E521" s="9"/>
      <c r="F521" s="11"/>
      <c r="G521" s="9"/>
      <c r="H521" s="10"/>
      <c r="I521" s="10"/>
      <c r="J521" s="11"/>
      <c r="K521" s="11"/>
      <c r="L521" s="11"/>
      <c r="M521" s="10"/>
      <c r="N521" s="11"/>
      <c r="O521" s="10"/>
      <c r="P521" s="11"/>
      <c r="Q521" s="11"/>
      <c r="R521" s="12"/>
    </row>
    <row r="522" spans="1:18" x14ac:dyDescent="0.25">
      <c r="A522" s="8"/>
      <c r="B522" s="9"/>
      <c r="C522" s="10"/>
      <c r="D522" s="10"/>
      <c r="E522" s="9"/>
      <c r="F522" s="11"/>
      <c r="G522" s="9"/>
      <c r="H522" s="10"/>
      <c r="I522" s="10"/>
      <c r="J522" s="11"/>
      <c r="K522" s="11"/>
      <c r="L522" s="11"/>
      <c r="M522" s="10"/>
      <c r="N522" s="11"/>
      <c r="O522" s="10"/>
      <c r="P522" s="11"/>
      <c r="Q522" s="11"/>
      <c r="R522" s="12"/>
    </row>
    <row r="523" spans="1:18" x14ac:dyDescent="0.25">
      <c r="A523" s="8"/>
      <c r="B523" s="9"/>
      <c r="C523" s="10"/>
      <c r="D523" s="10"/>
      <c r="E523" s="9"/>
      <c r="F523" s="11"/>
      <c r="G523" s="9"/>
      <c r="H523" s="10"/>
      <c r="I523" s="10"/>
      <c r="J523" s="11"/>
      <c r="K523" s="11"/>
      <c r="L523" s="11"/>
      <c r="M523" s="10"/>
      <c r="N523" s="11"/>
      <c r="O523" s="10"/>
      <c r="P523" s="11"/>
      <c r="Q523" s="11"/>
      <c r="R523" s="12"/>
    </row>
    <row r="524" spans="1:18" x14ac:dyDescent="0.25">
      <c r="A524" s="8"/>
      <c r="B524" s="9"/>
      <c r="C524" s="10"/>
      <c r="D524" s="10"/>
      <c r="E524" s="9"/>
      <c r="F524" s="11"/>
      <c r="G524" s="9"/>
      <c r="H524" s="10"/>
      <c r="I524" s="10"/>
      <c r="J524" s="11"/>
      <c r="K524" s="11"/>
      <c r="L524" s="11"/>
      <c r="M524" s="10"/>
      <c r="N524" s="11"/>
      <c r="O524" s="10"/>
      <c r="P524" s="11"/>
      <c r="Q524" s="11"/>
      <c r="R524" s="12"/>
    </row>
    <row r="525" spans="1:18" x14ac:dyDescent="0.25">
      <c r="A525" s="8"/>
      <c r="B525" s="9"/>
      <c r="C525" s="10"/>
      <c r="D525" s="10"/>
      <c r="E525" s="9"/>
      <c r="F525" s="11"/>
      <c r="G525" s="9"/>
      <c r="H525" s="10"/>
      <c r="I525" s="10"/>
      <c r="J525" s="11"/>
      <c r="K525" s="11"/>
      <c r="L525" s="11"/>
      <c r="M525" s="10"/>
      <c r="N525" s="11"/>
      <c r="O525" s="10"/>
      <c r="P525" s="11"/>
      <c r="Q525" s="11"/>
      <c r="R525" s="12"/>
    </row>
    <row r="526" spans="1:18" x14ac:dyDescent="0.25">
      <c r="A526" s="8"/>
      <c r="B526" s="9"/>
      <c r="C526" s="10"/>
      <c r="D526" s="10"/>
      <c r="E526" s="9"/>
      <c r="F526" s="11"/>
      <c r="G526" s="9"/>
      <c r="H526" s="10"/>
      <c r="I526" s="10"/>
      <c r="J526" s="11"/>
      <c r="K526" s="11"/>
      <c r="L526" s="11"/>
      <c r="M526" s="10"/>
      <c r="N526" s="11"/>
      <c r="O526" s="10"/>
      <c r="P526" s="11"/>
      <c r="Q526" s="11"/>
      <c r="R526" s="12"/>
    </row>
    <row r="527" spans="1:18" x14ac:dyDescent="0.25">
      <c r="A527" s="8"/>
      <c r="B527" s="9"/>
      <c r="C527" s="10"/>
      <c r="D527" s="10"/>
      <c r="E527" s="9"/>
      <c r="F527" s="11"/>
      <c r="G527" s="9"/>
      <c r="H527" s="10"/>
      <c r="I527" s="10"/>
      <c r="J527" s="11"/>
      <c r="K527" s="11"/>
      <c r="L527" s="11"/>
      <c r="M527" s="10"/>
      <c r="N527" s="11"/>
      <c r="O527" s="10"/>
      <c r="P527" s="11"/>
      <c r="Q527" s="11"/>
      <c r="R527" s="12"/>
    </row>
    <row r="528" spans="1:18" x14ac:dyDescent="0.25">
      <c r="A528" s="8"/>
      <c r="B528" s="9"/>
      <c r="C528" s="10"/>
      <c r="D528" s="10"/>
      <c r="E528" s="9"/>
      <c r="F528" s="11"/>
      <c r="G528" s="9"/>
      <c r="H528" s="10"/>
      <c r="I528" s="10"/>
      <c r="J528" s="11"/>
      <c r="K528" s="11"/>
      <c r="L528" s="11"/>
      <c r="M528" s="10"/>
      <c r="N528" s="11"/>
      <c r="O528" s="10"/>
      <c r="P528" s="11"/>
      <c r="Q528" s="11"/>
      <c r="R528" s="12"/>
    </row>
    <row r="529" spans="1:18" x14ac:dyDescent="0.25">
      <c r="A529" s="8"/>
      <c r="B529" s="9"/>
      <c r="C529" s="10"/>
      <c r="D529" s="10"/>
      <c r="E529" s="9"/>
      <c r="F529" s="11"/>
      <c r="G529" s="9"/>
      <c r="H529" s="10"/>
      <c r="I529" s="10"/>
      <c r="J529" s="11"/>
      <c r="K529" s="11"/>
      <c r="L529" s="11"/>
      <c r="M529" s="10"/>
      <c r="N529" s="11"/>
      <c r="O529" s="10"/>
      <c r="P529" s="11"/>
      <c r="Q529" s="11"/>
      <c r="R529" s="12"/>
    </row>
    <row r="530" spans="1:18" x14ac:dyDescent="0.25">
      <c r="A530" s="8"/>
      <c r="B530" s="9"/>
      <c r="C530" s="10"/>
      <c r="D530" s="10"/>
      <c r="E530" s="9"/>
      <c r="F530" s="11"/>
      <c r="G530" s="9"/>
      <c r="H530" s="10"/>
      <c r="I530" s="10"/>
      <c r="J530" s="11"/>
      <c r="K530" s="11"/>
      <c r="L530" s="11"/>
      <c r="M530" s="10"/>
      <c r="N530" s="11"/>
      <c r="O530" s="10"/>
      <c r="P530" s="11"/>
      <c r="Q530" s="11"/>
      <c r="R530" s="12"/>
    </row>
    <row r="531" spans="1:18" x14ac:dyDescent="0.25">
      <c r="A531" s="8"/>
      <c r="B531" s="9"/>
      <c r="C531" s="10"/>
      <c r="D531" s="10"/>
      <c r="E531" s="9"/>
      <c r="F531" s="11"/>
      <c r="G531" s="9"/>
      <c r="H531" s="10"/>
      <c r="I531" s="10"/>
      <c r="J531" s="11"/>
      <c r="K531" s="11"/>
      <c r="L531" s="11"/>
      <c r="M531" s="10"/>
      <c r="N531" s="11"/>
      <c r="O531" s="10"/>
      <c r="P531" s="11"/>
      <c r="Q531" s="11"/>
      <c r="R531" s="12"/>
    </row>
    <row r="532" spans="1:18" x14ac:dyDescent="0.25">
      <c r="A532" s="8"/>
      <c r="B532" s="9"/>
      <c r="C532" s="10"/>
      <c r="D532" s="10"/>
      <c r="E532" s="9"/>
      <c r="F532" s="11"/>
      <c r="G532" s="9"/>
      <c r="H532" s="10"/>
      <c r="I532" s="10"/>
      <c r="J532" s="11"/>
      <c r="K532" s="11"/>
      <c r="L532" s="11"/>
      <c r="M532" s="10"/>
      <c r="N532" s="11"/>
      <c r="O532" s="10"/>
      <c r="P532" s="11"/>
      <c r="Q532" s="11"/>
      <c r="R532" s="12"/>
    </row>
    <row r="533" spans="1:18" x14ac:dyDescent="0.25">
      <c r="A533" s="8"/>
      <c r="B533" s="9"/>
      <c r="C533" s="10"/>
      <c r="D533" s="10"/>
      <c r="E533" s="9"/>
      <c r="F533" s="11"/>
      <c r="G533" s="9"/>
      <c r="H533" s="10"/>
      <c r="I533" s="10"/>
      <c r="J533" s="11"/>
      <c r="K533" s="11"/>
      <c r="L533" s="11"/>
      <c r="M533" s="10"/>
      <c r="N533" s="11"/>
      <c r="O533" s="10"/>
      <c r="P533" s="11"/>
      <c r="Q533" s="11"/>
      <c r="R533" s="12"/>
    </row>
    <row r="534" spans="1:18" x14ac:dyDescent="0.25">
      <c r="A534" s="8"/>
      <c r="B534" s="9"/>
      <c r="C534" s="10"/>
      <c r="D534" s="10"/>
      <c r="E534" s="9"/>
      <c r="F534" s="11"/>
      <c r="G534" s="9"/>
      <c r="H534" s="10"/>
      <c r="I534" s="10"/>
      <c r="J534" s="11"/>
      <c r="K534" s="11"/>
      <c r="L534" s="11"/>
      <c r="M534" s="10"/>
      <c r="N534" s="11"/>
      <c r="O534" s="10"/>
      <c r="P534" s="11"/>
      <c r="Q534" s="11"/>
      <c r="R534" s="12"/>
    </row>
    <row r="535" spans="1:18" x14ac:dyDescent="0.25">
      <c r="A535" s="8"/>
      <c r="B535" s="9"/>
      <c r="C535" s="10"/>
      <c r="D535" s="10"/>
      <c r="E535" s="9"/>
      <c r="F535" s="11"/>
      <c r="G535" s="9"/>
      <c r="H535" s="10"/>
      <c r="I535" s="10"/>
      <c r="J535" s="11"/>
      <c r="K535" s="11"/>
      <c r="L535" s="11"/>
      <c r="M535" s="10"/>
      <c r="N535" s="11"/>
      <c r="O535" s="10"/>
      <c r="P535" s="11"/>
      <c r="Q535" s="11"/>
      <c r="R535" s="12"/>
    </row>
    <row r="536" spans="1:18" x14ac:dyDescent="0.25">
      <c r="A536" s="8"/>
      <c r="B536" s="9"/>
      <c r="C536" s="10"/>
      <c r="D536" s="10"/>
      <c r="E536" s="9"/>
      <c r="F536" s="11"/>
      <c r="G536" s="9"/>
      <c r="H536" s="10"/>
      <c r="I536" s="10"/>
      <c r="J536" s="11"/>
      <c r="K536" s="11"/>
      <c r="L536" s="11"/>
      <c r="M536" s="10"/>
      <c r="N536" s="11"/>
      <c r="O536" s="10"/>
      <c r="P536" s="11"/>
      <c r="Q536" s="11"/>
      <c r="R536" s="12"/>
    </row>
    <row r="537" spans="1:18" x14ac:dyDescent="0.25">
      <c r="A537" s="8"/>
      <c r="B537" s="9"/>
      <c r="C537" s="10"/>
      <c r="D537" s="10"/>
      <c r="E537" s="9"/>
      <c r="F537" s="11"/>
      <c r="G537" s="9"/>
      <c r="H537" s="10"/>
      <c r="I537" s="10"/>
      <c r="J537" s="11"/>
      <c r="K537" s="11"/>
      <c r="L537" s="11"/>
      <c r="M537" s="10"/>
      <c r="N537" s="11"/>
      <c r="O537" s="10"/>
      <c r="P537" s="11"/>
      <c r="Q537" s="11"/>
      <c r="R537" s="12"/>
    </row>
    <row r="538" spans="1:18" x14ac:dyDescent="0.25">
      <c r="A538" s="8"/>
      <c r="B538" s="9"/>
      <c r="C538" s="10"/>
      <c r="D538" s="10"/>
      <c r="E538" s="9"/>
      <c r="F538" s="11"/>
      <c r="G538" s="9"/>
      <c r="H538" s="10"/>
      <c r="I538" s="10"/>
      <c r="J538" s="11"/>
      <c r="K538" s="11"/>
      <c r="L538" s="11"/>
      <c r="M538" s="10"/>
      <c r="N538" s="11"/>
      <c r="O538" s="10"/>
      <c r="P538" s="11"/>
      <c r="Q538" s="11"/>
      <c r="R538" s="12"/>
    </row>
    <row r="539" spans="1:18" x14ac:dyDescent="0.25">
      <c r="A539" s="8"/>
      <c r="B539" s="9"/>
      <c r="C539" s="10"/>
      <c r="D539" s="10"/>
      <c r="E539" s="9"/>
      <c r="F539" s="11"/>
      <c r="G539" s="9"/>
      <c r="H539" s="10"/>
      <c r="I539" s="10"/>
      <c r="J539" s="11"/>
      <c r="K539" s="11"/>
      <c r="L539" s="11"/>
      <c r="M539" s="10"/>
      <c r="N539" s="11"/>
      <c r="O539" s="10"/>
      <c r="P539" s="11"/>
      <c r="Q539" s="11"/>
      <c r="R539" s="12"/>
    </row>
    <row r="540" spans="1:18" x14ac:dyDescent="0.25">
      <c r="A540" s="8"/>
      <c r="B540" s="9"/>
      <c r="C540" s="10"/>
      <c r="D540" s="10"/>
      <c r="E540" s="9"/>
      <c r="F540" s="11"/>
      <c r="G540" s="9"/>
      <c r="H540" s="10"/>
      <c r="I540" s="10"/>
      <c r="J540" s="11"/>
      <c r="K540" s="11"/>
      <c r="L540" s="11"/>
      <c r="M540" s="10"/>
      <c r="N540" s="11"/>
      <c r="O540" s="10"/>
      <c r="P540" s="11"/>
      <c r="Q540" s="11"/>
      <c r="R540" s="12"/>
    </row>
    <row r="541" spans="1:18" x14ac:dyDescent="0.25">
      <c r="A541" s="8"/>
      <c r="B541" s="9"/>
      <c r="C541" s="10"/>
      <c r="D541" s="10"/>
      <c r="E541" s="9"/>
      <c r="F541" s="11"/>
      <c r="G541" s="9"/>
      <c r="H541" s="10"/>
      <c r="I541" s="10"/>
      <c r="J541" s="11"/>
      <c r="K541" s="11"/>
      <c r="L541" s="11"/>
      <c r="M541" s="10"/>
      <c r="N541" s="11"/>
      <c r="O541" s="10"/>
      <c r="P541" s="11"/>
      <c r="Q541" s="11"/>
      <c r="R541" s="12"/>
    </row>
    <row r="542" spans="1:18" x14ac:dyDescent="0.25">
      <c r="A542" s="8"/>
      <c r="B542" s="9"/>
      <c r="C542" s="10"/>
      <c r="D542" s="10"/>
      <c r="E542" s="9"/>
      <c r="F542" s="11"/>
      <c r="G542" s="9"/>
      <c r="H542" s="10"/>
      <c r="I542" s="10"/>
      <c r="J542" s="11"/>
      <c r="K542" s="11"/>
      <c r="L542" s="11"/>
      <c r="M542" s="10"/>
      <c r="N542" s="11"/>
      <c r="O542" s="10"/>
      <c r="P542" s="11"/>
      <c r="Q542" s="11"/>
      <c r="R542" s="12"/>
    </row>
    <row r="543" spans="1:18" x14ac:dyDescent="0.25">
      <c r="A543" s="8"/>
      <c r="B543" s="9"/>
      <c r="C543" s="10"/>
      <c r="D543" s="10"/>
      <c r="E543" s="9"/>
      <c r="F543" s="11"/>
      <c r="G543" s="9"/>
      <c r="H543" s="10"/>
      <c r="I543" s="10"/>
      <c r="J543" s="11"/>
      <c r="K543" s="11"/>
      <c r="L543" s="11"/>
      <c r="M543" s="10"/>
      <c r="N543" s="11"/>
      <c r="O543" s="10"/>
      <c r="P543" s="11"/>
      <c r="Q543" s="11"/>
      <c r="R543" s="12"/>
    </row>
    <row r="544" spans="1:18" x14ac:dyDescent="0.25">
      <c r="A544" s="8"/>
      <c r="B544" s="9"/>
      <c r="C544" s="10"/>
      <c r="D544" s="10"/>
      <c r="E544" s="9"/>
      <c r="F544" s="11"/>
      <c r="G544" s="9"/>
      <c r="H544" s="10"/>
      <c r="I544" s="10"/>
      <c r="J544" s="11"/>
      <c r="K544" s="11"/>
      <c r="L544" s="11"/>
      <c r="M544" s="10"/>
      <c r="N544" s="11"/>
      <c r="O544" s="10"/>
      <c r="P544" s="11"/>
      <c r="Q544" s="11"/>
      <c r="R544" s="12"/>
    </row>
    <row r="545" spans="1:18" x14ac:dyDescent="0.25">
      <c r="A545" s="8"/>
      <c r="B545" s="9"/>
      <c r="C545" s="10"/>
      <c r="D545" s="10"/>
      <c r="E545" s="9"/>
      <c r="F545" s="11"/>
      <c r="G545" s="9"/>
      <c r="H545" s="10"/>
      <c r="I545" s="10"/>
      <c r="J545" s="11"/>
      <c r="K545" s="11"/>
      <c r="L545" s="11"/>
      <c r="M545" s="10"/>
      <c r="N545" s="11"/>
      <c r="O545" s="10"/>
      <c r="P545" s="11"/>
      <c r="Q545" s="11"/>
      <c r="R545" s="12"/>
    </row>
    <row r="546" spans="1:18" x14ac:dyDescent="0.25">
      <c r="A546" s="8"/>
      <c r="B546" s="9"/>
      <c r="C546" s="10"/>
      <c r="D546" s="10"/>
      <c r="E546" s="9"/>
      <c r="F546" s="11"/>
      <c r="G546" s="9"/>
      <c r="H546" s="10"/>
      <c r="I546" s="10"/>
      <c r="J546" s="11"/>
      <c r="K546" s="11"/>
      <c r="L546" s="11"/>
      <c r="M546" s="10"/>
      <c r="N546" s="11"/>
      <c r="O546" s="10"/>
      <c r="P546" s="11"/>
      <c r="Q546" s="11"/>
      <c r="R546" s="12"/>
    </row>
    <row r="547" spans="1:18" x14ac:dyDescent="0.25">
      <c r="A547" s="8"/>
      <c r="B547" s="9"/>
      <c r="C547" s="10"/>
      <c r="D547" s="10"/>
      <c r="E547" s="9"/>
      <c r="F547" s="11"/>
      <c r="G547" s="9"/>
      <c r="H547" s="10"/>
      <c r="I547" s="10"/>
      <c r="J547" s="11"/>
      <c r="K547" s="11"/>
      <c r="L547" s="11"/>
      <c r="M547" s="10"/>
      <c r="N547" s="11"/>
      <c r="O547" s="10"/>
      <c r="P547" s="11"/>
      <c r="Q547" s="11"/>
      <c r="R547" s="12"/>
    </row>
    <row r="548" spans="1:18" x14ac:dyDescent="0.25">
      <c r="A548" s="8"/>
      <c r="B548" s="9"/>
      <c r="C548" s="10"/>
      <c r="D548" s="10"/>
      <c r="E548" s="9"/>
      <c r="F548" s="11"/>
      <c r="G548" s="9"/>
      <c r="H548" s="10"/>
      <c r="I548" s="10"/>
      <c r="J548" s="11"/>
      <c r="K548" s="11"/>
      <c r="L548" s="11"/>
      <c r="M548" s="10"/>
      <c r="N548" s="11"/>
      <c r="O548" s="10"/>
      <c r="P548" s="11"/>
      <c r="Q548" s="11"/>
      <c r="R548" s="12"/>
    </row>
    <row r="549" spans="1:18" x14ac:dyDescent="0.25">
      <c r="A549" s="8"/>
      <c r="B549" s="9"/>
      <c r="C549" s="10"/>
      <c r="D549" s="10"/>
      <c r="E549" s="9"/>
      <c r="F549" s="11"/>
      <c r="G549" s="9"/>
      <c r="H549" s="10"/>
      <c r="I549" s="10"/>
      <c r="J549" s="11"/>
      <c r="K549" s="11"/>
      <c r="L549" s="11"/>
      <c r="M549" s="10"/>
      <c r="N549" s="11"/>
      <c r="O549" s="10"/>
      <c r="P549" s="11"/>
      <c r="Q549" s="11"/>
      <c r="R549" s="12"/>
    </row>
    <row r="550" spans="1:18" x14ac:dyDescent="0.25">
      <c r="A550" s="8"/>
      <c r="B550" s="9"/>
      <c r="C550" s="10"/>
      <c r="D550" s="10"/>
      <c r="E550" s="9"/>
      <c r="F550" s="11"/>
      <c r="G550" s="9"/>
      <c r="H550" s="10"/>
      <c r="I550" s="10"/>
      <c r="J550" s="11"/>
      <c r="K550" s="11"/>
      <c r="L550" s="11"/>
      <c r="M550" s="10"/>
      <c r="N550" s="11"/>
      <c r="O550" s="10"/>
      <c r="P550" s="11"/>
      <c r="Q550" s="11"/>
      <c r="R550" s="12"/>
    </row>
    <row r="551" spans="1:18" x14ac:dyDescent="0.25">
      <c r="A551" s="8"/>
      <c r="B551" s="9"/>
      <c r="C551" s="10"/>
      <c r="D551" s="10"/>
      <c r="E551" s="9"/>
      <c r="F551" s="11"/>
      <c r="G551" s="9"/>
      <c r="H551" s="10"/>
      <c r="I551" s="10"/>
      <c r="J551" s="11"/>
      <c r="K551" s="11"/>
      <c r="L551" s="11"/>
      <c r="M551" s="10"/>
      <c r="N551" s="11"/>
      <c r="O551" s="10"/>
      <c r="P551" s="11"/>
      <c r="Q551" s="11"/>
      <c r="R551" s="12"/>
    </row>
    <row r="552" spans="1:18" x14ac:dyDescent="0.25">
      <c r="A552" s="8"/>
      <c r="B552" s="9"/>
      <c r="C552" s="10"/>
      <c r="D552" s="10"/>
      <c r="E552" s="9"/>
      <c r="F552" s="11"/>
      <c r="G552" s="9"/>
      <c r="H552" s="10"/>
      <c r="I552" s="10"/>
      <c r="J552" s="11"/>
      <c r="K552" s="11"/>
      <c r="L552" s="11"/>
      <c r="M552" s="10"/>
      <c r="N552" s="11"/>
      <c r="O552" s="10"/>
      <c r="P552" s="11"/>
      <c r="Q552" s="11"/>
      <c r="R552" s="12"/>
    </row>
    <row r="553" spans="1:18" x14ac:dyDescent="0.25">
      <c r="A553" s="8"/>
      <c r="B553" s="9"/>
      <c r="C553" s="10"/>
      <c r="D553" s="10"/>
      <c r="E553" s="9"/>
      <c r="F553" s="11"/>
      <c r="G553" s="9"/>
      <c r="H553" s="10"/>
      <c r="I553" s="10"/>
      <c r="J553" s="11"/>
      <c r="K553" s="11"/>
      <c r="L553" s="11"/>
      <c r="M553" s="10"/>
      <c r="N553" s="11"/>
      <c r="O553" s="10"/>
      <c r="P553" s="11"/>
      <c r="Q553" s="11"/>
      <c r="R553" s="12"/>
    </row>
    <row r="554" spans="1:18" x14ac:dyDescent="0.25">
      <c r="A554" s="8"/>
      <c r="B554" s="9"/>
      <c r="C554" s="10"/>
      <c r="D554" s="10"/>
      <c r="E554" s="9"/>
      <c r="F554" s="11"/>
      <c r="G554" s="9"/>
      <c r="H554" s="10"/>
      <c r="I554" s="10"/>
      <c r="J554" s="11"/>
      <c r="K554" s="11"/>
      <c r="L554" s="11"/>
      <c r="M554" s="10"/>
      <c r="N554" s="11"/>
      <c r="O554" s="10"/>
      <c r="P554" s="11"/>
      <c r="Q554" s="11"/>
      <c r="R554" s="12"/>
    </row>
    <row r="555" spans="1:18" x14ac:dyDescent="0.25">
      <c r="A555" s="8"/>
      <c r="B555" s="9"/>
      <c r="C555" s="10"/>
      <c r="D555" s="10"/>
      <c r="E555" s="9"/>
      <c r="F555" s="11"/>
      <c r="G555" s="9"/>
      <c r="H555" s="10"/>
      <c r="I555" s="10"/>
      <c r="J555" s="11"/>
      <c r="K555" s="11"/>
      <c r="L555" s="11"/>
      <c r="M555" s="10"/>
      <c r="N555" s="11"/>
      <c r="O555" s="10"/>
      <c r="P555" s="11"/>
      <c r="Q555" s="11"/>
      <c r="R555" s="12"/>
    </row>
    <row r="556" spans="1:18" x14ac:dyDescent="0.25">
      <c r="A556" s="8"/>
      <c r="B556" s="9"/>
      <c r="C556" s="10"/>
      <c r="D556" s="10"/>
      <c r="E556" s="9"/>
      <c r="F556" s="11"/>
      <c r="G556" s="9"/>
      <c r="H556" s="10"/>
      <c r="I556" s="10"/>
      <c r="J556" s="11"/>
      <c r="K556" s="11"/>
      <c r="L556" s="11"/>
      <c r="M556" s="10"/>
      <c r="N556" s="11"/>
      <c r="O556" s="10"/>
      <c r="P556" s="11"/>
      <c r="Q556" s="11"/>
      <c r="R556" s="12"/>
    </row>
    <row r="557" spans="1:18" x14ac:dyDescent="0.25">
      <c r="A557" s="8"/>
      <c r="B557" s="9"/>
      <c r="C557" s="10"/>
      <c r="D557" s="10"/>
      <c r="E557" s="9"/>
      <c r="F557" s="11"/>
      <c r="G557" s="9"/>
      <c r="H557" s="10"/>
      <c r="I557" s="10"/>
      <c r="J557" s="11"/>
      <c r="K557" s="11"/>
      <c r="L557" s="11"/>
      <c r="M557" s="10"/>
      <c r="N557" s="11"/>
      <c r="O557" s="10"/>
      <c r="P557" s="11"/>
      <c r="Q557" s="11"/>
      <c r="R557" s="12"/>
    </row>
    <row r="558" spans="1:18" x14ac:dyDescent="0.25">
      <c r="A558" s="8"/>
      <c r="B558" s="9"/>
      <c r="C558" s="10"/>
      <c r="D558" s="10"/>
      <c r="E558" s="9"/>
      <c r="F558" s="11"/>
      <c r="G558" s="9"/>
      <c r="H558" s="10"/>
      <c r="I558" s="10"/>
      <c r="J558" s="11"/>
      <c r="K558" s="11"/>
      <c r="L558" s="11"/>
      <c r="M558" s="10"/>
      <c r="N558" s="11"/>
      <c r="O558" s="10"/>
      <c r="P558" s="11"/>
      <c r="Q558" s="11"/>
      <c r="R558" s="12"/>
    </row>
    <row r="559" spans="1:18" x14ac:dyDescent="0.25">
      <c r="A559" s="8"/>
      <c r="B559" s="9"/>
      <c r="C559" s="10"/>
      <c r="D559" s="10"/>
      <c r="E559" s="9"/>
      <c r="F559" s="11"/>
      <c r="G559" s="9"/>
      <c r="H559" s="10"/>
      <c r="I559" s="10"/>
      <c r="J559" s="11"/>
      <c r="K559" s="11"/>
      <c r="L559" s="11"/>
      <c r="M559" s="10"/>
      <c r="N559" s="11"/>
      <c r="O559" s="10"/>
      <c r="P559" s="11"/>
      <c r="Q559" s="11"/>
      <c r="R559" s="12"/>
    </row>
    <row r="560" spans="1:18" x14ac:dyDescent="0.25">
      <c r="A560" s="8"/>
      <c r="B560" s="9"/>
      <c r="C560" s="10"/>
      <c r="D560" s="10"/>
      <c r="E560" s="9"/>
      <c r="F560" s="11"/>
      <c r="G560" s="9"/>
      <c r="H560" s="10"/>
      <c r="I560" s="10"/>
      <c r="J560" s="11"/>
      <c r="K560" s="11"/>
      <c r="L560" s="11"/>
      <c r="M560" s="10"/>
      <c r="N560" s="11"/>
      <c r="O560" s="10"/>
      <c r="P560" s="11"/>
      <c r="Q560" s="11"/>
      <c r="R560" s="12"/>
    </row>
    <row r="561" spans="1:18" x14ac:dyDescent="0.25">
      <c r="A561" s="8"/>
      <c r="B561" s="9"/>
      <c r="C561" s="10"/>
      <c r="D561" s="10"/>
      <c r="E561" s="9"/>
      <c r="F561" s="11"/>
      <c r="G561" s="9"/>
      <c r="H561" s="10"/>
      <c r="I561" s="10"/>
      <c r="J561" s="11"/>
      <c r="K561" s="11"/>
      <c r="L561" s="11"/>
      <c r="M561" s="10"/>
      <c r="N561" s="11"/>
      <c r="O561" s="10"/>
      <c r="P561" s="11"/>
      <c r="Q561" s="11"/>
      <c r="R561" s="12"/>
    </row>
    <row r="562" spans="1:18" x14ac:dyDescent="0.25">
      <c r="A562" s="8"/>
      <c r="B562" s="9"/>
      <c r="C562" s="10"/>
      <c r="D562" s="10"/>
      <c r="E562" s="9"/>
      <c r="F562" s="11"/>
      <c r="G562" s="9"/>
      <c r="H562" s="10"/>
      <c r="I562" s="10"/>
      <c r="J562" s="11"/>
      <c r="K562" s="11"/>
      <c r="L562" s="11"/>
      <c r="M562" s="10"/>
      <c r="N562" s="11"/>
      <c r="O562" s="10"/>
      <c r="P562" s="11"/>
      <c r="Q562" s="11"/>
      <c r="R562" s="12"/>
    </row>
    <row r="563" spans="1:18" x14ac:dyDescent="0.25">
      <c r="A563" s="8"/>
      <c r="B563" s="9"/>
      <c r="C563" s="10"/>
      <c r="D563" s="10"/>
      <c r="E563" s="9"/>
      <c r="F563" s="11"/>
      <c r="G563" s="9"/>
      <c r="H563" s="10"/>
      <c r="I563" s="10"/>
      <c r="J563" s="11"/>
      <c r="K563" s="11"/>
      <c r="L563" s="11"/>
      <c r="M563" s="10"/>
      <c r="N563" s="11"/>
      <c r="O563" s="10"/>
      <c r="P563" s="11"/>
      <c r="Q563" s="11"/>
      <c r="R563" s="12"/>
    </row>
    <row r="564" spans="1:18" x14ac:dyDescent="0.25">
      <c r="A564" s="8"/>
      <c r="B564" s="9"/>
      <c r="C564" s="10"/>
      <c r="D564" s="10"/>
      <c r="E564" s="9"/>
      <c r="F564" s="11"/>
      <c r="G564" s="9"/>
      <c r="H564" s="10"/>
      <c r="I564" s="10"/>
      <c r="J564" s="11"/>
      <c r="K564" s="11"/>
      <c r="L564" s="11"/>
      <c r="M564" s="10"/>
      <c r="N564" s="11"/>
      <c r="O564" s="10"/>
      <c r="P564" s="11"/>
      <c r="Q564" s="11"/>
      <c r="R564" s="12"/>
    </row>
    <row r="565" spans="1:18" x14ac:dyDescent="0.25">
      <c r="A565" s="8"/>
      <c r="B565" s="9"/>
      <c r="C565" s="10"/>
      <c r="D565" s="10"/>
      <c r="E565" s="9"/>
      <c r="F565" s="11"/>
      <c r="G565" s="9"/>
      <c r="H565" s="10"/>
      <c r="I565" s="10"/>
      <c r="J565" s="11"/>
      <c r="K565" s="11"/>
      <c r="L565" s="11"/>
      <c r="M565" s="10"/>
      <c r="N565" s="11"/>
      <c r="O565" s="10"/>
      <c r="P565" s="11"/>
      <c r="Q565" s="11"/>
      <c r="R565" s="12"/>
    </row>
    <row r="566" spans="1:18" x14ac:dyDescent="0.25">
      <c r="A566" s="8"/>
      <c r="B566" s="9"/>
      <c r="C566" s="10"/>
      <c r="D566" s="10"/>
      <c r="E566" s="9"/>
      <c r="F566" s="11"/>
      <c r="G566" s="9"/>
      <c r="H566" s="10"/>
      <c r="I566" s="10"/>
      <c r="J566" s="11"/>
      <c r="K566" s="11"/>
      <c r="L566" s="11"/>
      <c r="M566" s="10"/>
      <c r="N566" s="11"/>
      <c r="O566" s="10"/>
      <c r="P566" s="11"/>
      <c r="Q566" s="11"/>
      <c r="R566" s="12"/>
    </row>
    <row r="567" spans="1:18" x14ac:dyDescent="0.25">
      <c r="A567" s="8"/>
      <c r="B567" s="9"/>
      <c r="C567" s="10"/>
      <c r="D567" s="10"/>
      <c r="E567" s="9"/>
      <c r="F567" s="11"/>
      <c r="G567" s="9"/>
      <c r="H567" s="10"/>
      <c r="I567" s="10"/>
      <c r="J567" s="11"/>
      <c r="K567" s="11"/>
      <c r="L567" s="11"/>
      <c r="M567" s="10"/>
      <c r="N567" s="11"/>
      <c r="O567" s="10"/>
      <c r="P567" s="11"/>
      <c r="Q567" s="11"/>
      <c r="R567" s="12"/>
    </row>
    <row r="568" spans="1:18" x14ac:dyDescent="0.25">
      <c r="A568" s="8"/>
      <c r="B568" s="9"/>
      <c r="C568" s="10"/>
      <c r="D568" s="10"/>
      <c r="E568" s="9"/>
      <c r="F568" s="11"/>
      <c r="G568" s="9"/>
      <c r="H568" s="10"/>
      <c r="I568" s="10"/>
      <c r="J568" s="11"/>
      <c r="K568" s="11"/>
      <c r="L568" s="11"/>
      <c r="M568" s="10"/>
      <c r="N568" s="11"/>
      <c r="O568" s="10"/>
      <c r="P568" s="11"/>
      <c r="Q568" s="11"/>
      <c r="R568" s="12"/>
    </row>
    <row r="569" spans="1:18" x14ac:dyDescent="0.25">
      <c r="A569" s="8"/>
      <c r="B569" s="9"/>
      <c r="C569" s="10"/>
      <c r="D569" s="10"/>
      <c r="E569" s="9"/>
      <c r="F569" s="11"/>
      <c r="G569" s="9"/>
      <c r="H569" s="10"/>
      <c r="I569" s="10"/>
      <c r="J569" s="11"/>
      <c r="K569" s="11"/>
      <c r="L569" s="11"/>
      <c r="M569" s="10"/>
      <c r="N569" s="11"/>
      <c r="O569" s="10"/>
      <c r="P569" s="11"/>
      <c r="Q569" s="11"/>
      <c r="R569" s="12"/>
    </row>
    <row r="570" spans="1:18" x14ac:dyDescent="0.25">
      <c r="A570" s="8"/>
      <c r="B570" s="9"/>
      <c r="C570" s="10"/>
      <c r="D570" s="10"/>
      <c r="E570" s="9"/>
      <c r="F570" s="11"/>
      <c r="G570" s="9"/>
      <c r="H570" s="10"/>
      <c r="I570" s="10"/>
      <c r="J570" s="11"/>
      <c r="K570" s="11"/>
      <c r="L570" s="11"/>
      <c r="M570" s="10"/>
      <c r="N570" s="11"/>
      <c r="O570" s="10"/>
      <c r="P570" s="11"/>
      <c r="Q570" s="11"/>
      <c r="R570" s="12"/>
    </row>
    <row r="571" spans="1:18" x14ac:dyDescent="0.25">
      <c r="A571" s="8"/>
      <c r="B571" s="9"/>
      <c r="C571" s="10"/>
      <c r="D571" s="10"/>
      <c r="E571" s="9"/>
      <c r="F571" s="11"/>
      <c r="G571" s="9"/>
      <c r="H571" s="10"/>
      <c r="I571" s="10"/>
      <c r="J571" s="11"/>
      <c r="K571" s="11"/>
      <c r="L571" s="11"/>
      <c r="M571" s="10"/>
      <c r="N571" s="11"/>
      <c r="O571" s="10"/>
      <c r="P571" s="11"/>
      <c r="Q571" s="11"/>
      <c r="R571" s="12"/>
    </row>
    <row r="572" spans="1:18" x14ac:dyDescent="0.25">
      <c r="A572" s="8"/>
      <c r="B572" s="9"/>
      <c r="C572" s="10"/>
      <c r="D572" s="10"/>
      <c r="E572" s="9"/>
      <c r="F572" s="11"/>
      <c r="G572" s="9"/>
      <c r="H572" s="10"/>
      <c r="I572" s="10"/>
      <c r="J572" s="11"/>
      <c r="K572" s="11"/>
      <c r="L572" s="11"/>
      <c r="M572" s="10"/>
      <c r="N572" s="11"/>
      <c r="O572" s="10"/>
      <c r="P572" s="11"/>
      <c r="Q572" s="11"/>
      <c r="R572" s="12"/>
    </row>
    <row r="573" spans="1:18" x14ac:dyDescent="0.25">
      <c r="A573" s="8"/>
      <c r="B573" s="9"/>
      <c r="C573" s="10"/>
      <c r="D573" s="10"/>
      <c r="E573" s="9"/>
      <c r="F573" s="11"/>
      <c r="G573" s="9"/>
      <c r="H573" s="10"/>
      <c r="I573" s="10"/>
      <c r="J573" s="11"/>
      <c r="K573" s="11"/>
      <c r="L573" s="11"/>
      <c r="M573" s="10"/>
      <c r="N573" s="11"/>
      <c r="O573" s="10"/>
      <c r="P573" s="11"/>
      <c r="Q573" s="11"/>
      <c r="R573" s="12"/>
    </row>
    <row r="574" spans="1:18" x14ac:dyDescent="0.25">
      <c r="A574" s="8"/>
      <c r="B574" s="9"/>
      <c r="C574" s="10"/>
      <c r="D574" s="10"/>
      <c r="E574" s="9"/>
      <c r="F574" s="11"/>
      <c r="G574" s="9"/>
      <c r="H574" s="10"/>
      <c r="I574" s="10"/>
      <c r="J574" s="11"/>
      <c r="K574" s="11"/>
      <c r="L574" s="11"/>
      <c r="M574" s="10"/>
      <c r="N574" s="11"/>
      <c r="O574" s="10"/>
      <c r="P574" s="11"/>
      <c r="Q574" s="11"/>
      <c r="R574" s="12"/>
    </row>
    <row r="575" spans="1:18" x14ac:dyDescent="0.25">
      <c r="A575" s="8"/>
      <c r="B575" s="9"/>
      <c r="C575" s="10"/>
      <c r="D575" s="10"/>
      <c r="E575" s="9"/>
      <c r="F575" s="11"/>
      <c r="G575" s="9"/>
      <c r="H575" s="10"/>
      <c r="I575" s="10"/>
      <c r="J575" s="11"/>
      <c r="K575" s="11"/>
      <c r="L575" s="11"/>
      <c r="M575" s="10"/>
      <c r="N575" s="11"/>
      <c r="O575" s="10"/>
      <c r="P575" s="11"/>
      <c r="Q575" s="11"/>
      <c r="R575" s="12"/>
    </row>
    <row r="576" spans="1:18" x14ac:dyDescent="0.25">
      <c r="A576" s="8"/>
      <c r="B576" s="9"/>
      <c r="C576" s="10"/>
      <c r="D576" s="10"/>
      <c r="E576" s="9"/>
      <c r="F576" s="11"/>
      <c r="G576" s="9"/>
      <c r="H576" s="10"/>
      <c r="I576" s="10"/>
      <c r="J576" s="11"/>
      <c r="K576" s="11"/>
      <c r="L576" s="11"/>
      <c r="M576" s="10"/>
      <c r="N576" s="11"/>
      <c r="O576" s="10"/>
      <c r="P576" s="11"/>
      <c r="Q576" s="11"/>
      <c r="R576" s="12"/>
    </row>
    <row r="577" spans="1:18" x14ac:dyDescent="0.25">
      <c r="A577" s="8"/>
      <c r="B577" s="9"/>
      <c r="C577" s="10"/>
      <c r="D577" s="10"/>
      <c r="E577" s="9"/>
      <c r="F577" s="11"/>
      <c r="G577" s="9"/>
      <c r="H577" s="10"/>
      <c r="I577" s="10"/>
      <c r="J577" s="11"/>
      <c r="K577" s="11"/>
      <c r="L577" s="11"/>
      <c r="M577" s="10"/>
      <c r="N577" s="11"/>
      <c r="O577" s="10"/>
      <c r="P577" s="11"/>
      <c r="Q577" s="11"/>
      <c r="R577" s="12"/>
    </row>
    <row r="578" spans="1:18" x14ac:dyDescent="0.25">
      <c r="A578" s="8"/>
      <c r="B578" s="9"/>
      <c r="C578" s="10"/>
      <c r="D578" s="10"/>
      <c r="E578" s="9"/>
      <c r="F578" s="11"/>
      <c r="G578" s="9"/>
      <c r="H578" s="10"/>
      <c r="I578" s="10"/>
      <c r="J578" s="11"/>
      <c r="K578" s="11"/>
      <c r="L578" s="11"/>
      <c r="M578" s="10"/>
      <c r="N578" s="11"/>
      <c r="O578" s="10"/>
      <c r="P578" s="11"/>
      <c r="Q578" s="11"/>
      <c r="R578" s="12"/>
    </row>
    <row r="579" spans="1:18" x14ac:dyDescent="0.25">
      <c r="A579" s="8"/>
      <c r="B579" s="9"/>
      <c r="C579" s="10"/>
      <c r="D579" s="10"/>
      <c r="E579" s="9"/>
      <c r="F579" s="11"/>
      <c r="G579" s="9"/>
      <c r="H579" s="10"/>
      <c r="I579" s="10"/>
      <c r="J579" s="11"/>
      <c r="K579" s="11"/>
      <c r="L579" s="11"/>
      <c r="M579" s="10"/>
      <c r="N579" s="11"/>
      <c r="O579" s="10"/>
      <c r="P579" s="11"/>
      <c r="Q579" s="11"/>
      <c r="R579" s="12"/>
    </row>
    <row r="580" spans="1:18" x14ac:dyDescent="0.25">
      <c r="A580" s="8"/>
      <c r="B580" s="9"/>
      <c r="C580" s="10"/>
      <c r="D580" s="10"/>
      <c r="E580" s="9"/>
      <c r="F580" s="11"/>
      <c r="G580" s="9"/>
      <c r="H580" s="10"/>
      <c r="I580" s="10"/>
      <c r="J580" s="11"/>
      <c r="K580" s="11"/>
      <c r="L580" s="11"/>
      <c r="M580" s="10"/>
      <c r="N580" s="11"/>
      <c r="O580" s="10"/>
      <c r="P580" s="11"/>
      <c r="Q580" s="11"/>
      <c r="R580" s="12"/>
    </row>
    <row r="581" spans="1:18" x14ac:dyDescent="0.25">
      <c r="A581" s="8"/>
      <c r="B581" s="9"/>
      <c r="C581" s="10"/>
      <c r="D581" s="10"/>
      <c r="E581" s="9"/>
      <c r="F581" s="11"/>
      <c r="G581" s="9"/>
      <c r="H581" s="10"/>
      <c r="I581" s="10"/>
      <c r="J581" s="11"/>
      <c r="K581" s="11"/>
      <c r="L581" s="11"/>
      <c r="M581" s="10"/>
      <c r="N581" s="11"/>
      <c r="O581" s="10"/>
      <c r="P581" s="11"/>
      <c r="Q581" s="11"/>
      <c r="R581" s="12"/>
    </row>
    <row r="582" spans="1:18" x14ac:dyDescent="0.25">
      <c r="A582" s="8"/>
      <c r="B582" s="9"/>
      <c r="C582" s="10"/>
      <c r="D582" s="10"/>
      <c r="E582" s="9"/>
      <c r="F582" s="11"/>
      <c r="G582" s="9"/>
      <c r="H582" s="10"/>
      <c r="I582" s="10"/>
      <c r="J582" s="11"/>
      <c r="K582" s="11"/>
      <c r="L582" s="11"/>
      <c r="M582" s="10"/>
      <c r="N582" s="11"/>
      <c r="O582" s="10"/>
      <c r="P582" s="11"/>
      <c r="Q582" s="11"/>
      <c r="R582" s="12"/>
    </row>
    <row r="583" spans="1:18" x14ac:dyDescent="0.25">
      <c r="A583" s="8"/>
      <c r="B583" s="9"/>
      <c r="C583" s="10"/>
      <c r="D583" s="10"/>
      <c r="E583" s="9"/>
      <c r="F583" s="11"/>
      <c r="G583" s="9"/>
      <c r="H583" s="10"/>
      <c r="I583" s="10"/>
      <c r="J583" s="11"/>
      <c r="K583" s="11"/>
      <c r="L583" s="11"/>
      <c r="M583" s="10"/>
      <c r="N583" s="11"/>
      <c r="O583" s="10"/>
      <c r="P583" s="11"/>
      <c r="Q583" s="11"/>
      <c r="R583" s="12"/>
    </row>
    <row r="584" spans="1:18" x14ac:dyDescent="0.25">
      <c r="A584" s="8"/>
      <c r="B584" s="9"/>
      <c r="C584" s="10"/>
      <c r="D584" s="10"/>
      <c r="E584" s="9"/>
      <c r="F584" s="11"/>
      <c r="G584" s="9"/>
      <c r="H584" s="10"/>
      <c r="I584" s="10"/>
      <c r="J584" s="11"/>
      <c r="K584" s="11"/>
      <c r="L584" s="11"/>
      <c r="M584" s="10"/>
      <c r="N584" s="11"/>
      <c r="O584" s="10"/>
      <c r="P584" s="11"/>
      <c r="Q584" s="11"/>
      <c r="R584" s="12"/>
    </row>
    <row r="585" spans="1:18" x14ac:dyDescent="0.25">
      <c r="A585" s="8"/>
      <c r="B585" s="9"/>
      <c r="C585" s="10"/>
      <c r="D585" s="10"/>
      <c r="E585" s="9"/>
      <c r="F585" s="11"/>
      <c r="G585" s="9"/>
      <c r="H585" s="10"/>
      <c r="I585" s="10"/>
      <c r="J585" s="11"/>
      <c r="K585" s="11"/>
      <c r="L585" s="11"/>
      <c r="M585" s="10"/>
      <c r="N585" s="11"/>
      <c r="O585" s="10"/>
      <c r="P585" s="11"/>
      <c r="Q585" s="11"/>
      <c r="R585" s="12"/>
    </row>
    <row r="586" spans="1:18" x14ac:dyDescent="0.25">
      <c r="A586" s="8"/>
      <c r="B586" s="9"/>
      <c r="C586" s="10"/>
      <c r="D586" s="10"/>
      <c r="E586" s="9"/>
      <c r="F586" s="11"/>
      <c r="G586" s="9"/>
      <c r="H586" s="10"/>
      <c r="I586" s="10"/>
      <c r="J586" s="11"/>
      <c r="K586" s="11"/>
      <c r="L586" s="11"/>
      <c r="M586" s="10"/>
      <c r="N586" s="11"/>
      <c r="O586" s="10"/>
      <c r="P586" s="11"/>
      <c r="Q586" s="11"/>
      <c r="R586" s="12"/>
    </row>
    <row r="587" spans="1:18" x14ac:dyDescent="0.25">
      <c r="A587" s="8"/>
      <c r="B587" s="9"/>
      <c r="C587" s="10"/>
      <c r="D587" s="10"/>
      <c r="E587" s="9"/>
      <c r="F587" s="11"/>
      <c r="G587" s="9"/>
      <c r="H587" s="10"/>
      <c r="I587" s="10"/>
      <c r="J587" s="11"/>
      <c r="K587" s="11"/>
      <c r="L587" s="11"/>
      <c r="M587" s="10"/>
      <c r="N587" s="11"/>
      <c r="O587" s="10"/>
      <c r="P587" s="11"/>
      <c r="Q587" s="11"/>
      <c r="R587" s="12"/>
    </row>
    <row r="588" spans="1:18" x14ac:dyDescent="0.25">
      <c r="A588" s="8"/>
      <c r="B588" s="9"/>
      <c r="C588" s="10"/>
      <c r="D588" s="10"/>
      <c r="E588" s="9"/>
      <c r="F588" s="11"/>
      <c r="G588" s="9"/>
      <c r="H588" s="10"/>
      <c r="I588" s="10"/>
      <c r="J588" s="11"/>
      <c r="K588" s="11"/>
      <c r="L588" s="11"/>
      <c r="M588" s="10"/>
      <c r="N588" s="11"/>
      <c r="O588" s="10"/>
      <c r="P588" s="11"/>
      <c r="Q588" s="11"/>
      <c r="R588" s="12"/>
    </row>
    <row r="589" spans="1:18" x14ac:dyDescent="0.25">
      <c r="A589" s="8"/>
      <c r="B589" s="9"/>
      <c r="C589" s="10"/>
      <c r="D589" s="10"/>
      <c r="E589" s="9"/>
      <c r="F589" s="11"/>
      <c r="G589" s="9"/>
      <c r="H589" s="10"/>
      <c r="I589" s="10"/>
      <c r="J589" s="11"/>
      <c r="K589" s="11"/>
      <c r="L589" s="11"/>
      <c r="M589" s="10"/>
      <c r="N589" s="11"/>
      <c r="O589" s="10"/>
      <c r="P589" s="11"/>
      <c r="Q589" s="11"/>
      <c r="R589" s="12"/>
    </row>
    <row r="590" spans="1:18" x14ac:dyDescent="0.25">
      <c r="A590" s="8"/>
      <c r="B590" s="9"/>
      <c r="C590" s="10"/>
      <c r="D590" s="10"/>
      <c r="E590" s="9"/>
      <c r="F590" s="11"/>
      <c r="G590" s="9"/>
      <c r="H590" s="10"/>
      <c r="I590" s="10"/>
      <c r="J590" s="11"/>
      <c r="K590" s="11"/>
      <c r="L590" s="11"/>
      <c r="M590" s="10"/>
      <c r="N590" s="11"/>
      <c r="O590" s="10"/>
      <c r="P590" s="11"/>
      <c r="Q590" s="11"/>
      <c r="R590" s="12"/>
    </row>
    <row r="591" spans="1:18" x14ac:dyDescent="0.25">
      <c r="A591" s="8"/>
      <c r="B591" s="9"/>
      <c r="C591" s="10"/>
      <c r="D591" s="10"/>
      <c r="E591" s="9"/>
      <c r="F591" s="11"/>
      <c r="G591" s="9"/>
      <c r="H591" s="10"/>
      <c r="I591" s="10"/>
      <c r="J591" s="11"/>
      <c r="K591" s="11"/>
      <c r="L591" s="11"/>
      <c r="M591" s="10"/>
      <c r="N591" s="11"/>
      <c r="O591" s="10"/>
      <c r="P591" s="11"/>
      <c r="Q591" s="11"/>
      <c r="R591" s="12"/>
    </row>
    <row r="592" spans="1:18" x14ac:dyDescent="0.25">
      <c r="A592" s="8"/>
      <c r="B592" s="9"/>
      <c r="C592" s="10"/>
      <c r="D592" s="10"/>
      <c r="E592" s="9"/>
      <c r="F592" s="11"/>
      <c r="G592" s="9"/>
      <c r="H592" s="10"/>
      <c r="I592" s="10"/>
      <c r="J592" s="11"/>
      <c r="K592" s="11"/>
      <c r="L592" s="11"/>
      <c r="M592" s="10"/>
      <c r="N592" s="11"/>
      <c r="O592" s="10"/>
      <c r="P592" s="11"/>
      <c r="Q592" s="11"/>
      <c r="R592" s="12"/>
    </row>
    <row r="593" spans="1:18" x14ac:dyDescent="0.25">
      <c r="A593" s="8"/>
      <c r="B593" s="9"/>
      <c r="C593" s="10"/>
      <c r="D593" s="10"/>
      <c r="E593" s="9"/>
      <c r="F593" s="11"/>
      <c r="G593" s="9"/>
      <c r="H593" s="10"/>
      <c r="I593" s="10"/>
      <c r="J593" s="11"/>
      <c r="K593" s="11"/>
      <c r="L593" s="11"/>
      <c r="M593" s="10"/>
      <c r="N593" s="11"/>
      <c r="O593" s="10"/>
      <c r="P593" s="11"/>
      <c r="Q593" s="11"/>
      <c r="R593" s="12"/>
    </row>
    <row r="594" spans="1:18" x14ac:dyDescent="0.25">
      <c r="A594" s="8"/>
      <c r="B594" s="9"/>
      <c r="C594" s="10"/>
      <c r="D594" s="10"/>
      <c r="E594" s="9"/>
      <c r="F594" s="11"/>
      <c r="G594" s="9"/>
      <c r="H594" s="10"/>
      <c r="I594" s="10"/>
      <c r="J594" s="11"/>
      <c r="K594" s="11"/>
      <c r="L594" s="11"/>
      <c r="M594" s="10"/>
      <c r="N594" s="11"/>
      <c r="O594" s="10"/>
      <c r="P594" s="11"/>
      <c r="Q594" s="11"/>
      <c r="R594" s="12"/>
    </row>
    <row r="595" spans="1:18" x14ac:dyDescent="0.25">
      <c r="A595" s="8"/>
      <c r="B595" s="9"/>
      <c r="C595" s="10"/>
      <c r="D595" s="10"/>
      <c r="E595" s="9"/>
      <c r="F595" s="11"/>
      <c r="G595" s="9"/>
      <c r="H595" s="10"/>
      <c r="I595" s="10"/>
      <c r="J595" s="11"/>
      <c r="K595" s="11"/>
      <c r="L595" s="11"/>
      <c r="M595" s="10"/>
      <c r="N595" s="11"/>
      <c r="O595" s="10"/>
      <c r="P595" s="11"/>
      <c r="Q595" s="11"/>
      <c r="R595" s="12"/>
    </row>
    <row r="596" spans="1:18" x14ac:dyDescent="0.25">
      <c r="A596" s="8"/>
      <c r="B596" s="9"/>
      <c r="C596" s="10"/>
      <c r="D596" s="10"/>
      <c r="E596" s="9"/>
      <c r="F596" s="11"/>
      <c r="G596" s="9"/>
      <c r="H596" s="10"/>
      <c r="I596" s="10"/>
      <c r="J596" s="11"/>
      <c r="K596" s="11"/>
      <c r="L596" s="11"/>
      <c r="M596" s="10"/>
      <c r="N596" s="11"/>
      <c r="O596" s="10"/>
      <c r="P596" s="11"/>
      <c r="Q596" s="11"/>
      <c r="R596" s="12"/>
    </row>
    <row r="597" spans="1:18" x14ac:dyDescent="0.25">
      <c r="A597" s="8"/>
      <c r="B597" s="9"/>
      <c r="C597" s="10"/>
      <c r="D597" s="10"/>
      <c r="E597" s="9"/>
      <c r="F597" s="11"/>
      <c r="G597" s="9"/>
      <c r="H597" s="10"/>
      <c r="I597" s="10"/>
      <c r="J597" s="11"/>
      <c r="K597" s="11"/>
      <c r="L597" s="11"/>
      <c r="M597" s="10"/>
      <c r="N597" s="11"/>
      <c r="O597" s="10"/>
      <c r="P597" s="11"/>
      <c r="Q597" s="11"/>
      <c r="R597" s="12"/>
    </row>
    <row r="598" spans="1:18" x14ac:dyDescent="0.25">
      <c r="A598" s="8"/>
      <c r="B598" s="9"/>
      <c r="C598" s="10"/>
      <c r="D598" s="10"/>
      <c r="E598" s="9"/>
      <c r="F598" s="11"/>
      <c r="G598" s="9"/>
      <c r="H598" s="10"/>
      <c r="I598" s="10"/>
      <c r="J598" s="11"/>
      <c r="K598" s="11"/>
      <c r="L598" s="11"/>
      <c r="M598" s="10"/>
      <c r="N598" s="11"/>
      <c r="O598" s="10"/>
      <c r="P598" s="11"/>
      <c r="Q598" s="11"/>
      <c r="R598" s="12"/>
    </row>
    <row r="599" spans="1:18" x14ac:dyDescent="0.25">
      <c r="A599" s="8"/>
      <c r="B599" s="9"/>
      <c r="C599" s="10"/>
      <c r="D599" s="10"/>
      <c r="E599" s="9"/>
      <c r="F599" s="11"/>
      <c r="G599" s="9"/>
      <c r="H599" s="10"/>
      <c r="I599" s="10"/>
      <c r="J599" s="11"/>
      <c r="K599" s="11"/>
      <c r="L599" s="11"/>
      <c r="M599" s="10"/>
      <c r="N599" s="11"/>
      <c r="O599" s="10"/>
      <c r="P599" s="11"/>
      <c r="Q599" s="11"/>
      <c r="R599" s="12"/>
    </row>
    <row r="600" spans="1:18" x14ac:dyDescent="0.25">
      <c r="A600" s="8"/>
      <c r="B600" s="9"/>
      <c r="C600" s="10"/>
      <c r="D600" s="10"/>
      <c r="E600" s="9"/>
      <c r="F600" s="11"/>
      <c r="G600" s="9"/>
      <c r="H600" s="10"/>
      <c r="I600" s="10"/>
      <c r="J600" s="11"/>
      <c r="K600" s="11"/>
      <c r="L600" s="11"/>
      <c r="M600" s="10"/>
      <c r="N600" s="11"/>
      <c r="O600" s="10"/>
      <c r="P600" s="11"/>
      <c r="Q600" s="11"/>
      <c r="R600" s="12"/>
    </row>
    <row r="601" spans="1:18" x14ac:dyDescent="0.25">
      <c r="A601" s="8"/>
      <c r="B601" s="9"/>
      <c r="C601" s="10"/>
      <c r="D601" s="10"/>
      <c r="E601" s="9"/>
      <c r="F601" s="11"/>
      <c r="G601" s="9"/>
      <c r="H601" s="10"/>
      <c r="I601" s="10"/>
      <c r="J601" s="11"/>
      <c r="K601" s="11"/>
      <c r="L601" s="11"/>
      <c r="M601" s="10"/>
      <c r="N601" s="11"/>
      <c r="O601" s="10"/>
      <c r="P601" s="11"/>
      <c r="Q601" s="11"/>
      <c r="R601" s="12"/>
    </row>
    <row r="602" spans="1:18" x14ac:dyDescent="0.25">
      <c r="A602" s="8"/>
      <c r="B602" s="9"/>
      <c r="C602" s="10"/>
      <c r="D602" s="10"/>
      <c r="E602" s="9"/>
      <c r="F602" s="11"/>
      <c r="G602" s="9"/>
      <c r="H602" s="10"/>
      <c r="I602" s="10"/>
      <c r="J602" s="11"/>
      <c r="K602" s="11"/>
      <c r="L602" s="11"/>
      <c r="M602" s="10"/>
      <c r="N602" s="11"/>
      <c r="O602" s="10"/>
      <c r="P602" s="11"/>
      <c r="Q602" s="11"/>
      <c r="R602" s="12"/>
    </row>
    <row r="603" spans="1:18" x14ac:dyDescent="0.25">
      <c r="A603" s="8"/>
      <c r="B603" s="9"/>
      <c r="C603" s="10"/>
      <c r="D603" s="10"/>
      <c r="E603" s="9"/>
      <c r="F603" s="11"/>
      <c r="G603" s="9"/>
      <c r="H603" s="10"/>
      <c r="I603" s="10"/>
      <c r="J603" s="11"/>
      <c r="K603" s="11"/>
      <c r="L603" s="11"/>
      <c r="M603" s="10"/>
      <c r="N603" s="11"/>
      <c r="O603" s="10"/>
      <c r="P603" s="11"/>
      <c r="Q603" s="11"/>
      <c r="R603" s="12"/>
    </row>
    <row r="604" spans="1:18" x14ac:dyDescent="0.25">
      <c r="A604" s="8"/>
      <c r="B604" s="9"/>
      <c r="C604" s="10"/>
      <c r="D604" s="10"/>
      <c r="E604" s="9"/>
      <c r="F604" s="11"/>
      <c r="G604" s="9"/>
      <c r="H604" s="10"/>
      <c r="I604" s="10"/>
      <c r="J604" s="11"/>
      <c r="K604" s="11"/>
      <c r="L604" s="11"/>
      <c r="M604" s="10"/>
      <c r="N604" s="11"/>
      <c r="O604" s="10"/>
      <c r="P604" s="11"/>
      <c r="Q604" s="11"/>
      <c r="R604" s="12"/>
    </row>
    <row r="605" spans="1:18" x14ac:dyDescent="0.25">
      <c r="A605" s="8"/>
      <c r="B605" s="9"/>
      <c r="C605" s="10"/>
      <c r="D605" s="10"/>
      <c r="E605" s="9"/>
      <c r="F605" s="11"/>
      <c r="G605" s="9"/>
      <c r="H605" s="10"/>
      <c r="I605" s="10"/>
      <c r="J605" s="11"/>
      <c r="K605" s="11"/>
      <c r="L605" s="11"/>
      <c r="M605" s="10"/>
      <c r="N605" s="11"/>
      <c r="O605" s="10"/>
      <c r="P605" s="11"/>
      <c r="Q605" s="11"/>
      <c r="R605" s="12"/>
    </row>
    <row r="606" spans="1:18" x14ac:dyDescent="0.25">
      <c r="A606" s="8"/>
      <c r="B606" s="9"/>
      <c r="C606" s="10"/>
      <c r="D606" s="10"/>
      <c r="E606" s="9"/>
      <c r="F606" s="11"/>
      <c r="G606" s="9"/>
      <c r="H606" s="10"/>
      <c r="I606" s="10"/>
      <c r="J606" s="11"/>
      <c r="K606" s="11"/>
      <c r="L606" s="11"/>
      <c r="M606" s="10"/>
      <c r="N606" s="11"/>
      <c r="O606" s="10"/>
      <c r="P606" s="11"/>
      <c r="Q606" s="11"/>
      <c r="R606" s="12"/>
    </row>
    <row r="607" spans="1:18" x14ac:dyDescent="0.25">
      <c r="A607" s="8"/>
      <c r="B607" s="9"/>
      <c r="C607" s="10"/>
      <c r="D607" s="10"/>
      <c r="E607" s="9"/>
      <c r="F607" s="11"/>
      <c r="G607" s="9"/>
      <c r="H607" s="10"/>
      <c r="I607" s="10"/>
      <c r="J607" s="11"/>
      <c r="K607" s="11"/>
      <c r="L607" s="11"/>
      <c r="M607" s="10"/>
      <c r="N607" s="11"/>
      <c r="O607" s="10"/>
      <c r="P607" s="11"/>
      <c r="Q607" s="11"/>
      <c r="R607" s="12"/>
    </row>
    <row r="608" spans="1:18" x14ac:dyDescent="0.25">
      <c r="A608" s="8"/>
      <c r="B608" s="9"/>
      <c r="C608" s="10"/>
      <c r="D608" s="10"/>
      <c r="E608" s="9"/>
      <c r="F608" s="11"/>
      <c r="G608" s="9"/>
      <c r="H608" s="10"/>
      <c r="I608" s="10"/>
      <c r="J608" s="11"/>
      <c r="K608" s="11"/>
      <c r="L608" s="11"/>
      <c r="M608" s="10"/>
      <c r="N608" s="11"/>
      <c r="O608" s="10"/>
      <c r="P608" s="11"/>
      <c r="Q608" s="11"/>
      <c r="R608" s="12"/>
    </row>
    <row r="609" spans="1:18" x14ac:dyDescent="0.25">
      <c r="A609" s="8"/>
      <c r="B609" s="9"/>
      <c r="C609" s="10"/>
      <c r="D609" s="10"/>
      <c r="E609" s="9"/>
      <c r="F609" s="11"/>
      <c r="G609" s="9"/>
      <c r="H609" s="10"/>
      <c r="I609" s="10"/>
      <c r="J609" s="11"/>
      <c r="K609" s="11"/>
      <c r="L609" s="11"/>
      <c r="M609" s="10"/>
      <c r="N609" s="11"/>
      <c r="O609" s="10"/>
      <c r="P609" s="11"/>
      <c r="Q609" s="11"/>
      <c r="R609" s="12"/>
    </row>
    <row r="610" spans="1:18" x14ac:dyDescent="0.25">
      <c r="A610" s="8"/>
      <c r="B610" s="9"/>
      <c r="C610" s="10"/>
      <c r="D610" s="10"/>
      <c r="E610" s="9"/>
      <c r="F610" s="11"/>
      <c r="G610" s="9"/>
      <c r="H610" s="10"/>
      <c r="I610" s="10"/>
      <c r="J610" s="11"/>
      <c r="K610" s="11"/>
      <c r="L610" s="11"/>
      <c r="M610" s="10"/>
      <c r="N610" s="11"/>
      <c r="O610" s="10"/>
      <c r="P610" s="11"/>
      <c r="Q610" s="11"/>
      <c r="R610" s="12"/>
    </row>
    <row r="611" spans="1:18" x14ac:dyDescent="0.25">
      <c r="A611" s="8"/>
      <c r="B611" s="9"/>
      <c r="C611" s="10"/>
      <c r="D611" s="10"/>
      <c r="E611" s="9"/>
      <c r="F611" s="11"/>
      <c r="G611" s="9"/>
      <c r="H611" s="10"/>
      <c r="I611" s="10"/>
      <c r="J611" s="11"/>
      <c r="K611" s="11"/>
      <c r="L611" s="11"/>
      <c r="M611" s="10"/>
      <c r="N611" s="11"/>
      <c r="O611" s="10"/>
      <c r="P611" s="11"/>
      <c r="Q611" s="11"/>
      <c r="R611" s="12"/>
    </row>
    <row r="612" spans="1:18" x14ac:dyDescent="0.25">
      <c r="A612" s="8"/>
      <c r="B612" s="9"/>
      <c r="C612" s="10"/>
      <c r="D612" s="10"/>
      <c r="E612" s="9"/>
      <c r="F612" s="11"/>
      <c r="G612" s="9"/>
      <c r="H612" s="10"/>
      <c r="I612" s="10"/>
      <c r="J612" s="11"/>
      <c r="K612" s="11"/>
      <c r="L612" s="11"/>
      <c r="M612" s="10"/>
      <c r="N612" s="11"/>
      <c r="O612" s="10"/>
      <c r="P612" s="11"/>
      <c r="Q612" s="11"/>
      <c r="R612" s="12"/>
    </row>
    <row r="613" spans="1:18" x14ac:dyDescent="0.25">
      <c r="A613" s="8"/>
      <c r="B613" s="9"/>
      <c r="C613" s="10"/>
      <c r="D613" s="10"/>
      <c r="E613" s="9"/>
      <c r="F613" s="11"/>
      <c r="G613" s="9"/>
      <c r="H613" s="10"/>
      <c r="I613" s="10"/>
      <c r="J613" s="11"/>
      <c r="K613" s="11"/>
      <c r="L613" s="11"/>
      <c r="M613" s="10"/>
      <c r="N613" s="11"/>
      <c r="O613" s="10"/>
      <c r="P613" s="11"/>
      <c r="Q613" s="11"/>
      <c r="R613" s="12"/>
    </row>
    <row r="614" spans="1:18" x14ac:dyDescent="0.25">
      <c r="A614" s="8"/>
      <c r="B614" s="9"/>
      <c r="C614" s="10"/>
      <c r="D614" s="10"/>
      <c r="E614" s="9"/>
      <c r="F614" s="11"/>
      <c r="G614" s="9"/>
      <c r="H614" s="10"/>
      <c r="I614" s="10"/>
      <c r="J614" s="11"/>
      <c r="K614" s="11"/>
      <c r="L614" s="11"/>
      <c r="M614" s="10"/>
      <c r="N614" s="11"/>
      <c r="O614" s="10"/>
      <c r="P614" s="11"/>
      <c r="Q614" s="11"/>
      <c r="R614" s="12"/>
    </row>
    <row r="615" spans="1:18" x14ac:dyDescent="0.25">
      <c r="A615" s="8"/>
      <c r="B615" s="9"/>
      <c r="C615" s="10"/>
      <c r="D615" s="10"/>
      <c r="E615" s="9"/>
      <c r="F615" s="11"/>
      <c r="G615" s="9"/>
      <c r="H615" s="10"/>
      <c r="I615" s="10"/>
      <c r="J615" s="11"/>
      <c r="K615" s="11"/>
      <c r="L615" s="11"/>
      <c r="M615" s="10"/>
      <c r="N615" s="11"/>
      <c r="O615" s="10"/>
      <c r="P615" s="11"/>
      <c r="Q615" s="11"/>
      <c r="R615" s="12"/>
    </row>
    <row r="616" spans="1:18" x14ac:dyDescent="0.25">
      <c r="A616" s="8"/>
      <c r="B616" s="9"/>
      <c r="C616" s="10"/>
      <c r="D616" s="10"/>
      <c r="E616" s="9"/>
      <c r="F616" s="11"/>
      <c r="G616" s="9"/>
      <c r="H616" s="10"/>
      <c r="I616" s="10"/>
      <c r="J616" s="11"/>
      <c r="K616" s="11"/>
      <c r="L616" s="11"/>
      <c r="M616" s="10"/>
      <c r="N616" s="11"/>
      <c r="O616" s="10"/>
      <c r="P616" s="11"/>
      <c r="Q616" s="11"/>
      <c r="R616" s="12"/>
    </row>
    <row r="617" spans="1:18" x14ac:dyDescent="0.25">
      <c r="A617" s="8"/>
      <c r="B617" s="9"/>
      <c r="C617" s="10"/>
      <c r="D617" s="10"/>
      <c r="E617" s="9"/>
      <c r="F617" s="11"/>
      <c r="G617" s="9"/>
      <c r="H617" s="10"/>
      <c r="I617" s="10"/>
      <c r="J617" s="11"/>
      <c r="K617" s="11"/>
      <c r="L617" s="11"/>
      <c r="M617" s="10"/>
      <c r="N617" s="11"/>
      <c r="O617" s="10"/>
      <c r="P617" s="11"/>
      <c r="Q617" s="11"/>
      <c r="R617" s="12"/>
    </row>
    <row r="618" spans="1:18" x14ac:dyDescent="0.25">
      <c r="A618" s="8"/>
      <c r="B618" s="9"/>
      <c r="C618" s="10"/>
      <c r="D618" s="10"/>
      <c r="E618" s="9"/>
      <c r="F618" s="11"/>
      <c r="G618" s="9"/>
      <c r="H618" s="10"/>
      <c r="I618" s="10"/>
      <c r="J618" s="11"/>
      <c r="K618" s="11"/>
      <c r="L618" s="11"/>
      <c r="M618" s="10"/>
      <c r="N618" s="11"/>
      <c r="O618" s="10"/>
      <c r="P618" s="11"/>
      <c r="Q618" s="11"/>
      <c r="R618" s="12"/>
    </row>
    <row r="619" spans="1:18" x14ac:dyDescent="0.25">
      <c r="A619" s="8"/>
      <c r="B619" s="9"/>
      <c r="C619" s="10"/>
      <c r="D619" s="10"/>
      <c r="E619" s="9"/>
      <c r="F619" s="11"/>
      <c r="G619" s="9"/>
      <c r="H619" s="10"/>
      <c r="I619" s="10"/>
      <c r="J619" s="11"/>
      <c r="K619" s="11"/>
      <c r="L619" s="11"/>
      <c r="M619" s="10"/>
      <c r="N619" s="11"/>
      <c r="O619" s="10"/>
      <c r="P619" s="11"/>
      <c r="Q619" s="11"/>
      <c r="R619" s="12"/>
    </row>
    <row r="620" spans="1:18" x14ac:dyDescent="0.25">
      <c r="A620" s="8"/>
      <c r="B620" s="9"/>
      <c r="C620" s="10"/>
      <c r="D620" s="10"/>
      <c r="E620" s="9"/>
      <c r="F620" s="11"/>
      <c r="G620" s="9"/>
      <c r="H620" s="10"/>
      <c r="I620" s="10"/>
      <c r="J620" s="11"/>
      <c r="K620" s="11"/>
      <c r="L620" s="11"/>
      <c r="M620" s="10"/>
      <c r="N620" s="11"/>
      <c r="O620" s="10"/>
      <c r="P620" s="11"/>
      <c r="Q620" s="11"/>
      <c r="R620" s="12"/>
    </row>
    <row r="621" spans="1:18" x14ac:dyDescent="0.25">
      <c r="A621" s="8"/>
      <c r="B621" s="9"/>
      <c r="C621" s="10"/>
      <c r="D621" s="10"/>
      <c r="E621" s="9"/>
      <c r="F621" s="11"/>
      <c r="G621" s="9"/>
      <c r="H621" s="10"/>
      <c r="I621" s="10"/>
      <c r="J621" s="11"/>
      <c r="K621" s="11"/>
      <c r="L621" s="11"/>
      <c r="M621" s="10"/>
      <c r="N621" s="11"/>
      <c r="O621" s="10"/>
      <c r="P621" s="11"/>
      <c r="Q621" s="11"/>
      <c r="R621" s="12"/>
    </row>
    <row r="622" spans="1:18" x14ac:dyDescent="0.25">
      <c r="A622" s="8"/>
      <c r="B622" s="9"/>
      <c r="C622" s="10"/>
      <c r="D622" s="10"/>
      <c r="E622" s="9"/>
      <c r="F622" s="11"/>
      <c r="G622" s="9"/>
      <c r="H622" s="10"/>
      <c r="I622" s="10"/>
      <c r="J622" s="11"/>
      <c r="K622" s="11"/>
      <c r="L622" s="11"/>
      <c r="M622" s="10"/>
      <c r="N622" s="11"/>
      <c r="O622" s="10"/>
      <c r="P622" s="11"/>
      <c r="Q622" s="11"/>
      <c r="R622" s="12"/>
    </row>
    <row r="623" spans="1:18" x14ac:dyDescent="0.25">
      <c r="A623" s="8"/>
      <c r="B623" s="9"/>
      <c r="C623" s="10"/>
      <c r="D623" s="10"/>
      <c r="E623" s="9"/>
      <c r="F623" s="11"/>
      <c r="G623" s="9"/>
      <c r="H623" s="10"/>
      <c r="I623" s="10"/>
      <c r="J623" s="11"/>
      <c r="K623" s="11"/>
      <c r="L623" s="11"/>
      <c r="M623" s="10"/>
      <c r="N623" s="11"/>
      <c r="O623" s="10"/>
      <c r="P623" s="11"/>
      <c r="Q623" s="11"/>
      <c r="R623" s="12"/>
    </row>
    <row r="624" spans="1:18" x14ac:dyDescent="0.25">
      <c r="A624" s="8"/>
      <c r="B624" s="9"/>
      <c r="C624" s="10"/>
      <c r="D624" s="10"/>
      <c r="E624" s="9"/>
      <c r="F624" s="11"/>
      <c r="G624" s="9"/>
      <c r="H624" s="10"/>
      <c r="I624" s="10"/>
      <c r="J624" s="11"/>
      <c r="K624" s="11"/>
      <c r="L624" s="11"/>
      <c r="M624" s="10"/>
      <c r="N624" s="11"/>
      <c r="O624" s="10"/>
      <c r="P624" s="11"/>
      <c r="Q624" s="11"/>
      <c r="R624" s="12"/>
    </row>
    <row r="625" spans="1:18" x14ac:dyDescent="0.25">
      <c r="A625" s="8"/>
      <c r="B625" s="9"/>
      <c r="C625" s="10"/>
      <c r="D625" s="10"/>
      <c r="E625" s="9"/>
      <c r="F625" s="11"/>
      <c r="G625" s="9"/>
      <c r="H625" s="10"/>
      <c r="I625" s="10"/>
      <c r="J625" s="11"/>
      <c r="K625" s="11"/>
      <c r="L625" s="11"/>
      <c r="M625" s="10"/>
      <c r="N625" s="11"/>
      <c r="O625" s="10"/>
      <c r="P625" s="11"/>
      <c r="Q625" s="11"/>
      <c r="R625" s="12"/>
    </row>
    <row r="626" spans="1:18" x14ac:dyDescent="0.25">
      <c r="A626" s="8"/>
      <c r="B626" s="9"/>
      <c r="C626" s="10"/>
      <c r="D626" s="10"/>
      <c r="E626" s="9"/>
      <c r="F626" s="11"/>
      <c r="G626" s="9"/>
      <c r="H626" s="10"/>
      <c r="I626" s="10"/>
      <c r="J626" s="11"/>
      <c r="K626" s="11"/>
      <c r="L626" s="11"/>
      <c r="M626" s="10"/>
      <c r="N626" s="11"/>
      <c r="O626" s="10"/>
      <c r="P626" s="11"/>
      <c r="Q626" s="11"/>
      <c r="R626" s="12"/>
    </row>
    <row r="627" spans="1:18" x14ac:dyDescent="0.25">
      <c r="A627" s="8"/>
      <c r="B627" s="9"/>
      <c r="C627" s="10"/>
      <c r="D627" s="10"/>
      <c r="E627" s="9"/>
      <c r="F627" s="11"/>
      <c r="G627" s="9"/>
      <c r="H627" s="10"/>
      <c r="I627" s="10"/>
      <c r="J627" s="11"/>
      <c r="K627" s="11"/>
      <c r="L627" s="11"/>
      <c r="M627" s="10"/>
      <c r="N627" s="11"/>
      <c r="O627" s="10"/>
      <c r="P627" s="11"/>
      <c r="Q627" s="11"/>
      <c r="R627" s="12"/>
    </row>
    <row r="628" spans="1:18" x14ac:dyDescent="0.25">
      <c r="A628" s="8"/>
      <c r="B628" s="9"/>
      <c r="C628" s="10"/>
      <c r="D628" s="10"/>
      <c r="E628" s="9"/>
      <c r="F628" s="11"/>
      <c r="G628" s="9"/>
      <c r="H628" s="10"/>
      <c r="I628" s="10"/>
      <c r="J628" s="11"/>
      <c r="K628" s="11"/>
      <c r="L628" s="11"/>
      <c r="M628" s="10"/>
      <c r="N628" s="11"/>
      <c r="O628" s="10"/>
      <c r="P628" s="11"/>
      <c r="Q628" s="11"/>
      <c r="R628" s="12"/>
    </row>
    <row r="629" spans="1:18" x14ac:dyDescent="0.25">
      <c r="A629" s="8"/>
      <c r="B629" s="9"/>
      <c r="C629" s="10"/>
      <c r="D629" s="10"/>
      <c r="E629" s="9"/>
      <c r="F629" s="11"/>
      <c r="G629" s="9"/>
      <c r="H629" s="10"/>
      <c r="I629" s="10"/>
      <c r="J629" s="11"/>
      <c r="K629" s="11"/>
      <c r="L629" s="11"/>
      <c r="M629" s="10"/>
      <c r="N629" s="11"/>
      <c r="O629" s="10"/>
      <c r="P629" s="11"/>
      <c r="Q629" s="11"/>
      <c r="R629" s="12"/>
    </row>
    <row r="630" spans="1:18" x14ac:dyDescent="0.25">
      <c r="A630" s="8"/>
      <c r="B630" s="9"/>
      <c r="C630" s="10"/>
      <c r="D630" s="10"/>
      <c r="E630" s="9"/>
      <c r="F630" s="11"/>
      <c r="G630" s="9"/>
      <c r="H630" s="10"/>
      <c r="I630" s="10"/>
      <c r="J630" s="11"/>
      <c r="K630" s="11"/>
      <c r="L630" s="11"/>
      <c r="M630" s="10"/>
      <c r="N630" s="11"/>
      <c r="O630" s="10"/>
      <c r="P630" s="11"/>
      <c r="Q630" s="11"/>
      <c r="R630" s="12"/>
    </row>
    <row r="631" spans="1:18" x14ac:dyDescent="0.25">
      <c r="A631" s="8"/>
      <c r="B631" s="9"/>
      <c r="C631" s="10"/>
      <c r="D631" s="10"/>
      <c r="E631" s="9"/>
      <c r="F631" s="11"/>
      <c r="G631" s="9"/>
      <c r="H631" s="10"/>
      <c r="I631" s="10"/>
      <c r="J631" s="11"/>
      <c r="K631" s="11"/>
      <c r="L631" s="11"/>
      <c r="M631" s="10"/>
      <c r="N631" s="11"/>
      <c r="O631" s="10"/>
      <c r="P631" s="11"/>
      <c r="Q631" s="11"/>
      <c r="R631" s="12"/>
    </row>
    <row r="632" spans="1:18" x14ac:dyDescent="0.25">
      <c r="A632" s="8"/>
      <c r="B632" s="9"/>
      <c r="C632" s="10"/>
      <c r="D632" s="10"/>
      <c r="E632" s="9"/>
      <c r="F632" s="11"/>
      <c r="G632" s="9"/>
      <c r="H632" s="10"/>
      <c r="I632" s="10"/>
      <c r="J632" s="11"/>
      <c r="K632" s="11"/>
      <c r="L632" s="11"/>
      <c r="M632" s="10"/>
      <c r="N632" s="11"/>
      <c r="O632" s="10"/>
      <c r="P632" s="11"/>
      <c r="Q632" s="11"/>
      <c r="R632" s="12"/>
    </row>
    <row r="633" spans="1:18" x14ac:dyDescent="0.25">
      <c r="A633" s="8"/>
      <c r="B633" s="9"/>
      <c r="C633" s="10"/>
      <c r="D633" s="10"/>
      <c r="E633" s="9"/>
      <c r="F633" s="11"/>
      <c r="G633" s="9"/>
      <c r="H633" s="10"/>
      <c r="I633" s="10"/>
      <c r="J633" s="11"/>
      <c r="K633" s="11"/>
      <c r="L633" s="11"/>
      <c r="M633" s="10"/>
      <c r="N633" s="11"/>
      <c r="O633" s="10"/>
      <c r="P633" s="11"/>
      <c r="Q633" s="11"/>
      <c r="R633" s="12"/>
    </row>
    <row r="634" spans="1:18" x14ac:dyDescent="0.25">
      <c r="A634" s="8"/>
      <c r="B634" s="9"/>
      <c r="C634" s="10"/>
      <c r="D634" s="10"/>
      <c r="E634" s="9"/>
      <c r="F634" s="11"/>
      <c r="G634" s="9"/>
      <c r="H634" s="10"/>
      <c r="I634" s="10"/>
      <c r="J634" s="11"/>
      <c r="K634" s="11"/>
      <c r="L634" s="11"/>
      <c r="M634" s="10"/>
      <c r="N634" s="11"/>
      <c r="O634" s="10"/>
      <c r="P634" s="11"/>
      <c r="Q634" s="11"/>
      <c r="R634" s="12"/>
    </row>
    <row r="635" spans="1:18" x14ac:dyDescent="0.25">
      <c r="A635" s="8"/>
      <c r="B635" s="9"/>
      <c r="C635" s="10"/>
      <c r="D635" s="10"/>
      <c r="E635" s="9"/>
      <c r="F635" s="11"/>
      <c r="G635" s="9"/>
      <c r="H635" s="10"/>
      <c r="I635" s="10"/>
      <c r="J635" s="11"/>
      <c r="K635" s="11"/>
      <c r="L635" s="11"/>
      <c r="M635" s="10"/>
      <c r="N635" s="11"/>
      <c r="O635" s="10"/>
      <c r="P635" s="11"/>
      <c r="Q635" s="11"/>
      <c r="R635" s="12"/>
    </row>
    <row r="636" spans="1:18" x14ac:dyDescent="0.25">
      <c r="A636" s="8"/>
      <c r="B636" s="9"/>
      <c r="C636" s="10"/>
      <c r="D636" s="10"/>
      <c r="E636" s="9"/>
      <c r="F636" s="11"/>
      <c r="G636" s="9"/>
      <c r="H636" s="10"/>
      <c r="I636" s="10"/>
      <c r="J636" s="11"/>
      <c r="K636" s="11"/>
      <c r="L636" s="11"/>
      <c r="M636" s="10"/>
      <c r="N636" s="11"/>
      <c r="O636" s="10"/>
      <c r="P636" s="11"/>
      <c r="Q636" s="11"/>
      <c r="R636" s="12"/>
    </row>
    <row r="637" spans="1:18" x14ac:dyDescent="0.25">
      <c r="A637" s="8"/>
      <c r="B637" s="9"/>
      <c r="C637" s="10"/>
      <c r="D637" s="10"/>
      <c r="E637" s="9"/>
      <c r="F637" s="11"/>
      <c r="G637" s="9"/>
      <c r="H637" s="10"/>
      <c r="I637" s="10"/>
      <c r="J637" s="11"/>
      <c r="K637" s="11"/>
      <c r="L637" s="11"/>
      <c r="M637" s="10"/>
      <c r="N637" s="11"/>
      <c r="O637" s="10"/>
      <c r="P637" s="11"/>
      <c r="Q637" s="11"/>
      <c r="R637" s="12"/>
    </row>
    <row r="638" spans="1:18" x14ac:dyDescent="0.25">
      <c r="A638" s="8"/>
      <c r="B638" s="9"/>
      <c r="C638" s="10"/>
      <c r="D638" s="10"/>
      <c r="E638" s="9"/>
      <c r="F638" s="11"/>
      <c r="G638" s="9"/>
      <c r="H638" s="10"/>
      <c r="I638" s="10"/>
      <c r="J638" s="11"/>
      <c r="K638" s="11"/>
      <c r="L638" s="11"/>
      <c r="M638" s="10"/>
      <c r="N638" s="11"/>
      <c r="O638" s="10"/>
      <c r="P638" s="11"/>
      <c r="Q638" s="11"/>
      <c r="R638" s="12"/>
    </row>
    <row r="639" spans="1:18" x14ac:dyDescent="0.25">
      <c r="A639" s="8"/>
      <c r="B639" s="9"/>
      <c r="C639" s="10"/>
      <c r="D639" s="10"/>
      <c r="E639" s="9"/>
      <c r="F639" s="11"/>
      <c r="G639" s="9"/>
      <c r="H639" s="10"/>
      <c r="I639" s="10"/>
      <c r="J639" s="11"/>
      <c r="K639" s="11"/>
      <c r="L639" s="11"/>
      <c r="M639" s="10"/>
      <c r="N639" s="11"/>
      <c r="O639" s="10"/>
      <c r="P639" s="11"/>
      <c r="Q639" s="11"/>
      <c r="R639" s="12"/>
    </row>
    <row r="640" spans="1:18" x14ac:dyDescent="0.25">
      <c r="A640" s="8"/>
      <c r="B640" s="9"/>
      <c r="C640" s="10"/>
      <c r="D640" s="10"/>
      <c r="E640" s="9"/>
      <c r="F640" s="11"/>
      <c r="G640" s="9"/>
      <c r="H640" s="10"/>
      <c r="I640" s="10"/>
      <c r="J640" s="11"/>
      <c r="K640" s="11"/>
      <c r="L640" s="11"/>
      <c r="M640" s="10"/>
      <c r="N640" s="11"/>
      <c r="O640" s="10"/>
      <c r="P640" s="11"/>
      <c r="Q640" s="11"/>
      <c r="R640" s="12"/>
    </row>
    <row r="641" spans="1:18" x14ac:dyDescent="0.25">
      <c r="A641" s="8"/>
      <c r="B641" s="9"/>
      <c r="C641" s="10"/>
      <c r="D641" s="10"/>
      <c r="E641" s="9"/>
      <c r="F641" s="11"/>
      <c r="G641" s="9"/>
      <c r="H641" s="10"/>
      <c r="I641" s="10"/>
      <c r="J641" s="11"/>
      <c r="K641" s="11"/>
      <c r="L641" s="11"/>
      <c r="M641" s="10"/>
      <c r="N641" s="11"/>
      <c r="O641" s="10"/>
      <c r="P641" s="11"/>
      <c r="Q641" s="11"/>
      <c r="R641" s="12"/>
    </row>
    <row r="642" spans="1:18" x14ac:dyDescent="0.25">
      <c r="A642" s="8"/>
      <c r="B642" s="9"/>
      <c r="C642" s="10"/>
      <c r="D642" s="10"/>
      <c r="E642" s="9"/>
      <c r="F642" s="11"/>
      <c r="G642" s="9"/>
      <c r="H642" s="10"/>
      <c r="I642" s="10"/>
      <c r="J642" s="11"/>
      <c r="K642" s="11"/>
      <c r="L642" s="11"/>
      <c r="M642" s="10"/>
      <c r="N642" s="11"/>
      <c r="O642" s="10"/>
      <c r="P642" s="11"/>
      <c r="Q642" s="11"/>
      <c r="R642" s="12"/>
    </row>
    <row r="643" spans="1:18" x14ac:dyDescent="0.25">
      <c r="A643" s="8"/>
      <c r="B643" s="9"/>
      <c r="C643" s="10"/>
      <c r="D643" s="10"/>
      <c r="E643" s="9"/>
      <c r="F643" s="11"/>
      <c r="G643" s="9"/>
      <c r="H643" s="10"/>
      <c r="I643" s="10"/>
      <c r="J643" s="11"/>
      <c r="K643" s="11"/>
      <c r="L643" s="11"/>
      <c r="M643" s="10"/>
      <c r="N643" s="11"/>
      <c r="O643" s="10"/>
      <c r="P643" s="11"/>
      <c r="Q643" s="11"/>
      <c r="R643" s="12"/>
    </row>
    <row r="644" spans="1:18" x14ac:dyDescent="0.25">
      <c r="A644" s="8"/>
      <c r="B644" s="9"/>
      <c r="C644" s="10"/>
      <c r="D644" s="10"/>
      <c r="E644" s="9"/>
      <c r="F644" s="11"/>
      <c r="G644" s="9"/>
      <c r="H644" s="10"/>
      <c r="I644" s="10"/>
      <c r="J644" s="11"/>
      <c r="K644" s="11"/>
      <c r="L644" s="11"/>
      <c r="M644" s="10"/>
      <c r="N644" s="11"/>
      <c r="O644" s="10"/>
      <c r="P644" s="11"/>
      <c r="Q644" s="11"/>
      <c r="R644" s="12"/>
    </row>
    <row r="645" spans="1:18" x14ac:dyDescent="0.25">
      <c r="A645" s="8"/>
      <c r="B645" s="9"/>
      <c r="C645" s="10"/>
      <c r="D645" s="10"/>
      <c r="E645" s="9"/>
      <c r="F645" s="11"/>
      <c r="G645" s="9"/>
      <c r="H645" s="10"/>
      <c r="I645" s="10"/>
      <c r="J645" s="11"/>
      <c r="K645" s="11"/>
      <c r="L645" s="11"/>
      <c r="M645" s="10"/>
      <c r="N645" s="11"/>
      <c r="O645" s="10"/>
      <c r="P645" s="11"/>
      <c r="Q645" s="11"/>
      <c r="R645" s="12"/>
    </row>
    <row r="646" spans="1:18" x14ac:dyDescent="0.25">
      <c r="A646" s="8"/>
      <c r="B646" s="9"/>
      <c r="C646" s="10"/>
      <c r="D646" s="10"/>
      <c r="E646" s="9"/>
      <c r="F646" s="11"/>
      <c r="G646" s="9"/>
      <c r="H646" s="10"/>
      <c r="I646" s="10"/>
      <c r="J646" s="11"/>
      <c r="K646" s="11"/>
      <c r="L646" s="11"/>
      <c r="M646" s="10"/>
      <c r="N646" s="11"/>
      <c r="O646" s="10"/>
      <c r="P646" s="11"/>
      <c r="Q646" s="11"/>
      <c r="R646" s="12"/>
    </row>
    <row r="647" spans="1:18" x14ac:dyDescent="0.25">
      <c r="A647" s="8"/>
      <c r="B647" s="9"/>
      <c r="C647" s="10"/>
      <c r="D647" s="10"/>
      <c r="E647" s="9"/>
      <c r="F647" s="11"/>
      <c r="G647" s="9"/>
      <c r="H647" s="10"/>
      <c r="I647" s="10"/>
      <c r="J647" s="11"/>
      <c r="K647" s="11"/>
      <c r="L647" s="11"/>
      <c r="M647" s="10"/>
      <c r="N647" s="11"/>
      <c r="O647" s="10"/>
      <c r="P647" s="11"/>
      <c r="Q647" s="11"/>
      <c r="R647" s="12"/>
    </row>
    <row r="648" spans="1:18" x14ac:dyDescent="0.25">
      <c r="A648" s="8"/>
      <c r="B648" s="9"/>
      <c r="C648" s="10"/>
      <c r="D648" s="10"/>
      <c r="E648" s="9"/>
      <c r="F648" s="11"/>
      <c r="G648" s="9"/>
      <c r="H648" s="10"/>
      <c r="I648" s="10"/>
      <c r="J648" s="11"/>
      <c r="K648" s="11"/>
      <c r="L648" s="11"/>
      <c r="M648" s="10"/>
      <c r="N648" s="11"/>
      <c r="O648" s="10"/>
      <c r="P648" s="11"/>
      <c r="Q648" s="11"/>
      <c r="R648" s="12"/>
    </row>
    <row r="649" spans="1:18" x14ac:dyDescent="0.25">
      <c r="A649" s="8"/>
      <c r="B649" s="9"/>
      <c r="C649" s="10"/>
      <c r="D649" s="10"/>
      <c r="E649" s="9"/>
      <c r="F649" s="11"/>
      <c r="G649" s="9"/>
      <c r="H649" s="10"/>
      <c r="I649" s="10"/>
      <c r="J649" s="11"/>
      <c r="K649" s="11"/>
      <c r="L649" s="11"/>
      <c r="M649" s="10"/>
      <c r="N649" s="11"/>
      <c r="O649" s="10"/>
      <c r="P649" s="11"/>
      <c r="Q649" s="11"/>
      <c r="R649" s="12"/>
    </row>
    <row r="650" spans="1:18" x14ac:dyDescent="0.25">
      <c r="A650" s="8"/>
      <c r="B650" s="9"/>
      <c r="C650" s="10"/>
      <c r="D650" s="10"/>
      <c r="E650" s="9"/>
      <c r="F650" s="11"/>
      <c r="G650" s="9"/>
      <c r="H650" s="10"/>
      <c r="I650" s="10"/>
      <c r="J650" s="11"/>
      <c r="K650" s="11"/>
      <c r="L650" s="11"/>
      <c r="M650" s="10"/>
      <c r="N650" s="11"/>
      <c r="O650" s="10"/>
      <c r="P650" s="11"/>
      <c r="Q650" s="11"/>
      <c r="R650" s="12"/>
    </row>
    <row r="651" spans="1:18" x14ac:dyDescent="0.25">
      <c r="A651" s="8"/>
      <c r="B651" s="9"/>
      <c r="C651" s="10"/>
      <c r="D651" s="10"/>
      <c r="E651" s="9"/>
      <c r="F651" s="11"/>
      <c r="G651" s="9"/>
      <c r="H651" s="10"/>
      <c r="I651" s="10"/>
      <c r="J651" s="11"/>
      <c r="K651" s="11"/>
      <c r="L651" s="11"/>
      <c r="M651" s="10"/>
      <c r="N651" s="11"/>
      <c r="O651" s="10"/>
      <c r="P651" s="11"/>
      <c r="Q651" s="11"/>
      <c r="R651" s="12"/>
    </row>
    <row r="652" spans="1:18" x14ac:dyDescent="0.25">
      <c r="A652" s="8"/>
      <c r="B652" s="9"/>
      <c r="C652" s="10"/>
      <c r="D652" s="10"/>
      <c r="E652" s="9"/>
      <c r="F652" s="11"/>
      <c r="G652" s="9"/>
      <c r="H652" s="10"/>
      <c r="I652" s="10"/>
      <c r="J652" s="11"/>
      <c r="K652" s="11"/>
      <c r="L652" s="11"/>
      <c r="M652" s="10"/>
      <c r="N652" s="11"/>
      <c r="O652" s="10"/>
      <c r="P652" s="11"/>
      <c r="Q652" s="11"/>
      <c r="R652" s="12"/>
    </row>
    <row r="653" spans="1:18" x14ac:dyDescent="0.25">
      <c r="A653" s="8"/>
      <c r="B653" s="9"/>
      <c r="C653" s="10"/>
      <c r="D653" s="10"/>
      <c r="E653" s="9"/>
      <c r="F653" s="11"/>
      <c r="G653" s="9"/>
      <c r="H653" s="10"/>
      <c r="I653" s="10"/>
      <c r="J653" s="11"/>
      <c r="K653" s="11"/>
      <c r="L653" s="11"/>
      <c r="M653" s="10"/>
      <c r="N653" s="11"/>
      <c r="O653" s="10"/>
      <c r="P653" s="11"/>
      <c r="Q653" s="11"/>
      <c r="R653" s="12"/>
    </row>
    <row r="654" spans="1:18" x14ac:dyDescent="0.25">
      <c r="A654" s="8"/>
      <c r="B654" s="9"/>
      <c r="C654" s="10"/>
      <c r="D654" s="10"/>
      <c r="E654" s="9"/>
      <c r="F654" s="11"/>
      <c r="G654" s="9"/>
      <c r="H654" s="10"/>
      <c r="I654" s="10"/>
      <c r="J654" s="11"/>
      <c r="K654" s="11"/>
      <c r="L654" s="11"/>
      <c r="M654" s="10"/>
      <c r="N654" s="11"/>
      <c r="O654" s="10"/>
      <c r="P654" s="11"/>
      <c r="Q654" s="11"/>
      <c r="R654" s="12"/>
    </row>
    <row r="655" spans="1:18" x14ac:dyDescent="0.25">
      <c r="A655" s="8"/>
      <c r="B655" s="9"/>
      <c r="C655" s="10"/>
      <c r="D655" s="10"/>
      <c r="E655" s="9"/>
      <c r="F655" s="11"/>
      <c r="G655" s="9"/>
      <c r="H655" s="10"/>
      <c r="I655" s="10"/>
      <c r="J655" s="11"/>
      <c r="K655" s="11"/>
      <c r="L655" s="11"/>
      <c r="M655" s="10"/>
      <c r="N655" s="11"/>
      <c r="O655" s="10"/>
      <c r="P655" s="11"/>
      <c r="Q655" s="11"/>
      <c r="R655" s="12"/>
    </row>
    <row r="656" spans="1:18" x14ac:dyDescent="0.25">
      <c r="A656" s="8"/>
      <c r="B656" s="9"/>
      <c r="C656" s="10"/>
      <c r="D656" s="10"/>
      <c r="E656" s="9"/>
      <c r="F656" s="11"/>
      <c r="G656" s="9"/>
      <c r="H656" s="10"/>
      <c r="I656" s="10"/>
      <c r="J656" s="11"/>
      <c r="K656" s="11"/>
      <c r="L656" s="11"/>
      <c r="M656" s="10"/>
      <c r="N656" s="11"/>
      <c r="O656" s="10"/>
      <c r="P656" s="11"/>
      <c r="Q656" s="11"/>
      <c r="R656" s="12"/>
    </row>
    <row r="657" spans="1:18" x14ac:dyDescent="0.25">
      <c r="A657" s="8"/>
      <c r="B657" s="9"/>
      <c r="C657" s="10"/>
      <c r="D657" s="10"/>
      <c r="E657" s="9"/>
      <c r="F657" s="11"/>
      <c r="G657" s="9"/>
      <c r="H657" s="10"/>
      <c r="I657" s="10"/>
      <c r="J657" s="11"/>
      <c r="K657" s="11"/>
      <c r="L657" s="11"/>
      <c r="M657" s="10"/>
      <c r="N657" s="11"/>
      <c r="O657" s="10"/>
      <c r="P657" s="11"/>
      <c r="Q657" s="11"/>
      <c r="R657" s="12"/>
    </row>
    <row r="658" spans="1:18" x14ac:dyDescent="0.25">
      <c r="A658" s="8"/>
      <c r="B658" s="9"/>
      <c r="C658" s="10"/>
      <c r="D658" s="10"/>
      <c r="E658" s="9"/>
      <c r="F658" s="11"/>
      <c r="G658" s="9"/>
      <c r="H658" s="10"/>
      <c r="I658" s="10"/>
      <c r="J658" s="11"/>
      <c r="K658" s="11"/>
      <c r="L658" s="11"/>
      <c r="M658" s="10"/>
      <c r="N658" s="11"/>
      <c r="O658" s="10"/>
      <c r="P658" s="11"/>
      <c r="Q658" s="11"/>
      <c r="R658" s="12"/>
    </row>
    <row r="659" spans="1:18" x14ac:dyDescent="0.25">
      <c r="A659" s="8"/>
      <c r="B659" s="9"/>
      <c r="C659" s="10"/>
      <c r="D659" s="10"/>
      <c r="E659" s="9"/>
      <c r="F659" s="11"/>
      <c r="G659" s="9"/>
      <c r="H659" s="10"/>
      <c r="I659" s="10"/>
      <c r="J659" s="11"/>
      <c r="K659" s="11"/>
      <c r="L659" s="11"/>
      <c r="M659" s="10"/>
      <c r="N659" s="11"/>
      <c r="O659" s="10"/>
      <c r="P659" s="11"/>
      <c r="Q659" s="11"/>
      <c r="R659" s="12"/>
    </row>
    <row r="660" spans="1:18" x14ac:dyDescent="0.25">
      <c r="A660" s="8"/>
      <c r="B660" s="9"/>
      <c r="C660" s="10"/>
      <c r="D660" s="10"/>
      <c r="E660" s="9"/>
      <c r="F660" s="11"/>
      <c r="G660" s="9"/>
      <c r="H660" s="10"/>
      <c r="I660" s="10"/>
      <c r="J660" s="11"/>
      <c r="K660" s="11"/>
      <c r="L660" s="11"/>
      <c r="M660" s="10"/>
      <c r="N660" s="11"/>
      <c r="O660" s="10"/>
      <c r="P660" s="11"/>
      <c r="Q660" s="11"/>
      <c r="R660" s="12"/>
    </row>
    <row r="661" spans="1:18" x14ac:dyDescent="0.25">
      <c r="A661" s="8"/>
      <c r="B661" s="9"/>
      <c r="C661" s="10"/>
      <c r="D661" s="10"/>
      <c r="E661" s="9"/>
      <c r="F661" s="11"/>
      <c r="G661" s="9"/>
      <c r="H661" s="10"/>
      <c r="I661" s="10"/>
      <c r="J661" s="11"/>
      <c r="K661" s="11"/>
      <c r="L661" s="11"/>
      <c r="M661" s="10"/>
      <c r="N661" s="11"/>
      <c r="O661" s="10"/>
      <c r="P661" s="11"/>
      <c r="Q661" s="11"/>
      <c r="R661" s="12"/>
    </row>
    <row r="662" spans="1:18" x14ac:dyDescent="0.25">
      <c r="A662" s="8"/>
      <c r="B662" s="9"/>
      <c r="C662" s="10"/>
      <c r="D662" s="10"/>
      <c r="E662" s="9"/>
      <c r="F662" s="11"/>
      <c r="G662" s="9"/>
      <c r="H662" s="10"/>
      <c r="I662" s="10"/>
      <c r="J662" s="11"/>
      <c r="K662" s="11"/>
      <c r="L662" s="11"/>
      <c r="M662" s="10"/>
      <c r="N662" s="11"/>
      <c r="O662" s="10"/>
      <c r="P662" s="11"/>
      <c r="Q662" s="11"/>
      <c r="R662" s="12"/>
    </row>
    <row r="663" spans="1:18" x14ac:dyDescent="0.25">
      <c r="A663" s="8"/>
      <c r="B663" s="9"/>
      <c r="C663" s="10"/>
      <c r="D663" s="10"/>
      <c r="E663" s="9"/>
      <c r="F663" s="11"/>
      <c r="G663" s="9"/>
      <c r="H663" s="10"/>
      <c r="I663" s="10"/>
      <c r="J663" s="11"/>
      <c r="K663" s="11"/>
      <c r="L663" s="11"/>
      <c r="M663" s="10"/>
      <c r="N663" s="11"/>
      <c r="O663" s="10"/>
      <c r="P663" s="11"/>
      <c r="Q663" s="11"/>
      <c r="R663" s="12"/>
    </row>
    <row r="664" spans="1:18" x14ac:dyDescent="0.25">
      <c r="A664" s="8"/>
      <c r="B664" s="9"/>
      <c r="C664" s="10"/>
      <c r="D664" s="10"/>
      <c r="E664" s="9"/>
      <c r="F664" s="11"/>
      <c r="G664" s="9"/>
      <c r="H664" s="10"/>
      <c r="I664" s="10"/>
      <c r="J664" s="11"/>
      <c r="K664" s="11"/>
      <c r="L664" s="11"/>
      <c r="M664" s="10"/>
      <c r="N664" s="11"/>
      <c r="O664" s="10"/>
      <c r="P664" s="11"/>
      <c r="Q664" s="11"/>
      <c r="R664" s="12"/>
    </row>
    <row r="665" spans="1:18" x14ac:dyDescent="0.25">
      <c r="A665" s="8"/>
      <c r="B665" s="9"/>
      <c r="C665" s="10"/>
      <c r="D665" s="10"/>
      <c r="E665" s="9"/>
      <c r="F665" s="11"/>
      <c r="G665" s="9"/>
      <c r="H665" s="10"/>
      <c r="I665" s="10"/>
      <c r="J665" s="11"/>
      <c r="K665" s="11"/>
      <c r="L665" s="11"/>
      <c r="M665" s="10"/>
      <c r="N665" s="11"/>
      <c r="O665" s="10"/>
      <c r="P665" s="11"/>
      <c r="Q665" s="11"/>
      <c r="R665" s="12"/>
    </row>
    <row r="666" spans="1:18" x14ac:dyDescent="0.25">
      <c r="A666" s="8"/>
      <c r="B666" s="9"/>
      <c r="C666" s="10"/>
      <c r="D666" s="10"/>
      <c r="E666" s="9"/>
      <c r="F666" s="11"/>
      <c r="G666" s="9"/>
      <c r="H666" s="10"/>
      <c r="I666" s="10"/>
      <c r="J666" s="11"/>
      <c r="K666" s="11"/>
      <c r="L666" s="11"/>
      <c r="M666" s="10"/>
      <c r="N666" s="11"/>
      <c r="O666" s="10"/>
      <c r="P666" s="11"/>
      <c r="Q666" s="11"/>
      <c r="R666" s="12"/>
    </row>
    <row r="667" spans="1:18" x14ac:dyDescent="0.25">
      <c r="A667" s="8"/>
      <c r="B667" s="9"/>
      <c r="C667" s="10"/>
      <c r="D667" s="10"/>
      <c r="E667" s="9"/>
      <c r="F667" s="11"/>
      <c r="G667" s="9"/>
      <c r="H667" s="10"/>
      <c r="I667" s="10"/>
      <c r="J667" s="11"/>
      <c r="K667" s="11"/>
      <c r="L667" s="11"/>
      <c r="M667" s="10"/>
      <c r="N667" s="11"/>
      <c r="O667" s="10"/>
      <c r="P667" s="11"/>
      <c r="Q667" s="11"/>
      <c r="R667" s="12"/>
    </row>
    <row r="668" spans="1:18" x14ac:dyDescent="0.25">
      <c r="A668" s="8"/>
      <c r="B668" s="9"/>
      <c r="C668" s="10"/>
      <c r="D668" s="10"/>
      <c r="E668" s="9"/>
      <c r="F668" s="11"/>
      <c r="G668" s="9"/>
      <c r="H668" s="10"/>
      <c r="I668" s="10"/>
      <c r="J668" s="11"/>
      <c r="K668" s="11"/>
      <c r="L668" s="11"/>
      <c r="M668" s="10"/>
      <c r="N668" s="11"/>
      <c r="O668" s="10"/>
      <c r="P668" s="11"/>
      <c r="Q668" s="11"/>
      <c r="R668" s="12"/>
    </row>
    <row r="669" spans="1:18" x14ac:dyDescent="0.25">
      <c r="A669" s="8"/>
      <c r="B669" s="9"/>
      <c r="C669" s="10"/>
      <c r="D669" s="10"/>
      <c r="E669" s="9"/>
      <c r="F669" s="11"/>
      <c r="G669" s="9"/>
      <c r="H669" s="10"/>
      <c r="I669" s="10"/>
      <c r="J669" s="11"/>
      <c r="K669" s="11"/>
      <c r="L669" s="11"/>
      <c r="M669" s="10"/>
      <c r="N669" s="11"/>
      <c r="O669" s="10"/>
      <c r="P669" s="11"/>
      <c r="Q669" s="11"/>
      <c r="R669" s="12"/>
    </row>
    <row r="670" spans="1:18" x14ac:dyDescent="0.25">
      <c r="A670" s="8"/>
      <c r="B670" s="9"/>
      <c r="C670" s="10"/>
      <c r="D670" s="10"/>
      <c r="E670" s="9"/>
      <c r="F670" s="11"/>
      <c r="G670" s="9"/>
      <c r="H670" s="10"/>
      <c r="I670" s="10"/>
      <c r="J670" s="11"/>
      <c r="K670" s="11"/>
      <c r="L670" s="11"/>
      <c r="M670" s="10"/>
      <c r="N670" s="11"/>
      <c r="O670" s="10"/>
      <c r="P670" s="11"/>
      <c r="Q670" s="11"/>
      <c r="R670" s="12"/>
    </row>
    <row r="671" spans="1:18" x14ac:dyDescent="0.25">
      <c r="A671" s="8"/>
      <c r="B671" s="9"/>
      <c r="C671" s="10"/>
      <c r="D671" s="10"/>
      <c r="E671" s="9"/>
      <c r="F671" s="11"/>
      <c r="G671" s="9"/>
      <c r="H671" s="10"/>
      <c r="I671" s="10"/>
      <c r="J671" s="11"/>
      <c r="K671" s="11"/>
      <c r="L671" s="11"/>
      <c r="M671" s="10"/>
      <c r="N671" s="11"/>
      <c r="O671" s="10"/>
      <c r="P671" s="11"/>
      <c r="Q671" s="11"/>
      <c r="R671" s="12"/>
    </row>
    <row r="672" spans="1:18" x14ac:dyDescent="0.25">
      <c r="A672" s="8"/>
      <c r="B672" s="9"/>
      <c r="C672" s="10"/>
      <c r="D672" s="10"/>
      <c r="E672" s="9"/>
      <c r="F672" s="11"/>
      <c r="G672" s="9"/>
      <c r="H672" s="10"/>
      <c r="I672" s="10"/>
      <c r="J672" s="11"/>
      <c r="K672" s="11"/>
      <c r="L672" s="11"/>
      <c r="M672" s="10"/>
      <c r="N672" s="11"/>
      <c r="O672" s="10"/>
      <c r="P672" s="11"/>
      <c r="Q672" s="11"/>
      <c r="R672" s="12"/>
    </row>
    <row r="673" spans="1:18" x14ac:dyDescent="0.25">
      <c r="A673" s="8"/>
      <c r="B673" s="9"/>
      <c r="C673" s="10"/>
      <c r="D673" s="10"/>
      <c r="E673" s="9"/>
      <c r="F673" s="11"/>
      <c r="G673" s="9"/>
      <c r="H673" s="10"/>
      <c r="I673" s="10"/>
      <c r="J673" s="11"/>
      <c r="K673" s="11"/>
      <c r="L673" s="11"/>
      <c r="M673" s="10"/>
      <c r="N673" s="11"/>
      <c r="O673" s="10"/>
      <c r="P673" s="11"/>
      <c r="Q673" s="11"/>
      <c r="R673" s="12"/>
    </row>
    <row r="674" spans="1:18" x14ac:dyDescent="0.25">
      <c r="A674" s="8"/>
      <c r="B674" s="9"/>
      <c r="C674" s="10"/>
      <c r="D674" s="10"/>
      <c r="E674" s="9"/>
      <c r="F674" s="11"/>
      <c r="G674" s="9"/>
      <c r="H674" s="10"/>
      <c r="I674" s="10"/>
      <c r="J674" s="11"/>
      <c r="K674" s="11"/>
      <c r="L674" s="11"/>
      <c r="M674" s="10"/>
      <c r="N674" s="11"/>
      <c r="O674" s="10"/>
      <c r="P674" s="11"/>
      <c r="Q674" s="11"/>
      <c r="R674" s="12"/>
    </row>
    <row r="675" spans="1:18" x14ac:dyDescent="0.25">
      <c r="A675" s="8"/>
      <c r="B675" s="9"/>
      <c r="C675" s="10"/>
      <c r="D675" s="10"/>
      <c r="E675" s="9"/>
      <c r="F675" s="11"/>
      <c r="G675" s="9"/>
      <c r="H675" s="10"/>
      <c r="I675" s="10"/>
      <c r="J675" s="11"/>
      <c r="K675" s="11"/>
      <c r="L675" s="11"/>
      <c r="M675" s="10"/>
      <c r="N675" s="11"/>
      <c r="O675" s="10"/>
      <c r="P675" s="11"/>
      <c r="Q675" s="11"/>
      <c r="R675" s="12"/>
    </row>
    <row r="676" spans="1:18" x14ac:dyDescent="0.25">
      <c r="A676" s="8"/>
      <c r="B676" s="9"/>
      <c r="C676" s="10"/>
      <c r="D676" s="10"/>
      <c r="E676" s="9"/>
      <c r="F676" s="11"/>
      <c r="G676" s="9"/>
      <c r="H676" s="10"/>
      <c r="I676" s="10"/>
      <c r="J676" s="11"/>
      <c r="K676" s="11"/>
      <c r="L676" s="11"/>
      <c r="M676" s="10"/>
      <c r="N676" s="11"/>
      <c r="O676" s="10"/>
      <c r="P676" s="11"/>
      <c r="Q676" s="11"/>
      <c r="R676" s="12"/>
    </row>
    <row r="677" spans="1:18" x14ac:dyDescent="0.25">
      <c r="A677" s="8"/>
      <c r="B677" s="9"/>
      <c r="C677" s="10"/>
      <c r="D677" s="10"/>
      <c r="E677" s="9"/>
      <c r="F677" s="11"/>
      <c r="G677" s="9"/>
      <c r="H677" s="10"/>
      <c r="I677" s="10"/>
      <c r="J677" s="11"/>
      <c r="K677" s="11"/>
      <c r="L677" s="11"/>
      <c r="M677" s="10"/>
      <c r="N677" s="11"/>
      <c r="O677" s="10"/>
      <c r="P677" s="11"/>
      <c r="Q677" s="11"/>
      <c r="R677" s="12"/>
    </row>
    <row r="678" spans="1:18" x14ac:dyDescent="0.25">
      <c r="A678" s="8"/>
      <c r="B678" s="9"/>
      <c r="C678" s="10"/>
      <c r="D678" s="10"/>
      <c r="E678" s="9"/>
      <c r="F678" s="11"/>
      <c r="G678" s="9"/>
      <c r="H678" s="10"/>
      <c r="I678" s="10"/>
      <c r="J678" s="11"/>
      <c r="K678" s="11"/>
      <c r="L678" s="11"/>
      <c r="M678" s="10"/>
      <c r="N678" s="11"/>
      <c r="O678" s="10"/>
      <c r="P678" s="11"/>
      <c r="Q678" s="11"/>
      <c r="R678" s="12"/>
    </row>
    <row r="679" spans="1:18" x14ac:dyDescent="0.25">
      <c r="A679" s="8"/>
      <c r="B679" s="9"/>
      <c r="C679" s="10"/>
      <c r="D679" s="10"/>
      <c r="E679" s="9"/>
      <c r="F679" s="11"/>
      <c r="G679" s="9"/>
      <c r="H679" s="10"/>
      <c r="I679" s="10"/>
      <c r="J679" s="11"/>
      <c r="K679" s="11"/>
      <c r="L679" s="11"/>
      <c r="M679" s="10"/>
      <c r="N679" s="11"/>
      <c r="O679" s="10"/>
      <c r="P679" s="11"/>
      <c r="Q679" s="11"/>
      <c r="R679" s="12"/>
    </row>
    <row r="680" spans="1:18" x14ac:dyDescent="0.25">
      <c r="A680" s="8"/>
      <c r="B680" s="9"/>
      <c r="C680" s="10"/>
      <c r="D680" s="10"/>
      <c r="E680" s="9"/>
      <c r="F680" s="11"/>
      <c r="G680" s="9"/>
      <c r="H680" s="10"/>
      <c r="I680" s="10"/>
      <c r="J680" s="11"/>
      <c r="K680" s="11"/>
      <c r="L680" s="11"/>
      <c r="M680" s="10"/>
      <c r="N680" s="11"/>
      <c r="O680" s="10"/>
      <c r="P680" s="11"/>
      <c r="Q680" s="11"/>
      <c r="R680" s="12"/>
    </row>
    <row r="681" spans="1:18" x14ac:dyDescent="0.25">
      <c r="A681" s="8"/>
      <c r="B681" s="9"/>
      <c r="C681" s="10"/>
      <c r="D681" s="10"/>
      <c r="E681" s="9"/>
      <c r="F681" s="11"/>
      <c r="G681" s="9"/>
      <c r="H681" s="10"/>
      <c r="I681" s="10"/>
      <c r="J681" s="11"/>
      <c r="K681" s="11"/>
      <c r="L681" s="11"/>
      <c r="M681" s="10"/>
      <c r="N681" s="11"/>
      <c r="O681" s="10"/>
      <c r="P681" s="11"/>
      <c r="Q681" s="11"/>
      <c r="R681" s="12"/>
    </row>
    <row r="682" spans="1:18" x14ac:dyDescent="0.25">
      <c r="A682" s="8"/>
      <c r="B682" s="9"/>
      <c r="C682" s="10"/>
      <c r="D682" s="10"/>
      <c r="E682" s="9"/>
      <c r="F682" s="11"/>
      <c r="G682" s="9"/>
      <c r="H682" s="10"/>
      <c r="I682" s="10"/>
      <c r="J682" s="11"/>
      <c r="K682" s="11"/>
      <c r="L682" s="11"/>
      <c r="M682" s="10"/>
      <c r="N682" s="11"/>
      <c r="O682" s="10"/>
      <c r="P682" s="11"/>
      <c r="Q682" s="11"/>
      <c r="R682" s="12"/>
    </row>
    <row r="683" spans="1:18" x14ac:dyDescent="0.25">
      <c r="A683" s="8"/>
      <c r="B683" s="9"/>
      <c r="C683" s="10"/>
      <c r="D683" s="10"/>
      <c r="E683" s="9"/>
      <c r="F683" s="11"/>
      <c r="G683" s="9"/>
      <c r="H683" s="10"/>
      <c r="I683" s="10"/>
      <c r="J683" s="11"/>
      <c r="K683" s="11"/>
      <c r="L683" s="11"/>
      <c r="M683" s="10"/>
      <c r="N683" s="11"/>
      <c r="O683" s="10"/>
      <c r="P683" s="11"/>
      <c r="Q683" s="11"/>
      <c r="R683" s="12"/>
    </row>
    <row r="684" spans="1:18" x14ac:dyDescent="0.25">
      <c r="A684" s="8"/>
      <c r="B684" s="9"/>
      <c r="C684" s="10"/>
      <c r="D684" s="10"/>
      <c r="E684" s="9"/>
      <c r="F684" s="11"/>
      <c r="G684" s="9"/>
      <c r="H684" s="10"/>
      <c r="I684" s="10"/>
      <c r="J684" s="11"/>
      <c r="K684" s="11"/>
      <c r="L684" s="11"/>
      <c r="M684" s="10"/>
      <c r="N684" s="11"/>
      <c r="O684" s="10"/>
      <c r="P684" s="11"/>
      <c r="Q684" s="11"/>
      <c r="R684" s="12"/>
    </row>
    <row r="685" spans="1:18" x14ac:dyDescent="0.25">
      <c r="A685" s="8"/>
      <c r="B685" s="9"/>
      <c r="C685" s="10"/>
      <c r="D685" s="10"/>
      <c r="E685" s="9"/>
      <c r="F685" s="11"/>
      <c r="G685" s="9"/>
      <c r="H685" s="10"/>
      <c r="I685" s="10"/>
      <c r="J685" s="11"/>
      <c r="K685" s="11"/>
      <c r="L685" s="11"/>
      <c r="M685" s="10"/>
      <c r="N685" s="11"/>
      <c r="O685" s="10"/>
      <c r="P685" s="11"/>
      <c r="Q685" s="11"/>
      <c r="R685" s="12"/>
    </row>
    <row r="686" spans="1:18" x14ac:dyDescent="0.25">
      <c r="A686" s="8"/>
      <c r="B686" s="9"/>
      <c r="C686" s="10"/>
      <c r="D686" s="10"/>
      <c r="E686" s="9"/>
      <c r="F686" s="11"/>
      <c r="G686" s="9"/>
      <c r="H686" s="10"/>
      <c r="I686" s="10"/>
      <c r="J686" s="11"/>
      <c r="K686" s="11"/>
      <c r="L686" s="11"/>
      <c r="M686" s="10"/>
      <c r="N686" s="11"/>
      <c r="O686" s="10"/>
      <c r="P686" s="11"/>
      <c r="Q686" s="11"/>
      <c r="R686" s="12"/>
    </row>
    <row r="687" spans="1:18" x14ac:dyDescent="0.25">
      <c r="A687" s="8"/>
      <c r="B687" s="9"/>
      <c r="C687" s="10"/>
      <c r="D687" s="10"/>
      <c r="E687" s="9"/>
      <c r="F687" s="11"/>
      <c r="G687" s="9"/>
      <c r="H687" s="10"/>
      <c r="I687" s="10"/>
      <c r="J687" s="11"/>
      <c r="K687" s="11"/>
      <c r="L687" s="11"/>
      <c r="M687" s="10"/>
      <c r="N687" s="11"/>
      <c r="O687" s="10"/>
      <c r="P687" s="11"/>
      <c r="Q687" s="11"/>
      <c r="R687" s="12"/>
    </row>
    <row r="688" spans="1:18" x14ac:dyDescent="0.25">
      <c r="A688" s="8"/>
      <c r="B688" s="9"/>
      <c r="C688" s="10"/>
      <c r="D688" s="10"/>
      <c r="E688" s="9"/>
      <c r="F688" s="11"/>
      <c r="G688" s="9"/>
      <c r="H688" s="10"/>
      <c r="I688" s="10"/>
      <c r="J688" s="11"/>
      <c r="K688" s="11"/>
      <c r="L688" s="11"/>
      <c r="M688" s="10"/>
      <c r="N688" s="11"/>
      <c r="O688" s="10"/>
      <c r="P688" s="11"/>
      <c r="Q688" s="11"/>
      <c r="R688" s="12"/>
    </row>
    <row r="689" spans="1:18" x14ac:dyDescent="0.25">
      <c r="A689" s="8"/>
      <c r="B689" s="9"/>
      <c r="C689" s="10"/>
      <c r="D689" s="10"/>
      <c r="E689" s="9"/>
      <c r="F689" s="11"/>
      <c r="G689" s="9"/>
      <c r="H689" s="10"/>
      <c r="I689" s="10"/>
      <c r="J689" s="11"/>
      <c r="K689" s="11"/>
      <c r="L689" s="11"/>
      <c r="M689" s="10"/>
      <c r="N689" s="11"/>
      <c r="O689" s="10"/>
      <c r="P689" s="11"/>
      <c r="Q689" s="11"/>
      <c r="R689" s="12"/>
    </row>
    <row r="690" spans="1:18" x14ac:dyDescent="0.25">
      <c r="A690" s="8"/>
      <c r="B690" s="9"/>
      <c r="C690" s="10"/>
      <c r="D690" s="10"/>
      <c r="E690" s="9"/>
      <c r="F690" s="11"/>
      <c r="G690" s="9"/>
      <c r="H690" s="10"/>
      <c r="I690" s="10"/>
      <c r="J690" s="11"/>
      <c r="K690" s="11"/>
      <c r="L690" s="11"/>
      <c r="M690" s="10"/>
      <c r="N690" s="11"/>
      <c r="O690" s="10"/>
      <c r="P690" s="11"/>
      <c r="Q690" s="11"/>
      <c r="R690" s="12"/>
    </row>
    <row r="691" spans="1:18" x14ac:dyDescent="0.25">
      <c r="A691" s="8"/>
      <c r="B691" s="9"/>
      <c r="C691" s="10"/>
      <c r="D691" s="10"/>
      <c r="E691" s="9"/>
      <c r="F691" s="11"/>
      <c r="G691" s="9"/>
      <c r="H691" s="10"/>
      <c r="I691" s="10"/>
      <c r="J691" s="11"/>
      <c r="K691" s="11"/>
      <c r="L691" s="11"/>
      <c r="M691" s="10"/>
      <c r="N691" s="11"/>
      <c r="O691" s="10"/>
      <c r="P691" s="11"/>
      <c r="Q691" s="11"/>
      <c r="R691" s="12"/>
    </row>
    <row r="692" spans="1:18" x14ac:dyDescent="0.25">
      <c r="A692" s="8"/>
      <c r="B692" s="9"/>
      <c r="C692" s="10"/>
      <c r="D692" s="10"/>
      <c r="E692" s="9"/>
      <c r="F692" s="11"/>
      <c r="G692" s="9"/>
      <c r="H692" s="10"/>
      <c r="I692" s="10"/>
      <c r="J692" s="11"/>
      <c r="K692" s="11"/>
      <c r="L692" s="11"/>
      <c r="M692" s="10"/>
      <c r="N692" s="11"/>
      <c r="O692" s="10"/>
      <c r="P692" s="11"/>
      <c r="Q692" s="11"/>
      <c r="R692" s="12"/>
    </row>
    <row r="693" spans="1:18" x14ac:dyDescent="0.25">
      <c r="A693" s="8"/>
      <c r="B693" s="9"/>
      <c r="C693" s="10"/>
      <c r="D693" s="10"/>
      <c r="E693" s="9"/>
      <c r="F693" s="11"/>
      <c r="G693" s="9"/>
      <c r="H693" s="10"/>
      <c r="I693" s="10"/>
      <c r="J693" s="11"/>
      <c r="K693" s="11"/>
      <c r="L693" s="11"/>
      <c r="M693" s="10"/>
      <c r="N693" s="11"/>
      <c r="O693" s="10"/>
      <c r="P693" s="11"/>
      <c r="Q693" s="11"/>
      <c r="R693" s="12"/>
    </row>
    <row r="694" spans="1:18" x14ac:dyDescent="0.25">
      <c r="A694" s="8"/>
      <c r="B694" s="9"/>
      <c r="C694" s="10"/>
      <c r="D694" s="10"/>
      <c r="E694" s="9"/>
      <c r="F694" s="11"/>
      <c r="G694" s="9"/>
      <c r="H694" s="10"/>
      <c r="I694" s="10"/>
      <c r="J694" s="11"/>
      <c r="K694" s="11"/>
      <c r="L694" s="11"/>
      <c r="M694" s="10"/>
      <c r="N694" s="11"/>
      <c r="O694" s="10"/>
      <c r="P694" s="11"/>
      <c r="Q694" s="11"/>
      <c r="R694" s="12"/>
    </row>
    <row r="695" spans="1:18" x14ac:dyDescent="0.25">
      <c r="A695" s="8"/>
      <c r="B695" s="9"/>
      <c r="C695" s="10"/>
      <c r="D695" s="10"/>
      <c r="E695" s="9"/>
      <c r="F695" s="11"/>
      <c r="G695" s="9"/>
      <c r="H695" s="10"/>
      <c r="I695" s="10"/>
      <c r="J695" s="11"/>
      <c r="K695" s="11"/>
      <c r="L695" s="11"/>
      <c r="M695" s="10"/>
      <c r="N695" s="11"/>
      <c r="O695" s="10"/>
      <c r="P695" s="11"/>
      <c r="Q695" s="11"/>
      <c r="R695" s="12"/>
    </row>
    <row r="696" spans="1:18" x14ac:dyDescent="0.25">
      <c r="A696" s="8"/>
      <c r="B696" s="9"/>
      <c r="C696" s="10"/>
      <c r="D696" s="10"/>
      <c r="E696" s="9"/>
      <c r="F696" s="11"/>
      <c r="G696" s="9"/>
      <c r="H696" s="10"/>
      <c r="I696" s="10"/>
      <c r="J696" s="11"/>
      <c r="K696" s="11"/>
      <c r="L696" s="11"/>
      <c r="M696" s="10"/>
      <c r="N696" s="11"/>
      <c r="O696" s="10"/>
      <c r="P696" s="11"/>
      <c r="Q696" s="11"/>
      <c r="R696" s="12"/>
    </row>
    <row r="697" spans="1:18" x14ac:dyDescent="0.25">
      <c r="A697" s="8"/>
      <c r="B697" s="9"/>
      <c r="C697" s="10"/>
      <c r="D697" s="10"/>
      <c r="E697" s="9"/>
      <c r="F697" s="11"/>
      <c r="G697" s="9"/>
      <c r="H697" s="10"/>
      <c r="I697" s="10"/>
      <c r="J697" s="11"/>
      <c r="K697" s="11"/>
      <c r="L697" s="11"/>
      <c r="M697" s="10"/>
      <c r="N697" s="11"/>
      <c r="O697" s="10"/>
      <c r="P697" s="11"/>
      <c r="Q697" s="11"/>
      <c r="R697" s="12"/>
    </row>
    <row r="698" spans="1:18" x14ac:dyDescent="0.25">
      <c r="A698" s="8"/>
      <c r="B698" s="9"/>
      <c r="C698" s="10"/>
      <c r="D698" s="10"/>
      <c r="E698" s="9"/>
      <c r="F698" s="11"/>
      <c r="G698" s="9"/>
      <c r="H698" s="10"/>
      <c r="I698" s="10"/>
      <c r="J698" s="11"/>
      <c r="K698" s="11"/>
      <c r="L698" s="11"/>
      <c r="M698" s="10"/>
      <c r="N698" s="11"/>
      <c r="O698" s="10"/>
      <c r="P698" s="11"/>
      <c r="Q698" s="11"/>
      <c r="R698" s="12"/>
    </row>
    <row r="699" spans="1:18" x14ac:dyDescent="0.25">
      <c r="A699" s="8"/>
      <c r="B699" s="9"/>
      <c r="C699" s="10"/>
      <c r="D699" s="10"/>
      <c r="E699" s="9"/>
      <c r="F699" s="11"/>
      <c r="G699" s="9"/>
      <c r="H699" s="10"/>
      <c r="I699" s="10"/>
      <c r="J699" s="11"/>
      <c r="K699" s="11"/>
      <c r="L699" s="11"/>
      <c r="M699" s="10"/>
      <c r="N699" s="11"/>
      <c r="O699" s="10"/>
      <c r="P699" s="11"/>
      <c r="Q699" s="11"/>
      <c r="R699" s="12"/>
    </row>
    <row r="700" spans="1:18" x14ac:dyDescent="0.25">
      <c r="A700" s="8"/>
      <c r="B700" s="9"/>
      <c r="C700" s="10"/>
      <c r="D700" s="10"/>
      <c r="E700" s="9"/>
      <c r="F700" s="11"/>
      <c r="G700" s="9"/>
      <c r="H700" s="10"/>
      <c r="I700" s="10"/>
      <c r="J700" s="11"/>
      <c r="K700" s="11"/>
      <c r="L700" s="11"/>
      <c r="M700" s="10"/>
      <c r="N700" s="11"/>
      <c r="O700" s="10"/>
      <c r="P700" s="11"/>
      <c r="Q700" s="11"/>
      <c r="R700" s="12"/>
    </row>
    <row r="701" spans="1:18" x14ac:dyDescent="0.25">
      <c r="A701" s="8"/>
      <c r="B701" s="9"/>
      <c r="C701" s="10"/>
      <c r="D701" s="10"/>
      <c r="E701" s="9"/>
      <c r="F701" s="11"/>
      <c r="G701" s="9"/>
      <c r="H701" s="10"/>
      <c r="I701" s="10"/>
      <c r="J701" s="11"/>
      <c r="K701" s="11"/>
      <c r="L701" s="11"/>
      <c r="M701" s="10"/>
      <c r="N701" s="11"/>
      <c r="O701" s="10"/>
      <c r="P701" s="11"/>
      <c r="Q701" s="11"/>
      <c r="R701" s="12"/>
    </row>
    <row r="702" spans="1:18" x14ac:dyDescent="0.25">
      <c r="A702" s="8"/>
      <c r="B702" s="9"/>
      <c r="C702" s="10"/>
      <c r="D702" s="10"/>
      <c r="E702" s="9"/>
      <c r="F702" s="11"/>
      <c r="G702" s="9"/>
      <c r="H702" s="10"/>
      <c r="I702" s="10"/>
      <c r="J702" s="11"/>
      <c r="K702" s="11"/>
      <c r="L702" s="11"/>
      <c r="M702" s="10"/>
      <c r="N702" s="11"/>
      <c r="O702" s="10"/>
      <c r="P702" s="11"/>
      <c r="Q702" s="11"/>
      <c r="R702" s="12"/>
    </row>
    <row r="703" spans="1:18" x14ac:dyDescent="0.25">
      <c r="A703" s="8"/>
      <c r="B703" s="9"/>
      <c r="C703" s="10"/>
      <c r="D703" s="10"/>
      <c r="E703" s="9"/>
      <c r="F703" s="11"/>
      <c r="G703" s="9"/>
      <c r="H703" s="10"/>
      <c r="I703" s="10"/>
      <c r="J703" s="11"/>
      <c r="K703" s="11"/>
      <c r="L703" s="11"/>
      <c r="M703" s="10"/>
      <c r="N703" s="11"/>
      <c r="O703" s="10"/>
      <c r="P703" s="11"/>
      <c r="Q703" s="11"/>
      <c r="R703" s="12"/>
    </row>
    <row r="704" spans="1:18" x14ac:dyDescent="0.25">
      <c r="A704" s="8"/>
      <c r="B704" s="9"/>
      <c r="C704" s="10"/>
      <c r="D704" s="10"/>
      <c r="E704" s="9"/>
      <c r="F704" s="11"/>
      <c r="G704" s="9"/>
      <c r="H704" s="10"/>
      <c r="I704" s="10"/>
      <c r="J704" s="11"/>
      <c r="K704" s="11"/>
      <c r="L704" s="11"/>
      <c r="M704" s="10"/>
      <c r="N704" s="11"/>
      <c r="O704" s="10"/>
      <c r="P704" s="11"/>
      <c r="Q704" s="11"/>
      <c r="R704" s="12"/>
    </row>
    <row r="705" spans="1:18" x14ac:dyDescent="0.25">
      <c r="A705" s="8"/>
      <c r="B705" s="9"/>
      <c r="C705" s="10"/>
      <c r="D705" s="10"/>
      <c r="E705" s="9"/>
      <c r="F705" s="11"/>
      <c r="G705" s="9"/>
      <c r="H705" s="10"/>
      <c r="I705" s="10"/>
      <c r="J705" s="11"/>
      <c r="K705" s="11"/>
      <c r="L705" s="11"/>
      <c r="M705" s="10"/>
      <c r="N705" s="11"/>
      <c r="O705" s="10"/>
      <c r="P705" s="11"/>
      <c r="Q705" s="11"/>
      <c r="R705" s="12"/>
    </row>
    <row r="706" spans="1:18" x14ac:dyDescent="0.25">
      <c r="A706" s="8"/>
      <c r="B706" s="9"/>
      <c r="C706" s="10"/>
      <c r="D706" s="10"/>
      <c r="E706" s="9"/>
      <c r="F706" s="11"/>
      <c r="G706" s="9"/>
      <c r="H706" s="10"/>
      <c r="I706" s="10"/>
      <c r="J706" s="11"/>
      <c r="K706" s="11"/>
      <c r="L706" s="11"/>
      <c r="M706" s="10"/>
      <c r="N706" s="11"/>
      <c r="O706" s="10"/>
      <c r="P706" s="11"/>
      <c r="Q706" s="11"/>
      <c r="R706" s="12"/>
    </row>
    <row r="707" spans="1:18" x14ac:dyDescent="0.25">
      <c r="A707" s="8"/>
      <c r="B707" s="9"/>
      <c r="C707" s="10"/>
      <c r="D707" s="10"/>
      <c r="E707" s="9"/>
      <c r="F707" s="11"/>
      <c r="G707" s="9"/>
      <c r="H707" s="10"/>
      <c r="I707" s="10"/>
      <c r="J707" s="11"/>
      <c r="K707" s="11"/>
      <c r="L707" s="11"/>
      <c r="M707" s="10"/>
      <c r="N707" s="11"/>
      <c r="O707" s="10"/>
      <c r="P707" s="11"/>
      <c r="Q707" s="11"/>
      <c r="R707" s="12"/>
    </row>
    <row r="708" spans="1:18" x14ac:dyDescent="0.25">
      <c r="A708" s="8"/>
      <c r="B708" s="9"/>
      <c r="C708" s="10"/>
      <c r="D708" s="10"/>
      <c r="E708" s="9"/>
      <c r="F708" s="11"/>
      <c r="G708" s="9"/>
      <c r="H708" s="10"/>
      <c r="I708" s="10"/>
      <c r="J708" s="11"/>
      <c r="K708" s="11"/>
      <c r="L708" s="11"/>
      <c r="M708" s="10"/>
      <c r="N708" s="11"/>
      <c r="O708" s="10"/>
      <c r="P708" s="11"/>
      <c r="Q708" s="11"/>
      <c r="R708" s="12"/>
    </row>
    <row r="709" spans="1:18" x14ac:dyDescent="0.25">
      <c r="A709" s="8"/>
      <c r="B709" s="9"/>
      <c r="C709" s="10"/>
      <c r="D709" s="10"/>
      <c r="E709" s="9"/>
      <c r="F709" s="11"/>
      <c r="G709" s="9"/>
      <c r="H709" s="10"/>
      <c r="I709" s="10"/>
      <c r="J709" s="11"/>
      <c r="K709" s="11"/>
      <c r="L709" s="11"/>
      <c r="M709" s="10"/>
      <c r="N709" s="11"/>
      <c r="O709" s="10"/>
      <c r="P709" s="11"/>
      <c r="Q709" s="11"/>
      <c r="R709" s="12"/>
    </row>
    <row r="710" spans="1:18" x14ac:dyDescent="0.25">
      <c r="A710" s="8"/>
      <c r="B710" s="9"/>
      <c r="C710" s="10"/>
      <c r="D710" s="10"/>
      <c r="E710" s="9"/>
      <c r="F710" s="11"/>
      <c r="G710" s="9"/>
      <c r="H710" s="10"/>
      <c r="I710" s="10"/>
      <c r="J710" s="11"/>
      <c r="K710" s="11"/>
      <c r="L710" s="11"/>
      <c r="M710" s="10"/>
      <c r="N710" s="11"/>
      <c r="O710" s="10"/>
      <c r="P710" s="11"/>
      <c r="Q710" s="11"/>
      <c r="R710" s="12"/>
    </row>
    <row r="711" spans="1:18" x14ac:dyDescent="0.25">
      <c r="A711" s="8"/>
      <c r="B711" s="9"/>
      <c r="C711" s="10"/>
      <c r="D711" s="10"/>
      <c r="E711" s="9"/>
      <c r="F711" s="11"/>
      <c r="G711" s="9"/>
      <c r="H711" s="10"/>
      <c r="I711" s="10"/>
      <c r="J711" s="11"/>
      <c r="K711" s="11"/>
      <c r="L711" s="11"/>
      <c r="M711" s="10"/>
      <c r="N711" s="11"/>
      <c r="O711" s="10"/>
      <c r="P711" s="11"/>
      <c r="Q711" s="11"/>
      <c r="R711" s="12"/>
    </row>
    <row r="712" spans="1:18" x14ac:dyDescent="0.25">
      <c r="A712" s="8"/>
      <c r="B712" s="9"/>
      <c r="C712" s="10"/>
      <c r="D712" s="10"/>
      <c r="E712" s="9"/>
      <c r="F712" s="11"/>
      <c r="G712" s="9"/>
      <c r="H712" s="10"/>
      <c r="I712" s="10"/>
      <c r="J712" s="11"/>
      <c r="K712" s="11"/>
      <c r="L712" s="11"/>
      <c r="M712" s="10"/>
      <c r="N712" s="11"/>
      <c r="O712" s="10"/>
      <c r="P712" s="11"/>
      <c r="Q712" s="11"/>
      <c r="R712" s="12"/>
    </row>
    <row r="713" spans="1:18" x14ac:dyDescent="0.25">
      <c r="A713" s="8"/>
      <c r="B713" s="9"/>
      <c r="C713" s="10"/>
      <c r="D713" s="10"/>
      <c r="E713" s="9"/>
      <c r="F713" s="11"/>
      <c r="G713" s="9"/>
      <c r="H713" s="10"/>
      <c r="I713" s="10"/>
      <c r="J713" s="11"/>
      <c r="K713" s="11"/>
      <c r="L713" s="11"/>
      <c r="M713" s="10"/>
      <c r="N713" s="11"/>
      <c r="O713" s="10"/>
      <c r="P713" s="11"/>
      <c r="Q713" s="11"/>
      <c r="R713" s="12"/>
    </row>
    <row r="714" spans="1:18" x14ac:dyDescent="0.25">
      <c r="A714" s="8"/>
      <c r="B714" s="9"/>
      <c r="C714" s="10"/>
      <c r="D714" s="10"/>
      <c r="E714" s="9"/>
      <c r="F714" s="11"/>
      <c r="G714" s="9"/>
      <c r="H714" s="10"/>
      <c r="I714" s="10"/>
      <c r="J714" s="11"/>
      <c r="K714" s="11"/>
      <c r="L714" s="11"/>
      <c r="M714" s="10"/>
      <c r="N714" s="11"/>
      <c r="O714" s="10"/>
      <c r="P714" s="11"/>
      <c r="Q714" s="11"/>
      <c r="R714" s="12"/>
    </row>
    <row r="715" spans="1:18" x14ac:dyDescent="0.25">
      <c r="A715" s="8"/>
      <c r="B715" s="9"/>
      <c r="C715" s="10"/>
      <c r="D715" s="10"/>
      <c r="E715" s="9"/>
      <c r="F715" s="11"/>
      <c r="G715" s="9"/>
      <c r="H715" s="10"/>
      <c r="I715" s="10"/>
      <c r="J715" s="11"/>
      <c r="K715" s="11"/>
      <c r="L715" s="11"/>
      <c r="M715" s="10"/>
      <c r="N715" s="11"/>
      <c r="O715" s="10"/>
      <c r="P715" s="11"/>
      <c r="Q715" s="11"/>
      <c r="R715" s="12"/>
    </row>
    <row r="716" spans="1:18" x14ac:dyDescent="0.25">
      <c r="A716" s="8"/>
      <c r="B716" s="9"/>
      <c r="C716" s="10"/>
      <c r="D716" s="10"/>
      <c r="E716" s="9"/>
      <c r="F716" s="11"/>
      <c r="G716" s="9"/>
      <c r="H716" s="10"/>
      <c r="I716" s="10"/>
      <c r="J716" s="11"/>
      <c r="K716" s="11"/>
      <c r="L716" s="11"/>
      <c r="M716" s="10"/>
      <c r="N716" s="11"/>
      <c r="O716" s="10"/>
      <c r="P716" s="11"/>
      <c r="Q716" s="11"/>
      <c r="R716" s="12"/>
    </row>
    <row r="717" spans="1:18" x14ac:dyDescent="0.25">
      <c r="A717" s="8"/>
      <c r="B717" s="9"/>
      <c r="C717" s="10"/>
      <c r="D717" s="10"/>
      <c r="E717" s="9"/>
      <c r="F717" s="11"/>
      <c r="G717" s="9"/>
      <c r="H717" s="10"/>
      <c r="I717" s="10"/>
      <c r="J717" s="11"/>
      <c r="K717" s="11"/>
      <c r="L717" s="11"/>
      <c r="M717" s="10"/>
      <c r="N717" s="11"/>
      <c r="O717" s="10"/>
      <c r="P717" s="11"/>
      <c r="Q717" s="11"/>
      <c r="R717" s="12"/>
    </row>
    <row r="718" spans="1:18" x14ac:dyDescent="0.25">
      <c r="A718" s="8"/>
      <c r="B718" s="9"/>
      <c r="C718" s="10"/>
      <c r="D718" s="10"/>
      <c r="E718" s="9"/>
      <c r="F718" s="11"/>
      <c r="G718" s="9"/>
      <c r="H718" s="10"/>
      <c r="I718" s="10"/>
      <c r="J718" s="11"/>
      <c r="K718" s="11"/>
      <c r="L718" s="11"/>
      <c r="M718" s="10"/>
      <c r="N718" s="11"/>
      <c r="O718" s="10"/>
      <c r="P718" s="11"/>
      <c r="Q718" s="11"/>
      <c r="R718" s="12"/>
    </row>
    <row r="719" spans="1:18" x14ac:dyDescent="0.25">
      <c r="A719" s="8"/>
      <c r="B719" s="9"/>
      <c r="C719" s="10"/>
      <c r="D719" s="10"/>
      <c r="E719" s="9"/>
      <c r="F719" s="11"/>
      <c r="G719" s="9"/>
      <c r="H719" s="10"/>
      <c r="I719" s="10"/>
      <c r="J719" s="11"/>
      <c r="K719" s="11"/>
      <c r="L719" s="11"/>
      <c r="M719" s="10"/>
      <c r="N719" s="11"/>
      <c r="O719" s="10"/>
      <c r="P719" s="11"/>
      <c r="Q719" s="11"/>
      <c r="R719" s="12"/>
    </row>
    <row r="720" spans="1:18" x14ac:dyDescent="0.25">
      <c r="A720" s="8"/>
      <c r="B720" s="9"/>
      <c r="C720" s="10"/>
      <c r="D720" s="10"/>
      <c r="E720" s="9"/>
      <c r="F720" s="11"/>
      <c r="G720" s="9"/>
      <c r="H720" s="10"/>
      <c r="I720" s="10"/>
      <c r="J720" s="11"/>
      <c r="K720" s="11"/>
      <c r="L720" s="11"/>
      <c r="M720" s="10"/>
      <c r="N720" s="11"/>
      <c r="O720" s="10"/>
      <c r="P720" s="11"/>
      <c r="Q720" s="11"/>
      <c r="R720" s="12"/>
    </row>
    <row r="721" spans="1:18" x14ac:dyDescent="0.25">
      <c r="A721" s="8"/>
      <c r="B721" s="9"/>
      <c r="C721" s="10"/>
      <c r="D721" s="10"/>
      <c r="E721" s="9"/>
      <c r="F721" s="11"/>
      <c r="G721" s="9"/>
      <c r="H721" s="10"/>
      <c r="I721" s="10"/>
      <c r="J721" s="11"/>
      <c r="K721" s="11"/>
      <c r="L721" s="11"/>
      <c r="M721" s="10"/>
      <c r="N721" s="11"/>
      <c r="O721" s="10"/>
      <c r="P721" s="11"/>
      <c r="Q721" s="11"/>
      <c r="R721" s="12"/>
    </row>
    <row r="722" spans="1:18" x14ac:dyDescent="0.25">
      <c r="A722" s="8"/>
      <c r="B722" s="9"/>
      <c r="C722" s="10"/>
      <c r="D722" s="10"/>
      <c r="E722" s="9"/>
      <c r="F722" s="11"/>
      <c r="G722" s="9"/>
      <c r="H722" s="10"/>
      <c r="I722" s="10"/>
      <c r="J722" s="11"/>
      <c r="K722" s="11"/>
      <c r="L722" s="11"/>
      <c r="M722" s="10"/>
      <c r="N722" s="11"/>
      <c r="O722" s="10"/>
      <c r="P722" s="11"/>
      <c r="Q722" s="11"/>
      <c r="R722" s="12"/>
    </row>
    <row r="723" spans="1:18" x14ac:dyDescent="0.25">
      <c r="A723" s="8"/>
      <c r="B723" s="9"/>
      <c r="C723" s="10"/>
      <c r="D723" s="10"/>
      <c r="E723" s="9"/>
      <c r="F723" s="11"/>
      <c r="G723" s="9"/>
      <c r="H723" s="10"/>
      <c r="I723" s="10"/>
      <c r="J723" s="11"/>
      <c r="K723" s="11"/>
      <c r="L723" s="11"/>
      <c r="M723" s="10"/>
      <c r="N723" s="11"/>
      <c r="O723" s="10"/>
      <c r="P723" s="11"/>
      <c r="Q723" s="11"/>
      <c r="R723" s="12"/>
    </row>
    <row r="724" spans="1:18" x14ac:dyDescent="0.25">
      <c r="A724" s="8"/>
      <c r="B724" s="9"/>
      <c r="C724" s="10"/>
      <c r="D724" s="10"/>
      <c r="E724" s="9"/>
      <c r="F724" s="11"/>
      <c r="G724" s="9"/>
      <c r="H724" s="10"/>
      <c r="I724" s="10"/>
      <c r="J724" s="11"/>
      <c r="K724" s="11"/>
      <c r="L724" s="11"/>
      <c r="M724" s="10"/>
      <c r="N724" s="11"/>
      <c r="O724" s="10"/>
      <c r="P724" s="11"/>
      <c r="Q724" s="11"/>
      <c r="R724" s="12"/>
    </row>
    <row r="725" spans="1:18" x14ac:dyDescent="0.25">
      <c r="A725" s="8"/>
      <c r="B725" s="9"/>
      <c r="C725" s="10"/>
      <c r="D725" s="10"/>
      <c r="E725" s="9"/>
      <c r="F725" s="11"/>
      <c r="G725" s="9"/>
      <c r="H725" s="10"/>
      <c r="I725" s="10"/>
      <c r="J725" s="11"/>
      <c r="K725" s="11"/>
      <c r="L725" s="11"/>
      <c r="M725" s="10"/>
      <c r="N725" s="11"/>
      <c r="O725" s="10"/>
      <c r="P725" s="11"/>
      <c r="Q725" s="11"/>
      <c r="R725" s="12"/>
    </row>
    <row r="726" spans="1:18" x14ac:dyDescent="0.25">
      <c r="A726" s="8"/>
      <c r="B726" s="9"/>
      <c r="C726" s="10"/>
      <c r="D726" s="10"/>
      <c r="E726" s="9"/>
      <c r="F726" s="11"/>
      <c r="G726" s="9"/>
      <c r="H726" s="10"/>
      <c r="I726" s="10"/>
      <c r="J726" s="11"/>
      <c r="K726" s="11"/>
      <c r="L726" s="11"/>
      <c r="M726" s="10"/>
      <c r="N726" s="11"/>
      <c r="O726" s="10"/>
      <c r="P726" s="11"/>
      <c r="Q726" s="11"/>
      <c r="R726" s="12"/>
    </row>
    <row r="727" spans="1:18" x14ac:dyDescent="0.25">
      <c r="A727" s="8"/>
      <c r="B727" s="9"/>
      <c r="C727" s="10"/>
      <c r="D727" s="10"/>
      <c r="E727" s="9"/>
      <c r="F727" s="11"/>
      <c r="G727" s="9"/>
      <c r="H727" s="10"/>
      <c r="I727" s="10"/>
      <c r="J727" s="11"/>
      <c r="K727" s="11"/>
      <c r="L727" s="11"/>
      <c r="M727" s="10"/>
      <c r="N727" s="11"/>
      <c r="O727" s="10"/>
      <c r="P727" s="11"/>
      <c r="Q727" s="11"/>
      <c r="R727" s="12"/>
    </row>
    <row r="728" spans="1:18" x14ac:dyDescent="0.25">
      <c r="A728" s="8"/>
      <c r="B728" s="9"/>
      <c r="C728" s="10"/>
      <c r="D728" s="10"/>
      <c r="E728" s="9"/>
      <c r="F728" s="11"/>
      <c r="G728" s="9"/>
      <c r="H728" s="10"/>
      <c r="I728" s="10"/>
      <c r="J728" s="11"/>
      <c r="K728" s="11"/>
      <c r="L728" s="11"/>
      <c r="M728" s="10"/>
      <c r="N728" s="11"/>
      <c r="O728" s="10"/>
      <c r="P728" s="11"/>
      <c r="Q728" s="11"/>
      <c r="R728" s="12"/>
    </row>
    <row r="729" spans="1:18" x14ac:dyDescent="0.25">
      <c r="A729" s="8"/>
      <c r="B729" s="9"/>
      <c r="C729" s="10"/>
      <c r="D729" s="10"/>
      <c r="E729" s="9"/>
      <c r="F729" s="11"/>
      <c r="G729" s="9"/>
      <c r="H729" s="10"/>
      <c r="I729" s="10"/>
      <c r="J729" s="11"/>
      <c r="K729" s="11"/>
      <c r="L729" s="11"/>
      <c r="M729" s="10"/>
      <c r="N729" s="11"/>
      <c r="O729" s="10"/>
      <c r="P729" s="11"/>
      <c r="Q729" s="11"/>
      <c r="R729" s="12"/>
    </row>
    <row r="730" spans="1:18" x14ac:dyDescent="0.25">
      <c r="A730" s="8"/>
      <c r="B730" s="9"/>
      <c r="C730" s="10"/>
      <c r="D730" s="10"/>
      <c r="E730" s="9"/>
      <c r="F730" s="11"/>
      <c r="G730" s="9"/>
      <c r="H730" s="10"/>
      <c r="I730" s="10"/>
      <c r="J730" s="11"/>
      <c r="K730" s="11"/>
      <c r="L730" s="11"/>
      <c r="M730" s="10"/>
      <c r="N730" s="11"/>
      <c r="O730" s="10"/>
      <c r="P730" s="11"/>
      <c r="Q730" s="11"/>
      <c r="R730" s="12"/>
    </row>
    <row r="731" spans="1:18" x14ac:dyDescent="0.25">
      <c r="A731" s="8"/>
      <c r="B731" s="9"/>
      <c r="C731" s="10"/>
      <c r="D731" s="10"/>
      <c r="E731" s="9"/>
      <c r="F731" s="11"/>
      <c r="G731" s="9"/>
      <c r="H731" s="10"/>
      <c r="I731" s="10"/>
      <c r="J731" s="11"/>
      <c r="K731" s="11"/>
      <c r="L731" s="11"/>
      <c r="M731" s="10"/>
      <c r="N731" s="11"/>
      <c r="O731" s="10"/>
      <c r="P731" s="11"/>
      <c r="Q731" s="11"/>
      <c r="R731" s="12"/>
    </row>
    <row r="732" spans="1:18" x14ac:dyDescent="0.25">
      <c r="A732" s="8"/>
      <c r="B732" s="9"/>
      <c r="C732" s="10"/>
      <c r="D732" s="10"/>
      <c r="E732" s="9"/>
      <c r="F732" s="11"/>
      <c r="G732" s="9"/>
      <c r="H732" s="10"/>
      <c r="I732" s="10"/>
      <c r="J732" s="11"/>
      <c r="K732" s="11"/>
      <c r="L732" s="11"/>
      <c r="M732" s="10"/>
      <c r="N732" s="11"/>
      <c r="O732" s="10"/>
      <c r="P732" s="11"/>
      <c r="Q732" s="11"/>
      <c r="R732" s="12"/>
    </row>
    <row r="733" spans="1:18" x14ac:dyDescent="0.25">
      <c r="A733" s="8"/>
      <c r="B733" s="9"/>
      <c r="C733" s="10"/>
      <c r="D733" s="10"/>
      <c r="E733" s="9"/>
      <c r="F733" s="11"/>
      <c r="G733" s="9"/>
      <c r="H733" s="10"/>
      <c r="I733" s="10"/>
      <c r="J733" s="11"/>
      <c r="K733" s="11"/>
      <c r="L733" s="11"/>
      <c r="M733" s="10"/>
      <c r="N733" s="11"/>
      <c r="O733" s="10"/>
      <c r="P733" s="11"/>
      <c r="Q733" s="11"/>
      <c r="R733" s="12"/>
    </row>
    <row r="734" spans="1:18" x14ac:dyDescent="0.25">
      <c r="A734" s="8"/>
      <c r="B734" s="9"/>
      <c r="C734" s="10"/>
      <c r="D734" s="10"/>
      <c r="E734" s="9"/>
      <c r="F734" s="11"/>
      <c r="G734" s="9"/>
      <c r="H734" s="10"/>
      <c r="I734" s="10"/>
      <c r="J734" s="11"/>
      <c r="K734" s="11"/>
      <c r="L734" s="11"/>
      <c r="M734" s="10"/>
      <c r="N734" s="11"/>
      <c r="O734" s="10"/>
      <c r="P734" s="11"/>
      <c r="Q734" s="11"/>
      <c r="R734" s="12"/>
    </row>
    <row r="735" spans="1:18" x14ac:dyDescent="0.25">
      <c r="A735" s="8"/>
      <c r="B735" s="9"/>
      <c r="C735" s="10"/>
      <c r="D735" s="10"/>
      <c r="E735" s="9"/>
      <c r="F735" s="11"/>
      <c r="G735" s="9"/>
      <c r="H735" s="10"/>
      <c r="I735" s="10"/>
      <c r="J735" s="11"/>
      <c r="K735" s="11"/>
      <c r="L735" s="11"/>
      <c r="M735" s="10"/>
      <c r="N735" s="11"/>
      <c r="O735" s="10"/>
      <c r="P735" s="11"/>
      <c r="Q735" s="11"/>
      <c r="R735" s="12"/>
    </row>
    <row r="736" spans="1:18" x14ac:dyDescent="0.25">
      <c r="A736" s="8"/>
      <c r="B736" s="9"/>
      <c r="C736" s="10"/>
      <c r="D736" s="10"/>
      <c r="E736" s="9"/>
      <c r="F736" s="11"/>
      <c r="G736" s="9"/>
      <c r="H736" s="10"/>
      <c r="I736" s="10"/>
      <c r="J736" s="11"/>
      <c r="K736" s="11"/>
      <c r="L736" s="11"/>
      <c r="M736" s="10"/>
      <c r="N736" s="11"/>
      <c r="O736" s="10"/>
      <c r="P736" s="11"/>
      <c r="Q736" s="11"/>
      <c r="R736" s="12"/>
    </row>
    <row r="737" spans="1:18" x14ac:dyDescent="0.25">
      <c r="A737" s="8"/>
      <c r="B737" s="9"/>
      <c r="C737" s="10"/>
      <c r="D737" s="10"/>
      <c r="E737" s="9"/>
      <c r="F737" s="11"/>
      <c r="G737" s="9"/>
      <c r="H737" s="10"/>
      <c r="I737" s="10"/>
      <c r="J737" s="11"/>
      <c r="K737" s="11"/>
      <c r="L737" s="11"/>
      <c r="M737" s="10"/>
      <c r="N737" s="11"/>
      <c r="O737" s="10"/>
      <c r="P737" s="11"/>
      <c r="Q737" s="11"/>
      <c r="R737" s="12"/>
    </row>
    <row r="738" spans="1:18" x14ac:dyDescent="0.25">
      <c r="A738" s="8"/>
      <c r="B738" s="9"/>
      <c r="C738" s="10"/>
      <c r="D738" s="10"/>
      <c r="E738" s="9"/>
      <c r="F738" s="11"/>
      <c r="G738" s="9"/>
      <c r="H738" s="10"/>
      <c r="I738" s="10"/>
      <c r="J738" s="11"/>
      <c r="K738" s="11"/>
      <c r="L738" s="11"/>
      <c r="M738" s="10"/>
      <c r="N738" s="11"/>
      <c r="O738" s="10"/>
      <c r="P738" s="11"/>
      <c r="Q738" s="11"/>
      <c r="R738" s="12"/>
    </row>
    <row r="739" spans="1:18" x14ac:dyDescent="0.25">
      <c r="A739" s="8"/>
      <c r="B739" s="9"/>
      <c r="C739" s="10"/>
      <c r="D739" s="10"/>
      <c r="E739" s="9"/>
      <c r="F739" s="11"/>
      <c r="G739" s="9"/>
      <c r="H739" s="10"/>
      <c r="I739" s="10"/>
      <c r="J739" s="11"/>
      <c r="K739" s="11"/>
      <c r="L739" s="11"/>
      <c r="M739" s="10"/>
      <c r="N739" s="11"/>
      <c r="O739" s="10"/>
      <c r="P739" s="11"/>
      <c r="Q739" s="11"/>
      <c r="R739" s="12"/>
    </row>
    <row r="740" spans="1:18" x14ac:dyDescent="0.25">
      <c r="A740" s="8"/>
      <c r="B740" s="9"/>
      <c r="C740" s="10"/>
      <c r="D740" s="10"/>
      <c r="E740" s="9"/>
      <c r="F740" s="11"/>
      <c r="G740" s="9"/>
      <c r="H740" s="10"/>
      <c r="I740" s="10"/>
      <c r="J740" s="11"/>
      <c r="K740" s="11"/>
      <c r="L740" s="11"/>
      <c r="M740" s="10"/>
      <c r="N740" s="11"/>
      <c r="O740" s="10"/>
      <c r="P740" s="11"/>
      <c r="Q740" s="11"/>
      <c r="R740" s="12"/>
    </row>
    <row r="741" spans="1:18" x14ac:dyDescent="0.25">
      <c r="A741" s="8"/>
      <c r="B741" s="9"/>
      <c r="C741" s="10"/>
      <c r="D741" s="10"/>
      <c r="E741" s="9"/>
      <c r="F741" s="11"/>
      <c r="G741" s="9"/>
      <c r="H741" s="10"/>
      <c r="I741" s="10"/>
      <c r="J741" s="11"/>
      <c r="K741" s="11"/>
      <c r="L741" s="11"/>
      <c r="M741" s="10"/>
      <c r="N741" s="11"/>
      <c r="O741" s="10"/>
      <c r="P741" s="11"/>
      <c r="Q741" s="11"/>
      <c r="R741" s="12"/>
    </row>
    <row r="742" spans="1:18" x14ac:dyDescent="0.25">
      <c r="A742" s="8"/>
      <c r="B742" s="9"/>
      <c r="C742" s="10"/>
      <c r="D742" s="10"/>
      <c r="E742" s="9"/>
      <c r="F742" s="11"/>
      <c r="G742" s="9"/>
      <c r="H742" s="10"/>
      <c r="I742" s="10"/>
      <c r="J742" s="11"/>
      <c r="K742" s="11"/>
      <c r="L742" s="11"/>
      <c r="M742" s="10"/>
      <c r="N742" s="11"/>
      <c r="O742" s="10"/>
      <c r="P742" s="11"/>
      <c r="Q742" s="11"/>
      <c r="R742" s="12"/>
    </row>
    <row r="743" spans="1:18" x14ac:dyDescent="0.25">
      <c r="A743" s="8"/>
      <c r="B743" s="9"/>
      <c r="C743" s="10"/>
      <c r="D743" s="10"/>
      <c r="E743" s="9"/>
      <c r="F743" s="11"/>
      <c r="G743" s="9"/>
      <c r="H743" s="10"/>
      <c r="I743" s="10"/>
      <c r="J743" s="11"/>
      <c r="K743" s="11"/>
      <c r="L743" s="11"/>
      <c r="M743" s="10"/>
      <c r="N743" s="11"/>
      <c r="O743" s="10"/>
      <c r="P743" s="11"/>
      <c r="Q743" s="11"/>
      <c r="R743" s="12"/>
    </row>
    <row r="744" spans="1:18" x14ac:dyDescent="0.25">
      <c r="A744" s="8"/>
      <c r="B744" s="9"/>
      <c r="C744" s="10"/>
      <c r="D744" s="10"/>
      <c r="E744" s="9"/>
      <c r="F744" s="11"/>
      <c r="G744" s="9"/>
      <c r="H744" s="10"/>
      <c r="I744" s="10"/>
      <c r="J744" s="11"/>
      <c r="K744" s="11"/>
      <c r="L744" s="11"/>
      <c r="M744" s="10"/>
      <c r="N744" s="11"/>
      <c r="O744" s="10"/>
      <c r="P744" s="11"/>
      <c r="Q744" s="11"/>
      <c r="R744" s="12"/>
    </row>
    <row r="745" spans="1:18" x14ac:dyDescent="0.25">
      <c r="A745" s="8"/>
      <c r="B745" s="9"/>
      <c r="C745" s="10"/>
      <c r="D745" s="10"/>
      <c r="E745" s="9"/>
      <c r="F745" s="11"/>
      <c r="G745" s="9"/>
      <c r="H745" s="10"/>
      <c r="I745" s="10"/>
      <c r="J745" s="11"/>
      <c r="K745" s="11"/>
      <c r="L745" s="11"/>
      <c r="M745" s="10"/>
      <c r="N745" s="11"/>
      <c r="O745" s="10"/>
      <c r="P745" s="11"/>
      <c r="Q745" s="11"/>
      <c r="R745" s="12"/>
    </row>
    <row r="746" spans="1:18" x14ac:dyDescent="0.25">
      <c r="A746" s="8"/>
      <c r="B746" s="9"/>
      <c r="C746" s="10"/>
      <c r="D746" s="10"/>
      <c r="E746" s="9"/>
      <c r="F746" s="11"/>
      <c r="G746" s="9"/>
      <c r="H746" s="10"/>
      <c r="I746" s="10"/>
      <c r="J746" s="11"/>
      <c r="K746" s="11"/>
      <c r="L746" s="11"/>
      <c r="M746" s="10"/>
      <c r="N746" s="11"/>
      <c r="O746" s="10"/>
      <c r="P746" s="11"/>
      <c r="Q746" s="11"/>
      <c r="R746" s="12"/>
    </row>
    <row r="747" spans="1:18" x14ac:dyDescent="0.25">
      <c r="A747" s="8"/>
      <c r="B747" s="9"/>
      <c r="C747" s="10"/>
      <c r="D747" s="10"/>
      <c r="E747" s="9"/>
      <c r="F747" s="11"/>
      <c r="G747" s="9"/>
      <c r="H747" s="10"/>
      <c r="I747" s="10"/>
      <c r="J747" s="11"/>
      <c r="K747" s="11"/>
      <c r="L747" s="11"/>
      <c r="M747" s="10"/>
      <c r="N747" s="11"/>
      <c r="O747" s="10"/>
      <c r="P747" s="11"/>
      <c r="Q747" s="11"/>
      <c r="R747" s="12"/>
    </row>
    <row r="748" spans="1:18" x14ac:dyDescent="0.25">
      <c r="A748" s="8"/>
      <c r="B748" s="9"/>
      <c r="C748" s="10"/>
      <c r="D748" s="10"/>
      <c r="E748" s="9"/>
      <c r="F748" s="11"/>
      <c r="G748" s="9"/>
      <c r="H748" s="10"/>
      <c r="I748" s="10"/>
      <c r="J748" s="11"/>
      <c r="K748" s="11"/>
      <c r="L748" s="11"/>
      <c r="M748" s="10"/>
      <c r="N748" s="11"/>
      <c r="O748" s="10"/>
      <c r="P748" s="11"/>
      <c r="Q748" s="11"/>
      <c r="R748" s="12"/>
    </row>
    <row r="749" spans="1:18" x14ac:dyDescent="0.25">
      <c r="A749" s="8"/>
      <c r="B749" s="9"/>
      <c r="C749" s="10"/>
      <c r="D749" s="10"/>
      <c r="E749" s="9"/>
      <c r="F749" s="11"/>
      <c r="G749" s="9"/>
      <c r="H749" s="10"/>
      <c r="I749" s="10"/>
      <c r="J749" s="11"/>
      <c r="K749" s="11"/>
      <c r="L749" s="11"/>
      <c r="M749" s="10"/>
      <c r="N749" s="11"/>
      <c r="O749" s="10"/>
      <c r="P749" s="11"/>
      <c r="Q749" s="11"/>
      <c r="R749" s="12"/>
    </row>
    <row r="750" spans="1:18" x14ac:dyDescent="0.25">
      <c r="A750" s="8"/>
      <c r="B750" s="9"/>
      <c r="C750" s="10"/>
      <c r="D750" s="10"/>
      <c r="E750" s="9"/>
      <c r="F750" s="11"/>
      <c r="G750" s="9"/>
      <c r="H750" s="10"/>
      <c r="I750" s="10"/>
      <c r="J750" s="11"/>
      <c r="K750" s="11"/>
      <c r="L750" s="11"/>
      <c r="M750" s="10"/>
      <c r="N750" s="11"/>
      <c r="O750" s="10"/>
      <c r="P750" s="11"/>
      <c r="Q750" s="11"/>
      <c r="R750" s="12"/>
    </row>
    <row r="751" spans="1:18" x14ac:dyDescent="0.25">
      <c r="A751" s="8"/>
      <c r="B751" s="9"/>
      <c r="C751" s="10"/>
      <c r="D751" s="10"/>
      <c r="E751" s="9"/>
      <c r="F751" s="11"/>
      <c r="G751" s="9"/>
      <c r="H751" s="10"/>
      <c r="I751" s="10"/>
      <c r="J751" s="11"/>
      <c r="K751" s="11"/>
      <c r="L751" s="11"/>
      <c r="M751" s="10"/>
      <c r="N751" s="11"/>
      <c r="O751" s="10"/>
      <c r="P751" s="11"/>
      <c r="Q751" s="11"/>
      <c r="R751" s="12"/>
    </row>
    <row r="752" spans="1:18" x14ac:dyDescent="0.25">
      <c r="A752" s="8"/>
      <c r="B752" s="9"/>
      <c r="C752" s="10"/>
      <c r="D752" s="10"/>
      <c r="E752" s="9"/>
      <c r="F752" s="11"/>
      <c r="G752" s="9"/>
      <c r="H752" s="10"/>
      <c r="I752" s="10"/>
      <c r="J752" s="11"/>
      <c r="K752" s="11"/>
      <c r="L752" s="11"/>
      <c r="M752" s="10"/>
      <c r="N752" s="11"/>
      <c r="O752" s="10"/>
      <c r="P752" s="11"/>
      <c r="Q752" s="11"/>
      <c r="R752" s="12"/>
    </row>
    <row r="753" spans="1:18" x14ac:dyDescent="0.25">
      <c r="A753" s="8"/>
      <c r="B753" s="9"/>
      <c r="C753" s="10"/>
      <c r="D753" s="10"/>
      <c r="E753" s="9"/>
      <c r="F753" s="11"/>
      <c r="G753" s="9"/>
      <c r="H753" s="10"/>
      <c r="I753" s="10"/>
      <c r="J753" s="11"/>
      <c r="K753" s="11"/>
      <c r="L753" s="11"/>
      <c r="M753" s="10"/>
      <c r="N753" s="11"/>
      <c r="O753" s="10"/>
      <c r="P753" s="11"/>
      <c r="Q753" s="11"/>
      <c r="R753" s="12"/>
    </row>
    <row r="754" spans="1:18" x14ac:dyDescent="0.25">
      <c r="A754" s="8"/>
      <c r="B754" s="9"/>
      <c r="C754" s="10"/>
      <c r="D754" s="10"/>
      <c r="E754" s="9"/>
      <c r="F754" s="11"/>
      <c r="G754" s="9"/>
      <c r="H754" s="10"/>
      <c r="I754" s="10"/>
      <c r="J754" s="11"/>
      <c r="K754" s="11"/>
      <c r="L754" s="11"/>
      <c r="M754" s="10"/>
      <c r="N754" s="11"/>
      <c r="O754" s="10"/>
      <c r="P754" s="11"/>
      <c r="Q754" s="11"/>
      <c r="R754" s="12"/>
    </row>
    <row r="755" spans="1:18" x14ac:dyDescent="0.25">
      <c r="A755" s="8"/>
      <c r="B755" s="9"/>
      <c r="C755" s="10"/>
      <c r="D755" s="10"/>
      <c r="E755" s="9"/>
      <c r="F755" s="11"/>
      <c r="G755" s="9"/>
      <c r="H755" s="10"/>
      <c r="I755" s="10"/>
      <c r="J755" s="11"/>
      <c r="K755" s="11"/>
      <c r="L755" s="11"/>
      <c r="M755" s="10"/>
      <c r="N755" s="11"/>
      <c r="O755" s="10"/>
      <c r="P755" s="11"/>
      <c r="Q755" s="11"/>
      <c r="R755" s="12"/>
    </row>
    <row r="756" spans="1:18" x14ac:dyDescent="0.25">
      <c r="A756" s="8"/>
      <c r="B756" s="9"/>
      <c r="C756" s="10"/>
      <c r="D756" s="10"/>
      <c r="E756" s="9"/>
      <c r="F756" s="11"/>
      <c r="G756" s="9"/>
      <c r="H756" s="10"/>
      <c r="I756" s="10"/>
      <c r="J756" s="11"/>
      <c r="K756" s="11"/>
      <c r="L756" s="11"/>
      <c r="M756" s="10"/>
      <c r="N756" s="11"/>
      <c r="O756" s="10"/>
      <c r="P756" s="11"/>
      <c r="Q756" s="11"/>
      <c r="R756" s="12"/>
    </row>
    <row r="757" spans="1:18" x14ac:dyDescent="0.25">
      <c r="A757" s="8"/>
      <c r="B757" s="9"/>
      <c r="C757" s="10"/>
      <c r="D757" s="10"/>
      <c r="E757" s="9"/>
      <c r="F757" s="11"/>
      <c r="G757" s="9"/>
      <c r="H757" s="10"/>
      <c r="I757" s="10"/>
      <c r="J757" s="11"/>
      <c r="K757" s="11"/>
      <c r="L757" s="11"/>
      <c r="M757" s="10"/>
      <c r="N757" s="11"/>
      <c r="O757" s="10"/>
      <c r="P757" s="11"/>
      <c r="Q757" s="11"/>
      <c r="R757" s="12"/>
    </row>
    <row r="758" spans="1:18" x14ac:dyDescent="0.25">
      <c r="A758" s="8"/>
      <c r="B758" s="9"/>
      <c r="C758" s="10"/>
      <c r="D758" s="10"/>
      <c r="E758" s="9"/>
      <c r="F758" s="11"/>
      <c r="G758" s="9"/>
      <c r="H758" s="10"/>
      <c r="I758" s="10"/>
      <c r="J758" s="11"/>
      <c r="K758" s="11"/>
      <c r="L758" s="11"/>
      <c r="M758" s="10"/>
      <c r="N758" s="11"/>
      <c r="O758" s="10"/>
      <c r="P758" s="11"/>
      <c r="Q758" s="11"/>
      <c r="R758" s="12"/>
    </row>
    <row r="759" spans="1:18" x14ac:dyDescent="0.25">
      <c r="A759" s="8"/>
      <c r="B759" s="9"/>
      <c r="C759" s="10"/>
      <c r="D759" s="10"/>
      <c r="E759" s="9"/>
      <c r="F759" s="11"/>
      <c r="G759" s="9"/>
      <c r="H759" s="10"/>
      <c r="I759" s="10"/>
      <c r="J759" s="11"/>
      <c r="K759" s="11"/>
      <c r="L759" s="11"/>
      <c r="M759" s="10"/>
      <c r="N759" s="11"/>
      <c r="O759" s="10"/>
      <c r="P759" s="11"/>
      <c r="Q759" s="11"/>
      <c r="R759" s="12"/>
    </row>
    <row r="760" spans="1:18" x14ac:dyDescent="0.25">
      <c r="A760" s="8"/>
      <c r="B760" s="9"/>
      <c r="C760" s="10"/>
      <c r="D760" s="10"/>
      <c r="E760" s="9"/>
      <c r="F760" s="11"/>
      <c r="G760" s="9"/>
      <c r="H760" s="10"/>
      <c r="I760" s="10"/>
      <c r="J760" s="11"/>
      <c r="K760" s="11"/>
      <c r="L760" s="11"/>
      <c r="M760" s="10"/>
      <c r="N760" s="11"/>
      <c r="O760" s="10"/>
      <c r="P760" s="11"/>
      <c r="Q760" s="11"/>
      <c r="R760" s="12"/>
    </row>
    <row r="761" spans="1:18" x14ac:dyDescent="0.25">
      <c r="A761" s="8"/>
      <c r="B761" s="9"/>
      <c r="C761" s="10"/>
      <c r="D761" s="10"/>
      <c r="E761" s="9"/>
      <c r="F761" s="11"/>
      <c r="G761" s="9"/>
      <c r="H761" s="10"/>
      <c r="I761" s="10"/>
      <c r="J761" s="11"/>
      <c r="K761" s="11"/>
      <c r="L761" s="11"/>
      <c r="M761" s="10"/>
      <c r="N761" s="11"/>
      <c r="O761" s="10"/>
      <c r="P761" s="11"/>
      <c r="Q761" s="11"/>
      <c r="R761" s="12"/>
    </row>
    <row r="762" spans="1:18" x14ac:dyDescent="0.25">
      <c r="A762" s="8"/>
      <c r="B762" s="9"/>
      <c r="C762" s="10"/>
      <c r="D762" s="10"/>
      <c r="E762" s="9"/>
      <c r="F762" s="11"/>
      <c r="G762" s="9"/>
      <c r="H762" s="10"/>
      <c r="I762" s="10"/>
      <c r="J762" s="11"/>
      <c r="K762" s="11"/>
      <c r="L762" s="11"/>
      <c r="M762" s="10"/>
      <c r="N762" s="11"/>
      <c r="O762" s="10"/>
      <c r="P762" s="11"/>
      <c r="Q762" s="11"/>
      <c r="R762" s="12"/>
    </row>
    <row r="763" spans="1:18" x14ac:dyDescent="0.25">
      <c r="A763" s="8"/>
      <c r="B763" s="9"/>
      <c r="C763" s="10"/>
      <c r="D763" s="10"/>
      <c r="E763" s="9"/>
      <c r="F763" s="11"/>
      <c r="G763" s="9"/>
      <c r="H763" s="10"/>
      <c r="I763" s="10"/>
      <c r="J763" s="11"/>
      <c r="K763" s="11"/>
      <c r="L763" s="11"/>
      <c r="M763" s="10"/>
      <c r="N763" s="11"/>
      <c r="O763" s="10"/>
      <c r="P763" s="11"/>
      <c r="Q763" s="11"/>
      <c r="R763" s="12"/>
    </row>
    <row r="764" spans="1:18" x14ac:dyDescent="0.25">
      <c r="A764" s="8"/>
      <c r="B764" s="9"/>
      <c r="C764" s="10"/>
      <c r="D764" s="10"/>
      <c r="E764" s="9"/>
      <c r="F764" s="11"/>
      <c r="G764" s="9"/>
      <c r="H764" s="10"/>
      <c r="I764" s="10"/>
      <c r="J764" s="11"/>
      <c r="K764" s="11"/>
      <c r="L764" s="11"/>
      <c r="M764" s="10"/>
      <c r="N764" s="11"/>
      <c r="O764" s="10"/>
      <c r="P764" s="11"/>
      <c r="Q764" s="11"/>
      <c r="R764" s="12"/>
    </row>
    <row r="765" spans="1:18" x14ac:dyDescent="0.25">
      <c r="A765" s="8"/>
      <c r="B765" s="9"/>
      <c r="C765" s="10"/>
      <c r="D765" s="10"/>
      <c r="E765" s="9"/>
      <c r="F765" s="11"/>
      <c r="G765" s="9"/>
      <c r="H765" s="10"/>
      <c r="I765" s="10"/>
      <c r="J765" s="11"/>
      <c r="K765" s="11"/>
      <c r="L765" s="11"/>
      <c r="M765" s="10"/>
      <c r="N765" s="11"/>
      <c r="O765" s="10"/>
      <c r="P765" s="11"/>
      <c r="Q765" s="11"/>
      <c r="R765" s="12"/>
    </row>
    <row r="766" spans="1:18" x14ac:dyDescent="0.25">
      <c r="A766" s="8"/>
      <c r="B766" s="9"/>
      <c r="C766" s="10"/>
      <c r="D766" s="10"/>
      <c r="E766" s="9"/>
      <c r="F766" s="11"/>
      <c r="G766" s="9"/>
      <c r="H766" s="10"/>
      <c r="I766" s="10"/>
      <c r="J766" s="11"/>
      <c r="K766" s="11"/>
      <c r="L766" s="11"/>
      <c r="M766" s="10"/>
      <c r="N766" s="11"/>
      <c r="O766" s="10"/>
      <c r="P766" s="11"/>
      <c r="Q766" s="11"/>
      <c r="R766" s="12"/>
    </row>
    <row r="767" spans="1:18" x14ac:dyDescent="0.25">
      <c r="A767" s="8"/>
      <c r="B767" s="9"/>
      <c r="C767" s="10"/>
      <c r="D767" s="10"/>
      <c r="E767" s="9"/>
      <c r="F767" s="11"/>
      <c r="G767" s="9"/>
      <c r="H767" s="10"/>
      <c r="I767" s="10"/>
      <c r="J767" s="11"/>
      <c r="K767" s="11"/>
      <c r="L767" s="11"/>
      <c r="M767" s="10"/>
      <c r="N767" s="11"/>
      <c r="O767" s="10"/>
      <c r="P767" s="11"/>
      <c r="Q767" s="11"/>
      <c r="R767" s="12"/>
    </row>
    <row r="768" spans="1:18" x14ac:dyDescent="0.25">
      <c r="A768" s="8"/>
      <c r="B768" s="9"/>
      <c r="C768" s="10"/>
      <c r="D768" s="10"/>
      <c r="E768" s="9"/>
      <c r="F768" s="11"/>
      <c r="G768" s="9"/>
      <c r="H768" s="10"/>
      <c r="I768" s="10"/>
      <c r="J768" s="11"/>
      <c r="K768" s="11"/>
      <c r="L768" s="11"/>
      <c r="M768" s="10"/>
      <c r="N768" s="11"/>
      <c r="O768" s="10"/>
      <c r="P768" s="11"/>
      <c r="Q768" s="11"/>
      <c r="R768" s="12"/>
    </row>
    <row r="769" spans="1:18" x14ac:dyDescent="0.25">
      <c r="A769" s="8"/>
      <c r="B769" s="9"/>
      <c r="C769" s="10"/>
      <c r="D769" s="10"/>
      <c r="E769" s="9"/>
      <c r="F769" s="11"/>
      <c r="G769" s="9"/>
      <c r="H769" s="10"/>
      <c r="I769" s="10"/>
      <c r="J769" s="11"/>
      <c r="K769" s="11"/>
      <c r="L769" s="11"/>
      <c r="M769" s="10"/>
      <c r="N769" s="11"/>
      <c r="O769" s="10"/>
      <c r="P769" s="11"/>
      <c r="Q769" s="11"/>
      <c r="R769" s="12"/>
    </row>
    <row r="770" spans="1:18" x14ac:dyDescent="0.25">
      <c r="A770" s="8"/>
      <c r="B770" s="9"/>
      <c r="C770" s="10"/>
      <c r="D770" s="10"/>
      <c r="E770" s="9"/>
      <c r="F770" s="11"/>
      <c r="G770" s="9"/>
      <c r="H770" s="10"/>
      <c r="I770" s="10"/>
      <c r="J770" s="11"/>
      <c r="K770" s="11"/>
      <c r="L770" s="11"/>
      <c r="M770" s="10"/>
      <c r="N770" s="11"/>
      <c r="O770" s="10"/>
      <c r="P770" s="11"/>
      <c r="Q770" s="11"/>
      <c r="R770" s="12"/>
    </row>
    <row r="771" spans="1:18" x14ac:dyDescent="0.25">
      <c r="A771" s="8"/>
      <c r="B771" s="9"/>
      <c r="C771" s="10"/>
      <c r="D771" s="10"/>
      <c r="E771" s="9"/>
      <c r="F771" s="11"/>
      <c r="G771" s="9"/>
      <c r="H771" s="10"/>
      <c r="I771" s="10"/>
      <c r="J771" s="11"/>
      <c r="K771" s="11"/>
      <c r="L771" s="11"/>
      <c r="M771" s="10"/>
      <c r="N771" s="11"/>
      <c r="O771" s="10"/>
      <c r="P771" s="11"/>
      <c r="Q771" s="11"/>
      <c r="R771" s="12"/>
    </row>
    <row r="772" spans="1:18" x14ac:dyDescent="0.25">
      <c r="A772" s="8"/>
      <c r="B772" s="9"/>
      <c r="C772" s="10"/>
      <c r="D772" s="10"/>
      <c r="E772" s="9"/>
      <c r="F772" s="11"/>
      <c r="G772" s="9"/>
      <c r="H772" s="10"/>
      <c r="I772" s="10"/>
      <c r="J772" s="11"/>
      <c r="K772" s="11"/>
      <c r="L772" s="11"/>
      <c r="M772" s="10"/>
      <c r="N772" s="11"/>
      <c r="O772" s="10"/>
      <c r="P772" s="11"/>
      <c r="Q772" s="11"/>
      <c r="R772" s="12"/>
    </row>
    <row r="773" spans="1:18" x14ac:dyDescent="0.25">
      <c r="A773" s="8"/>
      <c r="B773" s="9"/>
      <c r="C773" s="10"/>
      <c r="D773" s="10"/>
      <c r="E773" s="9"/>
      <c r="F773" s="11"/>
      <c r="G773" s="9"/>
      <c r="H773" s="10"/>
      <c r="I773" s="10"/>
      <c r="J773" s="11"/>
      <c r="K773" s="11"/>
      <c r="L773" s="11"/>
      <c r="M773" s="10"/>
      <c r="N773" s="11"/>
      <c r="O773" s="10"/>
      <c r="P773" s="11"/>
      <c r="Q773" s="11"/>
      <c r="R773" s="12"/>
    </row>
    <row r="774" spans="1:18" x14ac:dyDescent="0.25">
      <c r="A774" s="8"/>
      <c r="B774" s="9"/>
      <c r="C774" s="10"/>
      <c r="D774" s="10"/>
      <c r="E774" s="9"/>
      <c r="F774" s="11"/>
      <c r="G774" s="9"/>
      <c r="H774" s="10"/>
      <c r="I774" s="10"/>
      <c r="J774" s="11"/>
      <c r="K774" s="11"/>
      <c r="L774" s="11"/>
      <c r="M774" s="10"/>
      <c r="N774" s="11"/>
      <c r="O774" s="10"/>
      <c r="P774" s="11"/>
      <c r="Q774" s="11"/>
      <c r="R774" s="12"/>
    </row>
    <row r="775" spans="1:18" x14ac:dyDescent="0.25">
      <c r="A775" s="8"/>
      <c r="B775" s="9"/>
      <c r="C775" s="10"/>
      <c r="D775" s="10"/>
      <c r="E775" s="9"/>
      <c r="F775" s="11"/>
      <c r="G775" s="9"/>
      <c r="H775" s="10"/>
      <c r="I775" s="10"/>
      <c r="J775" s="11"/>
      <c r="K775" s="11"/>
      <c r="L775" s="11"/>
      <c r="M775" s="10"/>
      <c r="N775" s="11"/>
      <c r="O775" s="10"/>
      <c r="P775" s="11"/>
      <c r="Q775" s="11"/>
      <c r="R775" s="12"/>
    </row>
    <row r="776" spans="1:18" x14ac:dyDescent="0.25">
      <c r="A776" s="8"/>
      <c r="B776" s="9"/>
      <c r="C776" s="10"/>
      <c r="D776" s="10"/>
      <c r="E776" s="9"/>
      <c r="F776" s="11"/>
      <c r="G776" s="9"/>
      <c r="H776" s="10"/>
      <c r="I776" s="10"/>
      <c r="J776" s="11"/>
      <c r="K776" s="11"/>
      <c r="L776" s="11"/>
      <c r="M776" s="10"/>
      <c r="N776" s="11"/>
      <c r="O776" s="10"/>
      <c r="P776" s="11"/>
      <c r="Q776" s="11"/>
      <c r="R776" s="12"/>
    </row>
    <row r="777" spans="1:18" x14ac:dyDescent="0.25">
      <c r="A777" s="8"/>
      <c r="B777" s="9"/>
      <c r="C777" s="10"/>
      <c r="D777" s="10"/>
      <c r="E777" s="9"/>
      <c r="F777" s="11"/>
      <c r="G777" s="9"/>
      <c r="H777" s="10"/>
      <c r="I777" s="10"/>
      <c r="J777" s="11"/>
      <c r="K777" s="11"/>
      <c r="L777" s="11"/>
      <c r="M777" s="10"/>
      <c r="N777" s="11"/>
      <c r="O777" s="10"/>
      <c r="P777" s="11"/>
      <c r="Q777" s="11"/>
      <c r="R777" s="12"/>
    </row>
    <row r="778" spans="1:18" x14ac:dyDescent="0.25">
      <c r="A778" s="8"/>
      <c r="B778" s="9"/>
      <c r="C778" s="10"/>
      <c r="D778" s="10"/>
      <c r="E778" s="9"/>
      <c r="F778" s="11"/>
      <c r="G778" s="9"/>
      <c r="H778" s="10"/>
      <c r="I778" s="10"/>
      <c r="J778" s="11"/>
      <c r="K778" s="11"/>
      <c r="L778" s="11"/>
      <c r="M778" s="10"/>
      <c r="N778" s="11"/>
      <c r="O778" s="10"/>
      <c r="P778" s="11"/>
      <c r="Q778" s="11"/>
      <c r="R778" s="12"/>
    </row>
    <row r="779" spans="1:18" x14ac:dyDescent="0.25">
      <c r="A779" s="8"/>
      <c r="B779" s="9"/>
      <c r="C779" s="10"/>
      <c r="D779" s="10"/>
      <c r="E779" s="9"/>
      <c r="F779" s="11"/>
      <c r="G779" s="9"/>
      <c r="H779" s="10"/>
      <c r="I779" s="10"/>
      <c r="J779" s="11"/>
      <c r="K779" s="11"/>
      <c r="L779" s="11"/>
      <c r="M779" s="10"/>
      <c r="N779" s="11"/>
      <c r="O779" s="10"/>
      <c r="P779" s="11"/>
      <c r="Q779" s="11"/>
      <c r="R779" s="12"/>
    </row>
    <row r="780" spans="1:18" x14ac:dyDescent="0.25">
      <c r="A780" s="8"/>
      <c r="B780" s="9"/>
      <c r="C780" s="10"/>
      <c r="D780" s="10"/>
      <c r="E780" s="9"/>
      <c r="F780" s="11"/>
      <c r="G780" s="9"/>
      <c r="H780" s="10"/>
      <c r="I780" s="10"/>
      <c r="J780" s="11"/>
      <c r="K780" s="11"/>
      <c r="L780" s="11"/>
      <c r="M780" s="10"/>
      <c r="N780" s="11"/>
      <c r="O780" s="10"/>
      <c r="P780" s="11"/>
      <c r="Q780" s="11"/>
      <c r="R780" s="12"/>
    </row>
    <row r="781" spans="1:18" x14ac:dyDescent="0.25">
      <c r="A781" s="8"/>
      <c r="B781" s="9"/>
      <c r="C781" s="10"/>
      <c r="D781" s="10"/>
      <c r="E781" s="9"/>
      <c r="F781" s="11"/>
      <c r="G781" s="9"/>
      <c r="H781" s="10"/>
      <c r="I781" s="10"/>
      <c r="J781" s="11"/>
      <c r="K781" s="11"/>
      <c r="L781" s="11"/>
      <c r="M781" s="10"/>
      <c r="N781" s="11"/>
      <c r="O781" s="10"/>
      <c r="P781" s="11"/>
      <c r="Q781" s="11"/>
      <c r="R781" s="12"/>
    </row>
    <row r="782" spans="1:18" x14ac:dyDescent="0.25">
      <c r="A782" s="8"/>
      <c r="B782" s="9"/>
      <c r="C782" s="10"/>
      <c r="D782" s="10"/>
      <c r="E782" s="9"/>
      <c r="F782" s="11"/>
      <c r="G782" s="9"/>
      <c r="H782" s="10"/>
      <c r="I782" s="10"/>
      <c r="J782" s="11"/>
      <c r="K782" s="11"/>
      <c r="L782" s="11"/>
      <c r="M782" s="10"/>
      <c r="N782" s="11"/>
      <c r="O782" s="10"/>
      <c r="P782" s="11"/>
      <c r="Q782" s="11"/>
      <c r="R782" s="12"/>
    </row>
    <row r="783" spans="1:18" x14ac:dyDescent="0.25">
      <c r="A783" s="8"/>
      <c r="B783" s="9"/>
      <c r="C783" s="10"/>
      <c r="D783" s="10"/>
      <c r="E783" s="9"/>
      <c r="F783" s="11"/>
      <c r="G783" s="9"/>
      <c r="H783" s="10"/>
      <c r="I783" s="10"/>
      <c r="J783" s="11"/>
      <c r="K783" s="11"/>
      <c r="L783" s="11"/>
      <c r="M783" s="10"/>
      <c r="N783" s="11"/>
      <c r="O783" s="10"/>
      <c r="P783" s="11"/>
      <c r="Q783" s="11"/>
      <c r="R783" s="12"/>
    </row>
    <row r="784" spans="1:18" x14ac:dyDescent="0.25">
      <c r="A784" s="8"/>
      <c r="B784" s="9"/>
      <c r="C784" s="10"/>
      <c r="D784" s="10"/>
      <c r="E784" s="9"/>
      <c r="F784" s="11"/>
      <c r="G784" s="9"/>
      <c r="H784" s="10"/>
      <c r="I784" s="10"/>
      <c r="J784" s="11"/>
      <c r="K784" s="11"/>
      <c r="L784" s="11"/>
      <c r="M784" s="10"/>
      <c r="N784" s="11"/>
      <c r="O784" s="10"/>
      <c r="P784" s="11"/>
      <c r="Q784" s="11"/>
      <c r="R784" s="12"/>
    </row>
    <row r="785" spans="1:18" x14ac:dyDescent="0.25">
      <c r="A785" s="8"/>
      <c r="B785" s="9"/>
      <c r="C785" s="10"/>
      <c r="D785" s="10"/>
      <c r="E785" s="9"/>
      <c r="F785" s="11"/>
      <c r="G785" s="9"/>
      <c r="H785" s="10"/>
      <c r="I785" s="10"/>
      <c r="J785" s="11"/>
      <c r="K785" s="11"/>
      <c r="L785" s="11"/>
      <c r="M785" s="10"/>
      <c r="N785" s="11"/>
      <c r="O785" s="10"/>
      <c r="P785" s="11"/>
      <c r="Q785" s="11"/>
      <c r="R785" s="12"/>
    </row>
    <row r="786" spans="1:18" x14ac:dyDescent="0.25">
      <c r="A786" s="8"/>
      <c r="B786" s="9"/>
      <c r="C786" s="10"/>
      <c r="D786" s="10"/>
      <c r="E786" s="9"/>
      <c r="F786" s="11"/>
      <c r="G786" s="9"/>
      <c r="H786" s="10"/>
      <c r="I786" s="10"/>
      <c r="J786" s="11"/>
      <c r="K786" s="11"/>
      <c r="L786" s="11"/>
      <c r="M786" s="10"/>
      <c r="N786" s="11"/>
      <c r="O786" s="10"/>
      <c r="P786" s="11"/>
      <c r="Q786" s="11"/>
      <c r="R786" s="12"/>
    </row>
    <row r="787" spans="1:18" x14ac:dyDescent="0.25">
      <c r="A787" s="8"/>
      <c r="B787" s="9"/>
      <c r="C787" s="10"/>
      <c r="D787" s="10"/>
      <c r="E787" s="9"/>
      <c r="F787" s="11"/>
      <c r="G787" s="9"/>
      <c r="H787" s="10"/>
      <c r="I787" s="10"/>
      <c r="J787" s="11"/>
      <c r="K787" s="11"/>
      <c r="L787" s="11"/>
      <c r="M787" s="10"/>
      <c r="N787" s="11"/>
      <c r="O787" s="10"/>
      <c r="P787" s="11"/>
      <c r="Q787" s="11"/>
      <c r="R787" s="12"/>
    </row>
    <row r="788" spans="1:18" x14ac:dyDescent="0.25">
      <c r="A788" s="8"/>
      <c r="B788" s="9"/>
      <c r="C788" s="10"/>
      <c r="D788" s="10"/>
      <c r="E788" s="9"/>
      <c r="F788" s="11"/>
      <c r="G788" s="9"/>
      <c r="H788" s="10"/>
      <c r="I788" s="10"/>
      <c r="J788" s="11"/>
      <c r="K788" s="11"/>
      <c r="L788" s="11"/>
      <c r="M788" s="10"/>
      <c r="N788" s="11"/>
      <c r="O788" s="10"/>
      <c r="P788" s="11"/>
      <c r="Q788" s="11"/>
      <c r="R788" s="12"/>
    </row>
    <row r="789" spans="1:18" x14ac:dyDescent="0.25">
      <c r="A789" s="8"/>
      <c r="B789" s="9"/>
      <c r="C789" s="10"/>
      <c r="D789" s="10"/>
      <c r="E789" s="9"/>
      <c r="F789" s="11"/>
      <c r="G789" s="9"/>
      <c r="H789" s="10"/>
      <c r="I789" s="10"/>
      <c r="J789" s="11"/>
      <c r="K789" s="11"/>
      <c r="L789" s="11"/>
      <c r="M789" s="10"/>
      <c r="N789" s="11"/>
      <c r="O789" s="10"/>
      <c r="P789" s="11"/>
      <c r="Q789" s="11"/>
      <c r="R789" s="12"/>
    </row>
    <row r="790" spans="1:18" x14ac:dyDescent="0.25">
      <c r="A790" s="8"/>
      <c r="B790" s="9"/>
      <c r="C790" s="10"/>
      <c r="D790" s="10"/>
      <c r="E790" s="9"/>
      <c r="F790" s="11"/>
      <c r="G790" s="9"/>
      <c r="H790" s="10"/>
      <c r="I790" s="10"/>
      <c r="J790" s="11"/>
      <c r="K790" s="11"/>
      <c r="L790" s="11"/>
      <c r="M790" s="10"/>
      <c r="N790" s="11"/>
      <c r="O790" s="10"/>
      <c r="P790" s="11"/>
      <c r="Q790" s="11"/>
      <c r="R790" s="12"/>
    </row>
    <row r="791" spans="1:18" x14ac:dyDescent="0.25">
      <c r="A791" s="8"/>
      <c r="B791" s="9"/>
      <c r="C791" s="10"/>
      <c r="D791" s="10"/>
      <c r="E791" s="9"/>
      <c r="F791" s="11"/>
      <c r="G791" s="9"/>
      <c r="H791" s="10"/>
      <c r="I791" s="10"/>
      <c r="J791" s="11"/>
      <c r="K791" s="11"/>
      <c r="L791" s="11"/>
      <c r="M791" s="10"/>
      <c r="N791" s="11"/>
      <c r="O791" s="10"/>
      <c r="P791" s="11"/>
      <c r="Q791" s="11"/>
      <c r="R791" s="12"/>
    </row>
    <row r="792" spans="1:18" x14ac:dyDescent="0.25">
      <c r="A792" s="8"/>
      <c r="B792" s="9"/>
      <c r="C792" s="10"/>
      <c r="D792" s="10"/>
      <c r="E792" s="9"/>
      <c r="F792" s="11"/>
      <c r="G792" s="9"/>
      <c r="H792" s="10"/>
      <c r="I792" s="10"/>
      <c r="J792" s="11"/>
      <c r="K792" s="11"/>
      <c r="L792" s="11"/>
      <c r="M792" s="10"/>
      <c r="N792" s="11"/>
      <c r="O792" s="10"/>
      <c r="P792" s="11"/>
      <c r="Q792" s="11"/>
      <c r="R792" s="12"/>
    </row>
    <row r="793" spans="1:18" x14ac:dyDescent="0.25">
      <c r="A793" s="8"/>
      <c r="B793" s="9"/>
      <c r="C793" s="10"/>
      <c r="D793" s="10"/>
      <c r="E793" s="9"/>
      <c r="F793" s="11"/>
      <c r="G793" s="9"/>
      <c r="H793" s="10"/>
      <c r="I793" s="10"/>
      <c r="J793" s="11"/>
      <c r="K793" s="11"/>
      <c r="L793" s="11"/>
      <c r="M793" s="10"/>
      <c r="N793" s="11"/>
      <c r="O793" s="10"/>
      <c r="P793" s="11"/>
      <c r="Q793" s="11"/>
      <c r="R793" s="12"/>
    </row>
    <row r="794" spans="1:18" x14ac:dyDescent="0.25">
      <c r="A794" s="8"/>
      <c r="B794" s="9"/>
      <c r="C794" s="10"/>
      <c r="D794" s="10"/>
      <c r="E794" s="9"/>
      <c r="F794" s="11"/>
      <c r="G794" s="9"/>
      <c r="H794" s="10"/>
      <c r="I794" s="10"/>
      <c r="J794" s="11"/>
      <c r="K794" s="11"/>
      <c r="L794" s="11"/>
      <c r="M794" s="10"/>
      <c r="N794" s="11"/>
      <c r="O794" s="10"/>
      <c r="P794" s="11"/>
      <c r="Q794" s="11"/>
      <c r="R794" s="12"/>
    </row>
    <row r="795" spans="1:18" x14ac:dyDescent="0.25">
      <c r="A795" s="8"/>
      <c r="B795" s="9"/>
      <c r="C795" s="10"/>
      <c r="D795" s="10"/>
      <c r="E795" s="9"/>
      <c r="F795" s="11"/>
      <c r="G795" s="9"/>
      <c r="H795" s="10"/>
      <c r="I795" s="10"/>
      <c r="J795" s="11"/>
      <c r="K795" s="11"/>
      <c r="L795" s="11"/>
      <c r="M795" s="10"/>
      <c r="N795" s="11"/>
      <c r="O795" s="10"/>
      <c r="P795" s="11"/>
      <c r="Q795" s="11"/>
      <c r="R795" s="12"/>
    </row>
    <row r="796" spans="1:18" x14ac:dyDescent="0.25">
      <c r="A796" s="8"/>
      <c r="B796" s="9"/>
      <c r="C796" s="10"/>
      <c r="D796" s="10"/>
      <c r="E796" s="9"/>
      <c r="F796" s="11"/>
      <c r="G796" s="9"/>
      <c r="H796" s="10"/>
      <c r="I796" s="10"/>
      <c r="J796" s="11"/>
      <c r="K796" s="11"/>
      <c r="L796" s="11"/>
      <c r="M796" s="10"/>
      <c r="N796" s="11"/>
      <c r="O796" s="10"/>
      <c r="P796" s="11"/>
      <c r="Q796" s="11"/>
      <c r="R796" s="12"/>
    </row>
    <row r="797" spans="1:18" x14ac:dyDescent="0.25">
      <c r="A797" s="8"/>
      <c r="B797" s="9"/>
      <c r="C797" s="10"/>
      <c r="D797" s="10"/>
      <c r="E797" s="9"/>
      <c r="F797" s="11"/>
      <c r="G797" s="9"/>
      <c r="H797" s="10"/>
      <c r="I797" s="10"/>
      <c r="J797" s="11"/>
      <c r="K797" s="11"/>
      <c r="L797" s="11"/>
      <c r="M797" s="10"/>
      <c r="N797" s="11"/>
      <c r="O797" s="10"/>
      <c r="P797" s="11"/>
      <c r="Q797" s="11"/>
      <c r="R797" s="12"/>
    </row>
    <row r="798" spans="1:18" x14ac:dyDescent="0.25">
      <c r="A798" s="8"/>
      <c r="B798" s="9"/>
      <c r="C798" s="10"/>
      <c r="D798" s="10"/>
      <c r="E798" s="9"/>
      <c r="F798" s="11"/>
      <c r="G798" s="9"/>
      <c r="H798" s="10"/>
      <c r="I798" s="10"/>
      <c r="J798" s="11"/>
      <c r="K798" s="11"/>
      <c r="L798" s="11"/>
      <c r="M798" s="10"/>
      <c r="N798" s="11"/>
      <c r="O798" s="10"/>
      <c r="P798" s="11"/>
      <c r="Q798" s="11"/>
      <c r="R798" s="12"/>
    </row>
    <row r="799" spans="1:18" x14ac:dyDescent="0.25">
      <c r="A799" s="8"/>
      <c r="B799" s="9"/>
      <c r="C799" s="10"/>
      <c r="D799" s="10"/>
      <c r="E799" s="9"/>
      <c r="F799" s="11"/>
      <c r="G799" s="9"/>
      <c r="H799" s="10"/>
      <c r="I799" s="10"/>
      <c r="J799" s="11"/>
      <c r="K799" s="11"/>
      <c r="L799" s="11"/>
      <c r="M799" s="10"/>
      <c r="N799" s="11"/>
      <c r="O799" s="10"/>
      <c r="P799" s="11"/>
      <c r="Q799" s="11"/>
      <c r="R799" s="12"/>
    </row>
    <row r="800" spans="1:18" x14ac:dyDescent="0.25">
      <c r="A800" s="8"/>
      <c r="B800" s="9"/>
      <c r="C800" s="10"/>
      <c r="D800" s="10"/>
      <c r="E800" s="9"/>
      <c r="F800" s="11"/>
      <c r="G800" s="9"/>
      <c r="H800" s="10"/>
      <c r="I800" s="10"/>
      <c r="J800" s="11"/>
      <c r="K800" s="11"/>
      <c r="L800" s="11"/>
      <c r="M800" s="10"/>
      <c r="N800" s="11"/>
      <c r="O800" s="10"/>
      <c r="P800" s="11"/>
      <c r="Q800" s="11"/>
      <c r="R800" s="12"/>
    </row>
    <row r="801" spans="1:18" x14ac:dyDescent="0.25">
      <c r="A801" s="8"/>
      <c r="B801" s="9"/>
      <c r="C801" s="10"/>
      <c r="D801" s="10"/>
      <c r="E801" s="9"/>
      <c r="F801" s="11"/>
      <c r="G801" s="9"/>
      <c r="H801" s="10"/>
      <c r="I801" s="10"/>
      <c r="J801" s="11"/>
      <c r="K801" s="11"/>
      <c r="L801" s="11"/>
      <c r="M801" s="10"/>
      <c r="N801" s="11"/>
      <c r="O801" s="10"/>
      <c r="P801" s="11"/>
      <c r="Q801" s="11"/>
      <c r="R801" s="12"/>
    </row>
    <row r="802" spans="1:18" x14ac:dyDescent="0.25">
      <c r="A802" s="8"/>
      <c r="B802" s="9"/>
      <c r="C802" s="10"/>
      <c r="D802" s="10"/>
      <c r="E802" s="9"/>
      <c r="F802" s="11"/>
      <c r="G802" s="9"/>
      <c r="H802" s="10"/>
      <c r="I802" s="10"/>
      <c r="J802" s="11"/>
      <c r="K802" s="11"/>
      <c r="L802" s="11"/>
      <c r="M802" s="10"/>
      <c r="N802" s="11"/>
      <c r="O802" s="10"/>
      <c r="P802" s="11"/>
      <c r="Q802" s="11"/>
      <c r="R802" s="12"/>
    </row>
    <row r="803" spans="1:18" x14ac:dyDescent="0.25">
      <c r="A803" s="8"/>
      <c r="B803" s="9"/>
      <c r="C803" s="10"/>
      <c r="D803" s="10"/>
      <c r="E803" s="9"/>
      <c r="F803" s="11"/>
      <c r="G803" s="9"/>
      <c r="H803" s="10"/>
      <c r="I803" s="10"/>
      <c r="J803" s="11"/>
      <c r="K803" s="11"/>
      <c r="L803" s="11"/>
      <c r="M803" s="10"/>
      <c r="N803" s="11"/>
      <c r="O803" s="10"/>
      <c r="P803" s="11"/>
      <c r="Q803" s="11"/>
      <c r="R803" s="12"/>
    </row>
    <row r="804" spans="1:18" x14ac:dyDescent="0.25">
      <c r="A804" s="8"/>
      <c r="B804" s="9"/>
      <c r="C804" s="10"/>
      <c r="D804" s="10"/>
      <c r="E804" s="9"/>
      <c r="F804" s="11"/>
      <c r="G804" s="9"/>
      <c r="H804" s="10"/>
      <c r="I804" s="10"/>
      <c r="J804" s="11"/>
      <c r="K804" s="11"/>
      <c r="L804" s="11"/>
      <c r="M804" s="10"/>
      <c r="N804" s="11"/>
      <c r="O804" s="10"/>
      <c r="P804" s="11"/>
      <c r="Q804" s="11"/>
      <c r="R804" s="12"/>
    </row>
    <row r="805" spans="1:18" x14ac:dyDescent="0.25">
      <c r="A805" s="8"/>
      <c r="B805" s="9"/>
      <c r="C805" s="10"/>
      <c r="D805" s="10"/>
      <c r="E805" s="9"/>
      <c r="F805" s="11"/>
      <c r="G805" s="9"/>
      <c r="H805" s="10"/>
      <c r="I805" s="10"/>
      <c r="J805" s="11"/>
      <c r="K805" s="11"/>
      <c r="L805" s="11"/>
      <c r="M805" s="10"/>
      <c r="N805" s="11"/>
      <c r="O805" s="10"/>
      <c r="P805" s="11"/>
      <c r="Q805" s="11"/>
      <c r="R805" s="12"/>
    </row>
    <row r="806" spans="1:18" x14ac:dyDescent="0.25">
      <c r="A806" s="8"/>
      <c r="B806" s="9"/>
      <c r="C806" s="10"/>
      <c r="D806" s="10"/>
      <c r="E806" s="9"/>
      <c r="F806" s="11"/>
      <c r="G806" s="9"/>
      <c r="H806" s="10"/>
      <c r="I806" s="10"/>
      <c r="J806" s="11"/>
      <c r="K806" s="11"/>
      <c r="L806" s="11"/>
      <c r="M806" s="10"/>
      <c r="N806" s="11"/>
      <c r="O806" s="10"/>
      <c r="P806" s="11"/>
      <c r="Q806" s="11"/>
      <c r="R806" s="12"/>
    </row>
    <row r="807" spans="1:18" x14ac:dyDescent="0.25">
      <c r="A807" s="8"/>
      <c r="B807" s="9"/>
      <c r="C807" s="10"/>
      <c r="D807" s="10"/>
      <c r="E807" s="9"/>
      <c r="F807" s="11"/>
      <c r="G807" s="9"/>
      <c r="H807" s="10"/>
      <c r="I807" s="10"/>
      <c r="J807" s="11"/>
      <c r="K807" s="11"/>
      <c r="L807" s="11"/>
      <c r="M807" s="10"/>
      <c r="N807" s="11"/>
      <c r="O807" s="10"/>
      <c r="P807" s="11"/>
      <c r="Q807" s="11"/>
      <c r="R807" s="12"/>
    </row>
    <row r="808" spans="1:18" x14ac:dyDescent="0.25">
      <c r="A808" s="8"/>
      <c r="B808" s="9"/>
      <c r="C808" s="10"/>
      <c r="D808" s="10"/>
      <c r="E808" s="9"/>
      <c r="F808" s="11"/>
      <c r="G808" s="9"/>
      <c r="H808" s="10"/>
      <c r="I808" s="10"/>
      <c r="J808" s="11"/>
      <c r="K808" s="11"/>
      <c r="L808" s="11"/>
      <c r="M808" s="10"/>
      <c r="N808" s="11"/>
      <c r="O808" s="10"/>
      <c r="P808" s="11"/>
      <c r="Q808" s="11"/>
      <c r="R808" s="12"/>
    </row>
    <row r="809" spans="1:18" x14ac:dyDescent="0.25">
      <c r="A809" s="8"/>
      <c r="B809" s="9"/>
      <c r="C809" s="10"/>
      <c r="D809" s="10"/>
      <c r="E809" s="9"/>
      <c r="F809" s="11"/>
      <c r="G809" s="9"/>
      <c r="H809" s="10"/>
      <c r="I809" s="10"/>
      <c r="J809" s="11"/>
      <c r="K809" s="11"/>
      <c r="L809" s="11"/>
      <c r="M809" s="10"/>
      <c r="N809" s="11"/>
      <c r="O809" s="10"/>
      <c r="P809" s="11"/>
      <c r="Q809" s="11"/>
      <c r="R809" s="12"/>
    </row>
    <row r="810" spans="1:18" x14ac:dyDescent="0.25">
      <c r="A810" s="8"/>
      <c r="B810" s="9"/>
      <c r="C810" s="10"/>
      <c r="D810" s="10"/>
      <c r="E810" s="9"/>
      <c r="F810" s="11"/>
      <c r="G810" s="9"/>
      <c r="H810" s="10"/>
      <c r="I810" s="10"/>
      <c r="J810" s="11"/>
      <c r="K810" s="11"/>
      <c r="L810" s="11"/>
      <c r="M810" s="10"/>
      <c r="N810" s="11"/>
      <c r="O810" s="10"/>
      <c r="P810" s="11"/>
      <c r="Q810" s="11"/>
      <c r="R810" s="12"/>
    </row>
    <row r="811" spans="1:18" x14ac:dyDescent="0.25">
      <c r="A811" s="8"/>
      <c r="B811" s="9"/>
      <c r="C811" s="10"/>
      <c r="D811" s="10"/>
      <c r="E811" s="9"/>
      <c r="F811" s="11"/>
      <c r="G811" s="9"/>
      <c r="H811" s="10"/>
      <c r="I811" s="10"/>
      <c r="J811" s="11"/>
      <c r="K811" s="11"/>
      <c r="L811" s="11"/>
      <c r="M811" s="10"/>
      <c r="N811" s="11"/>
      <c r="O811" s="10"/>
      <c r="P811" s="11"/>
      <c r="Q811" s="11"/>
      <c r="R811" s="12"/>
    </row>
    <row r="812" spans="1:18" x14ac:dyDescent="0.25">
      <c r="A812" s="8"/>
      <c r="B812" s="9"/>
      <c r="C812" s="10"/>
      <c r="D812" s="10"/>
      <c r="E812" s="9"/>
      <c r="F812" s="11"/>
      <c r="G812" s="9"/>
      <c r="H812" s="10"/>
      <c r="I812" s="10"/>
      <c r="J812" s="11"/>
      <c r="K812" s="11"/>
      <c r="L812" s="11"/>
      <c r="M812" s="10"/>
      <c r="N812" s="11"/>
      <c r="O812" s="10"/>
      <c r="P812" s="11"/>
      <c r="Q812" s="11"/>
      <c r="R812" s="12"/>
    </row>
    <row r="813" spans="1:18" x14ac:dyDescent="0.25">
      <c r="A813" s="8"/>
      <c r="B813" s="9"/>
      <c r="C813" s="10"/>
      <c r="D813" s="10"/>
      <c r="E813" s="9"/>
      <c r="F813" s="11"/>
      <c r="G813" s="9"/>
      <c r="H813" s="10"/>
      <c r="I813" s="10"/>
      <c r="J813" s="11"/>
      <c r="K813" s="11"/>
      <c r="L813" s="11"/>
      <c r="M813" s="10"/>
      <c r="N813" s="11"/>
      <c r="O813" s="10"/>
      <c r="P813" s="11"/>
      <c r="Q813" s="11"/>
      <c r="R813" s="12"/>
    </row>
    <row r="814" spans="1:18" x14ac:dyDescent="0.25">
      <c r="A814" s="8"/>
      <c r="B814" s="9"/>
      <c r="C814" s="10"/>
      <c r="D814" s="10"/>
      <c r="E814" s="9"/>
      <c r="F814" s="11"/>
      <c r="G814" s="9"/>
      <c r="H814" s="10"/>
      <c r="I814" s="10"/>
      <c r="J814" s="11"/>
      <c r="K814" s="11"/>
      <c r="L814" s="11"/>
      <c r="M814" s="10"/>
      <c r="N814" s="11"/>
      <c r="O814" s="10"/>
      <c r="P814" s="11"/>
      <c r="Q814" s="11"/>
      <c r="R814" s="12"/>
    </row>
    <row r="815" spans="1:18" x14ac:dyDescent="0.25">
      <c r="A815" s="8"/>
      <c r="B815" s="9"/>
      <c r="C815" s="10"/>
      <c r="D815" s="10"/>
      <c r="E815" s="9"/>
      <c r="F815" s="11"/>
      <c r="G815" s="9"/>
      <c r="H815" s="10"/>
      <c r="I815" s="10"/>
      <c r="J815" s="11"/>
      <c r="K815" s="11"/>
      <c r="L815" s="11"/>
      <c r="M815" s="10"/>
      <c r="N815" s="11"/>
      <c r="O815" s="10"/>
      <c r="P815" s="11"/>
      <c r="Q815" s="11"/>
      <c r="R815" s="12"/>
    </row>
    <row r="816" spans="1:18" x14ac:dyDescent="0.25">
      <c r="A816" s="8"/>
      <c r="B816" s="9"/>
      <c r="C816" s="10"/>
      <c r="D816" s="10"/>
      <c r="E816" s="9"/>
      <c r="F816" s="11"/>
      <c r="G816" s="9"/>
      <c r="H816" s="10"/>
      <c r="I816" s="10"/>
      <c r="J816" s="11"/>
      <c r="K816" s="11"/>
      <c r="L816" s="11"/>
      <c r="M816" s="10"/>
      <c r="N816" s="11"/>
      <c r="O816" s="10"/>
      <c r="P816" s="11"/>
      <c r="Q816" s="11"/>
      <c r="R816" s="12"/>
    </row>
    <row r="817" spans="1:18" x14ac:dyDescent="0.25">
      <c r="A817" s="8"/>
      <c r="B817" s="9"/>
      <c r="C817" s="10"/>
      <c r="D817" s="10"/>
      <c r="E817" s="9"/>
      <c r="F817" s="11"/>
      <c r="G817" s="9"/>
      <c r="H817" s="10"/>
      <c r="I817" s="10"/>
      <c r="J817" s="11"/>
      <c r="K817" s="11"/>
      <c r="L817" s="11"/>
      <c r="M817" s="10"/>
      <c r="N817" s="11"/>
      <c r="O817" s="10"/>
      <c r="P817" s="11"/>
      <c r="Q817" s="11"/>
      <c r="R817" s="12"/>
    </row>
    <row r="818" spans="1:18" x14ac:dyDescent="0.25">
      <c r="A818" s="8"/>
      <c r="B818" s="9"/>
      <c r="C818" s="10"/>
      <c r="D818" s="10"/>
      <c r="E818" s="9"/>
      <c r="F818" s="11"/>
      <c r="G818" s="9"/>
      <c r="H818" s="10"/>
      <c r="I818" s="10"/>
      <c r="J818" s="11"/>
      <c r="K818" s="11"/>
      <c r="L818" s="11"/>
      <c r="M818" s="10"/>
      <c r="N818" s="11"/>
      <c r="O818" s="10"/>
      <c r="P818" s="11"/>
      <c r="Q818" s="11"/>
      <c r="R818" s="12"/>
    </row>
    <row r="819" spans="1:18" x14ac:dyDescent="0.25">
      <c r="A819" s="8"/>
      <c r="B819" s="9"/>
      <c r="C819" s="10"/>
      <c r="D819" s="10"/>
      <c r="E819" s="9"/>
      <c r="F819" s="11"/>
      <c r="G819" s="9"/>
      <c r="H819" s="10"/>
      <c r="I819" s="10"/>
      <c r="J819" s="11"/>
      <c r="K819" s="11"/>
      <c r="L819" s="11"/>
      <c r="M819" s="10"/>
      <c r="N819" s="11"/>
      <c r="O819" s="10"/>
      <c r="P819" s="11"/>
      <c r="Q819" s="11"/>
      <c r="R819" s="12"/>
    </row>
    <row r="820" spans="1:18" x14ac:dyDescent="0.25">
      <c r="A820" s="8"/>
      <c r="B820" s="9"/>
      <c r="C820" s="10"/>
      <c r="D820" s="10"/>
      <c r="E820" s="9"/>
      <c r="F820" s="11"/>
      <c r="G820" s="9"/>
      <c r="H820" s="10"/>
      <c r="I820" s="10"/>
      <c r="J820" s="11"/>
      <c r="K820" s="11"/>
      <c r="L820" s="11"/>
      <c r="M820" s="10"/>
      <c r="N820" s="11"/>
      <c r="O820" s="10"/>
      <c r="P820" s="11"/>
      <c r="Q820" s="11"/>
      <c r="R820" s="12"/>
    </row>
    <row r="821" spans="1:18" x14ac:dyDescent="0.25">
      <c r="A821" s="8"/>
      <c r="B821" s="9"/>
      <c r="C821" s="10"/>
      <c r="D821" s="10"/>
      <c r="E821" s="9"/>
      <c r="F821" s="11"/>
      <c r="G821" s="9"/>
      <c r="H821" s="10"/>
      <c r="I821" s="10"/>
      <c r="J821" s="11"/>
      <c r="K821" s="11"/>
      <c r="L821" s="11"/>
      <c r="M821" s="10"/>
      <c r="N821" s="11"/>
      <c r="O821" s="10"/>
      <c r="P821" s="11"/>
      <c r="Q821" s="11"/>
      <c r="R821" s="12"/>
    </row>
    <row r="822" spans="1:18" x14ac:dyDescent="0.25">
      <c r="A822" s="8"/>
      <c r="B822" s="9"/>
      <c r="C822" s="10"/>
      <c r="D822" s="10"/>
      <c r="E822" s="9"/>
      <c r="F822" s="11"/>
      <c r="G822" s="9"/>
      <c r="H822" s="10"/>
      <c r="I822" s="10"/>
      <c r="J822" s="11"/>
      <c r="K822" s="11"/>
      <c r="L822" s="11"/>
      <c r="M822" s="10"/>
      <c r="N822" s="11"/>
      <c r="O822" s="10"/>
      <c r="P822" s="11"/>
      <c r="Q822" s="11"/>
      <c r="R822" s="12"/>
    </row>
    <row r="823" spans="1:18" x14ac:dyDescent="0.25">
      <c r="A823" s="8"/>
      <c r="B823" s="9"/>
      <c r="C823" s="10"/>
      <c r="D823" s="10"/>
      <c r="E823" s="9"/>
      <c r="F823" s="11"/>
      <c r="G823" s="9"/>
      <c r="H823" s="10"/>
      <c r="I823" s="10"/>
      <c r="J823" s="11"/>
      <c r="K823" s="11"/>
      <c r="L823" s="11"/>
      <c r="M823" s="10"/>
      <c r="N823" s="11"/>
      <c r="O823" s="10"/>
      <c r="P823" s="11"/>
      <c r="Q823" s="11"/>
      <c r="R823" s="12"/>
    </row>
    <row r="824" spans="1:18" x14ac:dyDescent="0.25">
      <c r="A824" s="8"/>
      <c r="B824" s="9"/>
      <c r="C824" s="10"/>
      <c r="D824" s="10"/>
      <c r="E824" s="9"/>
      <c r="F824" s="11"/>
      <c r="G824" s="9"/>
      <c r="H824" s="10"/>
      <c r="I824" s="10"/>
      <c r="J824" s="11"/>
      <c r="K824" s="11"/>
      <c r="L824" s="11"/>
      <c r="M824" s="10"/>
      <c r="N824" s="11"/>
      <c r="O824" s="10"/>
      <c r="P824" s="11"/>
      <c r="Q824" s="11"/>
      <c r="R824" s="12"/>
    </row>
    <row r="825" spans="1:18" x14ac:dyDescent="0.25">
      <c r="A825" s="8"/>
      <c r="B825" s="9"/>
      <c r="C825" s="10"/>
      <c r="D825" s="10"/>
      <c r="E825" s="9"/>
      <c r="F825" s="11"/>
      <c r="G825" s="9"/>
      <c r="H825" s="10"/>
      <c r="I825" s="10"/>
      <c r="J825" s="11"/>
      <c r="K825" s="11"/>
      <c r="L825" s="11"/>
      <c r="M825" s="10"/>
      <c r="N825" s="11"/>
      <c r="O825" s="10"/>
      <c r="P825" s="11"/>
      <c r="Q825" s="11"/>
      <c r="R825" s="12"/>
    </row>
    <row r="826" spans="1:18" x14ac:dyDescent="0.25">
      <c r="A826" s="8"/>
      <c r="B826" s="9"/>
      <c r="C826" s="10"/>
      <c r="D826" s="10"/>
      <c r="E826" s="9"/>
      <c r="F826" s="11"/>
      <c r="G826" s="9"/>
      <c r="H826" s="10"/>
      <c r="I826" s="10"/>
      <c r="J826" s="11"/>
      <c r="K826" s="11"/>
      <c r="L826" s="11"/>
      <c r="M826" s="10"/>
      <c r="N826" s="11"/>
      <c r="O826" s="10"/>
      <c r="P826" s="11"/>
      <c r="Q826" s="11"/>
      <c r="R826" s="12"/>
    </row>
    <row r="827" spans="1:18" x14ac:dyDescent="0.25">
      <c r="A827" s="8"/>
      <c r="B827" s="9"/>
      <c r="C827" s="10"/>
      <c r="D827" s="10"/>
      <c r="E827" s="9"/>
      <c r="F827" s="11"/>
      <c r="G827" s="9"/>
      <c r="H827" s="10"/>
      <c r="I827" s="10"/>
      <c r="J827" s="11"/>
      <c r="K827" s="11"/>
      <c r="L827" s="11"/>
      <c r="M827" s="10"/>
      <c r="N827" s="11"/>
      <c r="O827" s="10"/>
      <c r="P827" s="11"/>
      <c r="Q827" s="11"/>
      <c r="R827" s="12"/>
    </row>
    <row r="828" spans="1:18" x14ac:dyDescent="0.25">
      <c r="A828" s="8"/>
      <c r="B828" s="9"/>
      <c r="C828" s="10"/>
      <c r="D828" s="10"/>
      <c r="E828" s="9"/>
      <c r="F828" s="11"/>
      <c r="G828" s="9"/>
      <c r="H828" s="10"/>
      <c r="I828" s="10"/>
      <c r="J828" s="11"/>
      <c r="K828" s="11"/>
      <c r="L828" s="11"/>
      <c r="M828" s="10"/>
      <c r="N828" s="11"/>
      <c r="O828" s="10"/>
      <c r="P828" s="11"/>
      <c r="Q828" s="11"/>
      <c r="R828" s="12"/>
    </row>
    <row r="829" spans="1:18" x14ac:dyDescent="0.25">
      <c r="A829" s="8"/>
      <c r="B829" s="9"/>
      <c r="C829" s="10"/>
      <c r="D829" s="10"/>
      <c r="E829" s="9"/>
      <c r="F829" s="11"/>
      <c r="G829" s="9"/>
      <c r="H829" s="10"/>
      <c r="I829" s="10"/>
      <c r="J829" s="11"/>
      <c r="K829" s="11"/>
      <c r="L829" s="11"/>
      <c r="M829" s="10"/>
      <c r="N829" s="11"/>
      <c r="O829" s="10"/>
      <c r="P829" s="11"/>
      <c r="Q829" s="11"/>
      <c r="R829" s="12"/>
    </row>
    <row r="830" spans="1:18" x14ac:dyDescent="0.25">
      <c r="A830" s="8"/>
      <c r="B830" s="9"/>
      <c r="C830" s="10"/>
      <c r="D830" s="10"/>
      <c r="E830" s="9"/>
      <c r="F830" s="11"/>
      <c r="G830" s="9"/>
      <c r="H830" s="10"/>
      <c r="I830" s="10"/>
      <c r="J830" s="11"/>
      <c r="K830" s="11"/>
      <c r="L830" s="11"/>
      <c r="M830" s="10"/>
      <c r="N830" s="11"/>
      <c r="O830" s="10"/>
      <c r="P830" s="11"/>
      <c r="Q830" s="11"/>
      <c r="R830" s="12"/>
    </row>
    <row r="831" spans="1:18" x14ac:dyDescent="0.25">
      <c r="A831" s="8"/>
      <c r="B831" s="9"/>
      <c r="C831" s="10"/>
      <c r="D831" s="10"/>
      <c r="E831" s="9"/>
      <c r="F831" s="11"/>
      <c r="G831" s="9"/>
      <c r="H831" s="10"/>
      <c r="I831" s="10"/>
      <c r="J831" s="11"/>
      <c r="K831" s="11"/>
      <c r="L831" s="11"/>
      <c r="M831" s="10"/>
      <c r="N831" s="11"/>
      <c r="O831" s="10"/>
      <c r="P831" s="11"/>
      <c r="Q831" s="11"/>
      <c r="R831" s="12"/>
    </row>
    <row r="832" spans="1:18" x14ac:dyDescent="0.25">
      <c r="A832" s="8"/>
      <c r="B832" s="9"/>
      <c r="C832" s="10"/>
      <c r="D832" s="10"/>
      <c r="E832" s="9"/>
      <c r="F832" s="11"/>
      <c r="G832" s="9"/>
      <c r="H832" s="10"/>
      <c r="I832" s="10"/>
      <c r="J832" s="11"/>
      <c r="K832" s="11"/>
      <c r="L832" s="11"/>
      <c r="M832" s="10"/>
      <c r="N832" s="11"/>
      <c r="O832" s="10"/>
      <c r="P832" s="11"/>
      <c r="Q832" s="11"/>
      <c r="R832" s="12"/>
    </row>
    <row r="833" spans="1:18" x14ac:dyDescent="0.25">
      <c r="A833" s="8"/>
      <c r="B833" s="9"/>
      <c r="C833" s="10"/>
      <c r="D833" s="10"/>
      <c r="E833" s="9"/>
      <c r="F833" s="11"/>
      <c r="G833" s="9"/>
      <c r="H833" s="10"/>
      <c r="I833" s="10"/>
      <c r="J833" s="11"/>
      <c r="K833" s="11"/>
      <c r="L833" s="11"/>
      <c r="M833" s="10"/>
      <c r="N833" s="11"/>
      <c r="O833" s="10"/>
      <c r="P833" s="11"/>
      <c r="Q833" s="11"/>
      <c r="R833" s="12"/>
    </row>
    <row r="834" spans="1:18" x14ac:dyDescent="0.25">
      <c r="A834" s="8"/>
      <c r="B834" s="9"/>
      <c r="C834" s="10"/>
      <c r="D834" s="10"/>
      <c r="E834" s="9"/>
      <c r="F834" s="11"/>
      <c r="G834" s="9"/>
      <c r="H834" s="10"/>
      <c r="I834" s="10"/>
      <c r="J834" s="11"/>
      <c r="K834" s="11"/>
      <c r="L834" s="11"/>
      <c r="M834" s="10"/>
      <c r="N834" s="11"/>
      <c r="O834" s="10"/>
      <c r="P834" s="11"/>
      <c r="Q834" s="11"/>
      <c r="R834" s="12"/>
    </row>
    <row r="835" spans="1:18" x14ac:dyDescent="0.25">
      <c r="A835" s="8"/>
      <c r="B835" s="9"/>
      <c r="C835" s="10"/>
      <c r="D835" s="10"/>
      <c r="E835" s="9"/>
      <c r="F835" s="11"/>
      <c r="G835" s="9"/>
      <c r="H835" s="10"/>
      <c r="I835" s="10"/>
      <c r="J835" s="11"/>
      <c r="K835" s="11"/>
      <c r="L835" s="11"/>
      <c r="M835" s="10"/>
      <c r="N835" s="11"/>
      <c r="O835" s="10"/>
      <c r="P835" s="11"/>
      <c r="Q835" s="11"/>
      <c r="R835" s="12"/>
    </row>
    <row r="836" spans="1:18" x14ac:dyDescent="0.25">
      <c r="A836" s="8"/>
      <c r="B836" s="9"/>
      <c r="C836" s="10"/>
      <c r="D836" s="10"/>
      <c r="E836" s="9"/>
      <c r="F836" s="11"/>
      <c r="G836" s="9"/>
      <c r="H836" s="10"/>
      <c r="I836" s="10"/>
      <c r="J836" s="11"/>
      <c r="K836" s="11"/>
      <c r="L836" s="11"/>
      <c r="M836" s="10"/>
      <c r="N836" s="11"/>
      <c r="O836" s="10"/>
      <c r="P836" s="11"/>
      <c r="Q836" s="11"/>
      <c r="R836" s="12"/>
    </row>
    <row r="837" spans="1:18" x14ac:dyDescent="0.25">
      <c r="A837" s="8"/>
      <c r="B837" s="9"/>
      <c r="C837" s="10"/>
      <c r="D837" s="10"/>
      <c r="E837" s="9"/>
      <c r="F837" s="11"/>
      <c r="G837" s="9"/>
      <c r="H837" s="10"/>
      <c r="I837" s="10"/>
      <c r="J837" s="11"/>
      <c r="K837" s="11"/>
      <c r="L837" s="11"/>
      <c r="M837" s="10"/>
      <c r="N837" s="11"/>
      <c r="O837" s="10"/>
      <c r="P837" s="11"/>
      <c r="Q837" s="11"/>
      <c r="R837" s="12"/>
    </row>
    <row r="838" spans="1:18" x14ac:dyDescent="0.25">
      <c r="A838" s="8"/>
      <c r="B838" s="9"/>
      <c r="C838" s="10"/>
      <c r="D838" s="10"/>
      <c r="E838" s="9"/>
      <c r="F838" s="11"/>
      <c r="G838" s="9"/>
      <c r="H838" s="10"/>
      <c r="I838" s="10"/>
      <c r="J838" s="11"/>
      <c r="K838" s="11"/>
      <c r="L838" s="11"/>
      <c r="M838" s="10"/>
      <c r="N838" s="11"/>
      <c r="O838" s="10"/>
      <c r="P838" s="11"/>
      <c r="Q838" s="11"/>
      <c r="R838" s="12"/>
    </row>
    <row r="839" spans="1:18" x14ac:dyDescent="0.25">
      <c r="A839" s="8"/>
      <c r="B839" s="9"/>
      <c r="C839" s="10"/>
      <c r="D839" s="10"/>
      <c r="E839" s="9"/>
      <c r="F839" s="11"/>
      <c r="G839" s="9"/>
      <c r="H839" s="10"/>
      <c r="I839" s="10"/>
      <c r="J839" s="11"/>
      <c r="K839" s="11"/>
      <c r="L839" s="11"/>
      <c r="M839" s="10"/>
      <c r="N839" s="11"/>
      <c r="O839" s="10"/>
      <c r="P839" s="11"/>
      <c r="Q839" s="11"/>
      <c r="R839" s="12"/>
    </row>
    <row r="840" spans="1:18" x14ac:dyDescent="0.25">
      <c r="A840" s="8"/>
      <c r="B840" s="9"/>
      <c r="C840" s="10"/>
      <c r="D840" s="10"/>
      <c r="E840" s="9"/>
      <c r="F840" s="11"/>
      <c r="G840" s="9"/>
      <c r="H840" s="10"/>
      <c r="I840" s="10"/>
      <c r="J840" s="11"/>
      <c r="K840" s="11"/>
      <c r="L840" s="11"/>
      <c r="M840" s="10"/>
      <c r="N840" s="11"/>
      <c r="O840" s="10"/>
      <c r="P840" s="11"/>
      <c r="Q840" s="11"/>
      <c r="R840" s="12"/>
    </row>
    <row r="841" spans="1:18" x14ac:dyDescent="0.25">
      <c r="A841" s="8"/>
      <c r="B841" s="9"/>
      <c r="C841" s="10"/>
      <c r="D841" s="10"/>
      <c r="E841" s="9"/>
      <c r="F841" s="11"/>
      <c r="G841" s="9"/>
      <c r="H841" s="10"/>
      <c r="I841" s="10"/>
      <c r="J841" s="11"/>
      <c r="K841" s="11"/>
      <c r="L841" s="11"/>
      <c r="M841" s="10"/>
      <c r="N841" s="11"/>
      <c r="O841" s="10"/>
      <c r="P841" s="11"/>
      <c r="Q841" s="11"/>
      <c r="R841" s="12"/>
    </row>
    <row r="842" spans="1:18" x14ac:dyDescent="0.25">
      <c r="A842" s="8"/>
      <c r="B842" s="9"/>
      <c r="C842" s="10"/>
      <c r="D842" s="10"/>
      <c r="E842" s="9"/>
      <c r="F842" s="11"/>
      <c r="G842" s="9"/>
      <c r="H842" s="10"/>
      <c r="I842" s="10"/>
      <c r="J842" s="11"/>
      <c r="K842" s="11"/>
      <c r="L842" s="11"/>
      <c r="M842" s="10"/>
      <c r="N842" s="11"/>
      <c r="O842" s="10"/>
      <c r="P842" s="11"/>
      <c r="Q842" s="11"/>
      <c r="R842" s="12"/>
    </row>
    <row r="843" spans="1:18" x14ac:dyDescent="0.25">
      <c r="A843" s="8"/>
      <c r="B843" s="9"/>
      <c r="C843" s="10"/>
      <c r="D843" s="10"/>
      <c r="E843" s="9"/>
      <c r="F843" s="11"/>
      <c r="G843" s="9"/>
      <c r="H843" s="10"/>
      <c r="I843" s="10"/>
      <c r="J843" s="11"/>
      <c r="K843" s="11"/>
      <c r="L843" s="11"/>
      <c r="M843" s="10"/>
      <c r="N843" s="11"/>
      <c r="O843" s="10"/>
      <c r="P843" s="11"/>
      <c r="Q843" s="11"/>
      <c r="R843" s="12"/>
    </row>
    <row r="844" spans="1:18" x14ac:dyDescent="0.25">
      <c r="A844" s="8"/>
      <c r="B844" s="9"/>
      <c r="C844" s="10"/>
      <c r="D844" s="10"/>
      <c r="E844" s="9"/>
      <c r="F844" s="11"/>
      <c r="G844" s="9"/>
      <c r="H844" s="10"/>
      <c r="I844" s="10"/>
      <c r="J844" s="11"/>
      <c r="K844" s="11"/>
      <c r="L844" s="11"/>
      <c r="M844" s="10"/>
      <c r="N844" s="11"/>
      <c r="O844" s="10"/>
      <c r="P844" s="11"/>
      <c r="Q844" s="11"/>
      <c r="R844" s="12"/>
    </row>
    <row r="845" spans="1:18" x14ac:dyDescent="0.25">
      <c r="A845" s="8"/>
      <c r="B845" s="9"/>
      <c r="C845" s="10"/>
      <c r="D845" s="10"/>
      <c r="E845" s="9"/>
      <c r="F845" s="11"/>
      <c r="G845" s="9"/>
      <c r="H845" s="10"/>
      <c r="I845" s="10"/>
      <c r="J845" s="11"/>
      <c r="K845" s="11"/>
      <c r="L845" s="11"/>
      <c r="M845" s="10"/>
      <c r="N845" s="11"/>
      <c r="O845" s="10"/>
      <c r="P845" s="11"/>
      <c r="Q845" s="11"/>
      <c r="R845" s="12"/>
    </row>
    <row r="846" spans="1:18" x14ac:dyDescent="0.25">
      <c r="A846" s="8"/>
      <c r="B846" s="9"/>
      <c r="C846" s="10"/>
      <c r="D846" s="10"/>
      <c r="E846" s="9"/>
      <c r="F846" s="11"/>
      <c r="G846" s="9"/>
      <c r="H846" s="10"/>
      <c r="I846" s="10"/>
      <c r="J846" s="11"/>
      <c r="K846" s="11"/>
      <c r="L846" s="11"/>
      <c r="M846" s="10"/>
      <c r="N846" s="11"/>
      <c r="O846" s="10"/>
      <c r="P846" s="11"/>
      <c r="Q846" s="11"/>
      <c r="R846" s="12"/>
    </row>
    <row r="847" spans="1:18" x14ac:dyDescent="0.25">
      <c r="A847" s="8"/>
      <c r="B847" s="9"/>
      <c r="C847" s="10"/>
      <c r="D847" s="10"/>
      <c r="E847" s="9"/>
      <c r="F847" s="11"/>
      <c r="G847" s="9"/>
      <c r="H847" s="10"/>
      <c r="I847" s="10"/>
      <c r="J847" s="11"/>
      <c r="K847" s="11"/>
      <c r="L847" s="11"/>
      <c r="M847" s="10"/>
      <c r="N847" s="11"/>
      <c r="O847" s="10"/>
      <c r="P847" s="11"/>
      <c r="Q847" s="11"/>
      <c r="R847" s="12"/>
    </row>
    <row r="848" spans="1:18" x14ac:dyDescent="0.25">
      <c r="A848" s="8"/>
      <c r="B848" s="9"/>
      <c r="C848" s="10"/>
      <c r="D848" s="10"/>
      <c r="E848" s="9"/>
      <c r="F848" s="11"/>
      <c r="G848" s="9"/>
      <c r="H848" s="10"/>
      <c r="I848" s="10"/>
      <c r="J848" s="11"/>
      <c r="K848" s="11"/>
      <c r="L848" s="11"/>
      <c r="M848" s="10"/>
      <c r="N848" s="11"/>
      <c r="O848" s="10"/>
      <c r="P848" s="11"/>
      <c r="Q848" s="11"/>
      <c r="R848" s="12"/>
    </row>
    <row r="849" spans="1:18" x14ac:dyDescent="0.25">
      <c r="A849" s="8"/>
      <c r="B849" s="9"/>
      <c r="C849" s="10"/>
      <c r="D849" s="10"/>
      <c r="E849" s="9"/>
      <c r="F849" s="11"/>
      <c r="G849" s="9"/>
      <c r="H849" s="10"/>
      <c r="I849" s="10"/>
      <c r="J849" s="11"/>
      <c r="K849" s="11"/>
      <c r="L849" s="11"/>
      <c r="M849" s="10"/>
      <c r="N849" s="11"/>
      <c r="O849" s="10"/>
      <c r="P849" s="11"/>
      <c r="Q849" s="11"/>
      <c r="R849" s="12"/>
    </row>
    <row r="850" spans="1:18" x14ac:dyDescent="0.25">
      <c r="A850" s="8"/>
      <c r="B850" s="9"/>
      <c r="C850" s="10"/>
      <c r="D850" s="10"/>
      <c r="E850" s="9"/>
      <c r="F850" s="11"/>
      <c r="G850" s="9"/>
      <c r="H850" s="10"/>
      <c r="I850" s="10"/>
      <c r="J850" s="11"/>
      <c r="K850" s="11"/>
      <c r="L850" s="11"/>
      <c r="M850" s="10"/>
      <c r="N850" s="11"/>
      <c r="O850" s="10"/>
      <c r="P850" s="11"/>
      <c r="Q850" s="11"/>
      <c r="R850" s="12"/>
    </row>
    <row r="851" spans="1:18" x14ac:dyDescent="0.25">
      <c r="A851" s="8"/>
      <c r="B851" s="9"/>
      <c r="C851" s="10"/>
      <c r="D851" s="10"/>
      <c r="E851" s="9"/>
      <c r="F851" s="11"/>
      <c r="G851" s="9"/>
      <c r="H851" s="10"/>
      <c r="I851" s="10"/>
      <c r="J851" s="11"/>
      <c r="K851" s="11"/>
      <c r="L851" s="11"/>
      <c r="M851" s="10"/>
      <c r="N851" s="11"/>
      <c r="O851" s="10"/>
      <c r="P851" s="11"/>
      <c r="Q851" s="11"/>
      <c r="R851" s="12"/>
    </row>
    <row r="852" spans="1:18" x14ac:dyDescent="0.25">
      <c r="A852" s="8"/>
      <c r="B852" s="9"/>
      <c r="C852" s="10"/>
      <c r="D852" s="10"/>
      <c r="E852" s="9"/>
      <c r="F852" s="11"/>
      <c r="G852" s="9"/>
      <c r="H852" s="10"/>
      <c r="I852" s="10"/>
      <c r="J852" s="11"/>
      <c r="K852" s="11"/>
      <c r="L852" s="11"/>
      <c r="M852" s="10"/>
      <c r="N852" s="11"/>
      <c r="O852" s="10"/>
      <c r="P852" s="11"/>
      <c r="Q852" s="11"/>
      <c r="R852" s="12"/>
    </row>
    <row r="853" spans="1:18" x14ac:dyDescent="0.25">
      <c r="A853" s="8"/>
      <c r="B853" s="9"/>
      <c r="C853" s="10"/>
      <c r="D853" s="10"/>
      <c r="E853" s="9"/>
      <c r="F853" s="11"/>
      <c r="G853" s="9"/>
      <c r="H853" s="10"/>
      <c r="I853" s="10"/>
      <c r="J853" s="11"/>
      <c r="K853" s="11"/>
      <c r="L853" s="11"/>
      <c r="M853" s="10"/>
      <c r="N853" s="11"/>
      <c r="O853" s="10"/>
      <c r="P853" s="11"/>
      <c r="Q853" s="11"/>
      <c r="R853" s="12"/>
    </row>
    <row r="854" spans="1:18" x14ac:dyDescent="0.25">
      <c r="A854" s="8"/>
      <c r="B854" s="9"/>
      <c r="C854" s="10"/>
      <c r="D854" s="10"/>
      <c r="E854" s="9"/>
      <c r="F854" s="11"/>
      <c r="G854" s="9"/>
      <c r="H854" s="10"/>
      <c r="I854" s="10"/>
      <c r="J854" s="11"/>
      <c r="K854" s="11"/>
      <c r="L854" s="11"/>
      <c r="M854" s="10"/>
      <c r="N854" s="11"/>
      <c r="O854" s="10"/>
      <c r="P854" s="11"/>
      <c r="Q854" s="11"/>
      <c r="R854" s="12"/>
    </row>
    <row r="855" spans="1:18" x14ac:dyDescent="0.25">
      <c r="A855" s="8"/>
      <c r="B855" s="9"/>
      <c r="C855" s="10"/>
      <c r="D855" s="10"/>
      <c r="E855" s="9"/>
      <c r="F855" s="11"/>
      <c r="G855" s="9"/>
      <c r="H855" s="10"/>
      <c r="I855" s="10"/>
      <c r="J855" s="11"/>
      <c r="K855" s="11"/>
      <c r="L855" s="11"/>
      <c r="M855" s="10"/>
      <c r="N855" s="11"/>
      <c r="O855" s="10"/>
      <c r="P855" s="11"/>
      <c r="Q855" s="11"/>
      <c r="R855" s="12"/>
    </row>
    <row r="856" spans="1:18" x14ac:dyDescent="0.25">
      <c r="A856" s="8"/>
      <c r="B856" s="9"/>
      <c r="C856" s="10"/>
      <c r="D856" s="10"/>
      <c r="E856" s="9"/>
      <c r="F856" s="11"/>
      <c r="G856" s="9"/>
      <c r="H856" s="10"/>
      <c r="I856" s="10"/>
      <c r="J856" s="11"/>
      <c r="K856" s="11"/>
      <c r="L856" s="11"/>
      <c r="M856" s="10"/>
      <c r="N856" s="11"/>
      <c r="O856" s="10"/>
      <c r="P856" s="11"/>
      <c r="Q856" s="11"/>
      <c r="R856" s="12"/>
    </row>
    <row r="857" spans="1:18" x14ac:dyDescent="0.25">
      <c r="A857" s="8"/>
      <c r="B857" s="9"/>
      <c r="C857" s="10"/>
      <c r="D857" s="10"/>
      <c r="E857" s="9"/>
      <c r="F857" s="11"/>
      <c r="G857" s="9"/>
      <c r="H857" s="10"/>
      <c r="I857" s="10"/>
      <c r="J857" s="11"/>
      <c r="K857" s="11"/>
      <c r="L857" s="11"/>
      <c r="M857" s="10"/>
      <c r="N857" s="11"/>
      <c r="O857" s="10"/>
      <c r="P857" s="11"/>
      <c r="Q857" s="11"/>
      <c r="R857" s="12"/>
    </row>
    <row r="858" spans="1:18" x14ac:dyDescent="0.25">
      <c r="A858" s="8"/>
      <c r="B858" s="9"/>
      <c r="C858" s="10"/>
      <c r="D858" s="10"/>
      <c r="E858" s="9"/>
      <c r="F858" s="11"/>
      <c r="G858" s="9"/>
      <c r="H858" s="10"/>
      <c r="I858" s="10"/>
      <c r="J858" s="11"/>
      <c r="K858" s="11"/>
      <c r="L858" s="11"/>
      <c r="M858" s="10"/>
      <c r="N858" s="11"/>
      <c r="O858" s="10"/>
      <c r="P858" s="11"/>
      <c r="Q858" s="11"/>
      <c r="R858" s="12"/>
    </row>
    <row r="859" spans="1:18" x14ac:dyDescent="0.25">
      <c r="A859" s="8"/>
      <c r="B859" s="9"/>
      <c r="C859" s="10"/>
      <c r="D859" s="10"/>
      <c r="E859" s="9"/>
      <c r="F859" s="11"/>
      <c r="G859" s="9"/>
      <c r="H859" s="10"/>
      <c r="I859" s="10"/>
      <c r="J859" s="11"/>
      <c r="K859" s="11"/>
      <c r="L859" s="11"/>
      <c r="M859" s="10"/>
      <c r="N859" s="11"/>
      <c r="O859" s="10"/>
      <c r="P859" s="11"/>
      <c r="Q859" s="11"/>
      <c r="R859" s="12"/>
    </row>
    <row r="860" spans="1:18" x14ac:dyDescent="0.25">
      <c r="A860" s="8"/>
      <c r="B860" s="9"/>
      <c r="C860" s="10"/>
      <c r="D860" s="10"/>
      <c r="E860" s="9"/>
      <c r="F860" s="11"/>
      <c r="G860" s="9"/>
      <c r="H860" s="10"/>
      <c r="I860" s="10"/>
      <c r="J860" s="11"/>
      <c r="K860" s="11"/>
      <c r="L860" s="11"/>
      <c r="M860" s="10"/>
      <c r="N860" s="11"/>
      <c r="O860" s="10"/>
      <c r="P860" s="11"/>
      <c r="Q860" s="11"/>
      <c r="R860" s="12"/>
    </row>
    <row r="861" spans="1:18" x14ac:dyDescent="0.25">
      <c r="A861" s="8"/>
      <c r="B861" s="9"/>
      <c r="C861" s="10"/>
      <c r="D861" s="10"/>
      <c r="E861" s="9"/>
      <c r="F861" s="11"/>
      <c r="G861" s="9"/>
      <c r="H861" s="10"/>
      <c r="I861" s="10"/>
      <c r="J861" s="11"/>
      <c r="K861" s="11"/>
      <c r="L861" s="11"/>
      <c r="M861" s="10"/>
      <c r="N861" s="11"/>
      <c r="O861" s="10"/>
      <c r="P861" s="11"/>
      <c r="Q861" s="11"/>
      <c r="R861" s="12"/>
    </row>
    <row r="862" spans="1:18" x14ac:dyDescent="0.25">
      <c r="A862" s="8"/>
      <c r="B862" s="9"/>
      <c r="C862" s="10"/>
      <c r="D862" s="10"/>
      <c r="E862" s="9"/>
      <c r="F862" s="11"/>
      <c r="G862" s="9"/>
      <c r="H862" s="10"/>
      <c r="I862" s="10"/>
      <c r="J862" s="11"/>
      <c r="K862" s="11"/>
      <c r="L862" s="11"/>
      <c r="M862" s="10"/>
      <c r="N862" s="11"/>
      <c r="O862" s="10"/>
      <c r="P862" s="11"/>
      <c r="Q862" s="11"/>
      <c r="R862" s="12"/>
    </row>
    <row r="863" spans="1:18" x14ac:dyDescent="0.25">
      <c r="A863" s="8"/>
      <c r="B863" s="9"/>
      <c r="C863" s="10"/>
      <c r="D863" s="10"/>
      <c r="E863" s="9"/>
      <c r="F863" s="11"/>
      <c r="G863" s="9"/>
      <c r="H863" s="10"/>
      <c r="I863" s="10"/>
      <c r="J863" s="11"/>
      <c r="K863" s="11"/>
      <c r="L863" s="11"/>
      <c r="M863" s="10"/>
      <c r="N863" s="11"/>
      <c r="O863" s="10"/>
      <c r="P863" s="11"/>
      <c r="Q863" s="11"/>
      <c r="R863" s="12"/>
    </row>
    <row r="864" spans="1:18" x14ac:dyDescent="0.25">
      <c r="A864" s="8"/>
      <c r="B864" s="9"/>
      <c r="C864" s="10"/>
      <c r="D864" s="10"/>
      <c r="E864" s="9"/>
      <c r="F864" s="11"/>
      <c r="G864" s="9"/>
      <c r="H864" s="10"/>
      <c r="I864" s="10"/>
      <c r="J864" s="11"/>
      <c r="K864" s="11"/>
      <c r="L864" s="11"/>
      <c r="M864" s="10"/>
      <c r="N864" s="11"/>
      <c r="O864" s="10"/>
      <c r="P864" s="11"/>
      <c r="Q864" s="11"/>
      <c r="R864" s="12"/>
    </row>
    <row r="865" spans="1:18" x14ac:dyDescent="0.25">
      <c r="A865" s="8"/>
      <c r="B865" s="9"/>
      <c r="C865" s="10"/>
      <c r="D865" s="10"/>
      <c r="E865" s="9"/>
      <c r="F865" s="11"/>
      <c r="G865" s="9"/>
      <c r="H865" s="10"/>
      <c r="I865" s="10"/>
      <c r="J865" s="11"/>
      <c r="K865" s="11"/>
      <c r="L865" s="11"/>
      <c r="M865" s="10"/>
      <c r="N865" s="11"/>
      <c r="O865" s="10"/>
      <c r="P865" s="11"/>
      <c r="Q865" s="11"/>
      <c r="R865" s="12"/>
    </row>
    <row r="866" spans="1:18" x14ac:dyDescent="0.25">
      <c r="A866" s="8"/>
      <c r="B866" s="9"/>
      <c r="C866" s="10"/>
      <c r="D866" s="10"/>
      <c r="E866" s="9"/>
      <c r="F866" s="11"/>
      <c r="G866" s="9"/>
      <c r="H866" s="10"/>
      <c r="I866" s="10"/>
      <c r="J866" s="11"/>
      <c r="K866" s="11"/>
      <c r="L866" s="11"/>
      <c r="M866" s="10"/>
      <c r="N866" s="11"/>
      <c r="O866" s="10"/>
      <c r="P866" s="11"/>
      <c r="Q866" s="11"/>
      <c r="R866" s="12"/>
    </row>
    <row r="867" spans="1:18" x14ac:dyDescent="0.25">
      <c r="A867" s="8"/>
      <c r="B867" s="9"/>
      <c r="C867" s="10"/>
      <c r="D867" s="10"/>
      <c r="E867" s="9"/>
      <c r="F867" s="11"/>
      <c r="G867" s="9"/>
      <c r="H867" s="10"/>
      <c r="I867" s="10"/>
      <c r="J867" s="11"/>
      <c r="K867" s="11"/>
      <c r="L867" s="11"/>
      <c r="M867" s="10"/>
      <c r="N867" s="11"/>
      <c r="O867" s="10"/>
      <c r="P867" s="11"/>
      <c r="Q867" s="11"/>
      <c r="R867" s="12"/>
    </row>
    <row r="868" spans="1:18" x14ac:dyDescent="0.25">
      <c r="A868" s="8"/>
      <c r="B868" s="9"/>
      <c r="C868" s="10"/>
      <c r="D868" s="10"/>
      <c r="E868" s="9"/>
      <c r="F868" s="11"/>
      <c r="G868" s="9"/>
      <c r="H868" s="10"/>
      <c r="I868" s="10"/>
      <c r="J868" s="11"/>
      <c r="K868" s="11"/>
      <c r="L868" s="11"/>
      <c r="M868" s="10"/>
      <c r="N868" s="11"/>
      <c r="O868" s="10"/>
      <c r="P868" s="11"/>
      <c r="Q868" s="11"/>
      <c r="R868" s="12"/>
    </row>
    <row r="869" spans="1:18" x14ac:dyDescent="0.25">
      <c r="A869" s="8"/>
      <c r="B869" s="9"/>
      <c r="C869" s="10"/>
      <c r="D869" s="10"/>
      <c r="E869" s="9"/>
      <c r="F869" s="11"/>
      <c r="G869" s="9"/>
      <c r="H869" s="10"/>
      <c r="I869" s="10"/>
      <c r="J869" s="11"/>
      <c r="K869" s="11"/>
      <c r="L869" s="11"/>
      <c r="M869" s="10"/>
      <c r="N869" s="11"/>
      <c r="O869" s="10"/>
      <c r="P869" s="11"/>
      <c r="Q869" s="11"/>
      <c r="R869" s="12"/>
    </row>
    <row r="870" spans="1:18" x14ac:dyDescent="0.25">
      <c r="A870" s="8"/>
      <c r="B870" s="9"/>
      <c r="C870" s="10"/>
      <c r="D870" s="10"/>
      <c r="E870" s="9"/>
      <c r="F870" s="11"/>
      <c r="G870" s="9"/>
      <c r="H870" s="10"/>
      <c r="I870" s="10"/>
      <c r="J870" s="11"/>
      <c r="K870" s="11"/>
      <c r="L870" s="11"/>
      <c r="M870" s="10"/>
      <c r="N870" s="11"/>
      <c r="O870" s="10"/>
      <c r="P870" s="11"/>
      <c r="Q870" s="11"/>
      <c r="R870" s="12"/>
    </row>
    <row r="871" spans="1:18" x14ac:dyDescent="0.25">
      <c r="A871" s="8"/>
      <c r="B871" s="9"/>
      <c r="C871" s="10"/>
      <c r="D871" s="10"/>
      <c r="E871" s="9"/>
      <c r="F871" s="11"/>
      <c r="G871" s="9"/>
      <c r="H871" s="10"/>
      <c r="I871" s="10"/>
      <c r="J871" s="11"/>
      <c r="K871" s="11"/>
      <c r="L871" s="11"/>
      <c r="M871" s="10"/>
      <c r="N871" s="11"/>
      <c r="O871" s="10"/>
      <c r="P871" s="11"/>
      <c r="Q871" s="11"/>
      <c r="R871" s="12"/>
    </row>
    <row r="872" spans="1:18" x14ac:dyDescent="0.25">
      <c r="A872" s="8"/>
      <c r="B872" s="9"/>
      <c r="C872" s="10"/>
      <c r="D872" s="10"/>
      <c r="E872" s="9"/>
      <c r="F872" s="11"/>
      <c r="G872" s="9"/>
      <c r="H872" s="10"/>
      <c r="I872" s="10"/>
      <c r="J872" s="11"/>
      <c r="K872" s="11"/>
      <c r="L872" s="11"/>
      <c r="M872" s="10"/>
      <c r="N872" s="11"/>
      <c r="O872" s="10"/>
      <c r="P872" s="11"/>
      <c r="Q872" s="11"/>
      <c r="R872" s="12"/>
    </row>
    <row r="873" spans="1:18" x14ac:dyDescent="0.25">
      <c r="A873" s="8"/>
      <c r="B873" s="9"/>
      <c r="C873" s="10"/>
      <c r="D873" s="10"/>
      <c r="E873" s="9"/>
      <c r="F873" s="11"/>
      <c r="G873" s="9"/>
      <c r="H873" s="10"/>
      <c r="I873" s="10"/>
      <c r="J873" s="11"/>
      <c r="K873" s="11"/>
      <c r="L873" s="11"/>
      <c r="M873" s="10"/>
      <c r="N873" s="11"/>
      <c r="O873" s="10"/>
      <c r="P873" s="11"/>
      <c r="Q873" s="11"/>
      <c r="R873" s="12"/>
    </row>
    <row r="874" spans="1:18" x14ac:dyDescent="0.25">
      <c r="A874" s="8"/>
      <c r="B874" s="9"/>
      <c r="C874" s="10"/>
      <c r="D874" s="10"/>
      <c r="E874" s="9"/>
      <c r="F874" s="11"/>
      <c r="G874" s="9"/>
      <c r="H874" s="10"/>
      <c r="I874" s="10"/>
      <c r="J874" s="11"/>
      <c r="K874" s="11"/>
      <c r="L874" s="11"/>
      <c r="M874" s="10"/>
      <c r="N874" s="11"/>
      <c r="O874" s="10"/>
      <c r="P874" s="11"/>
      <c r="Q874" s="11"/>
      <c r="R874" s="12"/>
    </row>
    <row r="875" spans="1:18" x14ac:dyDescent="0.25">
      <c r="A875" s="8"/>
      <c r="B875" s="9"/>
      <c r="C875" s="10"/>
      <c r="D875" s="10"/>
      <c r="E875" s="9"/>
      <c r="F875" s="11"/>
      <c r="G875" s="9"/>
      <c r="H875" s="10"/>
      <c r="I875" s="10"/>
      <c r="J875" s="11"/>
      <c r="K875" s="11"/>
      <c r="L875" s="11"/>
      <c r="M875" s="10"/>
      <c r="N875" s="11"/>
      <c r="O875" s="10"/>
      <c r="P875" s="11"/>
      <c r="Q875" s="11"/>
      <c r="R875" s="12"/>
    </row>
    <row r="876" spans="1:18" x14ac:dyDescent="0.25">
      <c r="A876" s="8"/>
      <c r="B876" s="9"/>
      <c r="C876" s="10"/>
      <c r="D876" s="10"/>
      <c r="E876" s="9"/>
      <c r="F876" s="11"/>
      <c r="G876" s="9"/>
      <c r="H876" s="10"/>
      <c r="I876" s="10"/>
      <c r="J876" s="11"/>
      <c r="K876" s="11"/>
      <c r="L876" s="11"/>
      <c r="M876" s="10"/>
      <c r="N876" s="11"/>
      <c r="O876" s="10"/>
      <c r="P876" s="11"/>
      <c r="Q876" s="11"/>
      <c r="R876" s="12"/>
    </row>
    <row r="877" spans="1:18" x14ac:dyDescent="0.25">
      <c r="A877" s="8"/>
      <c r="B877" s="9"/>
      <c r="C877" s="10"/>
      <c r="D877" s="10"/>
      <c r="E877" s="9"/>
      <c r="F877" s="11"/>
      <c r="G877" s="9"/>
      <c r="H877" s="10"/>
      <c r="I877" s="10"/>
      <c r="J877" s="11"/>
      <c r="K877" s="11"/>
      <c r="L877" s="11"/>
      <c r="M877" s="10"/>
      <c r="N877" s="11"/>
      <c r="O877" s="10"/>
      <c r="P877" s="11"/>
      <c r="Q877" s="11"/>
      <c r="R877" s="12"/>
    </row>
    <row r="878" spans="1:18" x14ac:dyDescent="0.25">
      <c r="A878" s="8"/>
      <c r="B878" s="9"/>
      <c r="C878" s="10"/>
      <c r="D878" s="10"/>
      <c r="E878" s="9"/>
      <c r="F878" s="11"/>
      <c r="G878" s="9"/>
      <c r="H878" s="10"/>
      <c r="I878" s="10"/>
      <c r="J878" s="11"/>
      <c r="K878" s="11"/>
      <c r="L878" s="11"/>
      <c r="M878" s="10"/>
      <c r="N878" s="11"/>
      <c r="O878" s="10"/>
      <c r="P878" s="11"/>
      <c r="Q878" s="11"/>
      <c r="R878" s="12"/>
    </row>
    <row r="879" spans="1:18" x14ac:dyDescent="0.25">
      <c r="A879" s="8"/>
      <c r="B879" s="9"/>
      <c r="C879" s="10"/>
      <c r="D879" s="10"/>
      <c r="E879" s="9"/>
      <c r="F879" s="11"/>
      <c r="G879" s="9"/>
      <c r="H879" s="10"/>
      <c r="I879" s="10"/>
      <c r="J879" s="11"/>
      <c r="K879" s="11"/>
      <c r="L879" s="11"/>
      <c r="M879" s="10"/>
      <c r="N879" s="11"/>
      <c r="O879" s="10"/>
      <c r="P879" s="11"/>
      <c r="Q879" s="11"/>
      <c r="R879" s="12"/>
    </row>
    <row r="880" spans="1:18" x14ac:dyDescent="0.25">
      <c r="A880" s="8"/>
      <c r="B880" s="9"/>
      <c r="C880" s="10"/>
      <c r="D880" s="10"/>
      <c r="E880" s="9"/>
      <c r="F880" s="11"/>
      <c r="G880" s="9"/>
      <c r="H880" s="10"/>
      <c r="I880" s="10"/>
      <c r="J880" s="11"/>
      <c r="K880" s="11"/>
      <c r="L880" s="11"/>
      <c r="M880" s="10"/>
      <c r="N880" s="11"/>
      <c r="O880" s="10"/>
      <c r="P880" s="11"/>
      <c r="Q880" s="11"/>
      <c r="R880" s="12"/>
    </row>
    <row r="881" spans="1:18" x14ac:dyDescent="0.25">
      <c r="A881" s="8"/>
      <c r="B881" s="9"/>
      <c r="C881" s="10"/>
      <c r="D881" s="10"/>
      <c r="E881" s="9"/>
      <c r="F881" s="11"/>
      <c r="G881" s="9"/>
      <c r="H881" s="10"/>
      <c r="I881" s="10"/>
      <c r="J881" s="11"/>
      <c r="K881" s="11"/>
      <c r="L881" s="11"/>
      <c r="M881" s="10"/>
      <c r="N881" s="11"/>
      <c r="O881" s="10"/>
      <c r="P881" s="11"/>
      <c r="Q881" s="11"/>
      <c r="R881" s="12"/>
    </row>
    <row r="882" spans="1:18" x14ac:dyDescent="0.25">
      <c r="A882" s="8"/>
      <c r="B882" s="9"/>
      <c r="C882" s="10"/>
      <c r="D882" s="10"/>
      <c r="E882" s="9"/>
      <c r="F882" s="11"/>
      <c r="G882" s="9"/>
      <c r="H882" s="10"/>
      <c r="I882" s="10"/>
      <c r="J882" s="11"/>
      <c r="K882" s="11"/>
      <c r="L882" s="11"/>
      <c r="M882" s="10"/>
      <c r="N882" s="11"/>
      <c r="O882" s="10"/>
      <c r="P882" s="11"/>
      <c r="Q882" s="11"/>
      <c r="R882" s="12"/>
    </row>
    <row r="883" spans="1:18" x14ac:dyDescent="0.25">
      <c r="A883" s="8"/>
      <c r="B883" s="9"/>
      <c r="C883" s="10"/>
      <c r="D883" s="10"/>
      <c r="E883" s="9"/>
      <c r="F883" s="11"/>
      <c r="G883" s="9"/>
      <c r="H883" s="10"/>
      <c r="I883" s="10"/>
      <c r="J883" s="11"/>
      <c r="K883" s="11"/>
      <c r="L883" s="11"/>
      <c r="M883" s="10"/>
      <c r="N883" s="11"/>
      <c r="O883" s="10"/>
      <c r="P883" s="11"/>
      <c r="Q883" s="11"/>
      <c r="R883" s="12"/>
    </row>
    <row r="884" spans="1:18" x14ac:dyDescent="0.25">
      <c r="A884" s="8"/>
      <c r="B884" s="9"/>
      <c r="C884" s="10"/>
      <c r="D884" s="10"/>
      <c r="E884" s="9"/>
      <c r="F884" s="11"/>
      <c r="G884" s="9"/>
      <c r="H884" s="10"/>
      <c r="I884" s="10"/>
      <c r="J884" s="11"/>
      <c r="K884" s="11"/>
      <c r="L884" s="11"/>
      <c r="M884" s="10"/>
      <c r="N884" s="11"/>
      <c r="O884" s="10"/>
      <c r="P884" s="11"/>
      <c r="Q884" s="11"/>
      <c r="R884" s="12"/>
    </row>
    <row r="885" spans="1:18" x14ac:dyDescent="0.25">
      <c r="A885" s="8"/>
      <c r="B885" s="9"/>
      <c r="C885" s="10"/>
      <c r="D885" s="10"/>
      <c r="E885" s="9"/>
      <c r="F885" s="11"/>
      <c r="G885" s="9"/>
      <c r="H885" s="10"/>
      <c r="I885" s="10"/>
      <c r="J885" s="11"/>
      <c r="K885" s="11"/>
      <c r="L885" s="11"/>
      <c r="M885" s="10"/>
      <c r="N885" s="11"/>
      <c r="O885" s="10"/>
      <c r="P885" s="11"/>
      <c r="Q885" s="11"/>
      <c r="R885" s="12"/>
    </row>
    <row r="886" spans="1:18" x14ac:dyDescent="0.25">
      <c r="A886" s="8"/>
      <c r="B886" s="9"/>
      <c r="C886" s="10"/>
      <c r="D886" s="10"/>
      <c r="E886" s="9"/>
      <c r="F886" s="11"/>
      <c r="G886" s="9"/>
      <c r="H886" s="10"/>
      <c r="I886" s="10"/>
      <c r="J886" s="11"/>
      <c r="K886" s="11"/>
      <c r="L886" s="11"/>
      <c r="M886" s="10"/>
      <c r="N886" s="11"/>
      <c r="O886" s="10"/>
      <c r="P886" s="11"/>
      <c r="Q886" s="11"/>
      <c r="R886" s="12"/>
    </row>
    <row r="887" spans="1:18" x14ac:dyDescent="0.25">
      <c r="A887" s="8"/>
      <c r="B887" s="9"/>
      <c r="C887" s="10"/>
      <c r="D887" s="10"/>
      <c r="E887" s="9"/>
      <c r="F887" s="11"/>
      <c r="G887" s="9"/>
      <c r="H887" s="10"/>
      <c r="I887" s="10"/>
      <c r="J887" s="11"/>
      <c r="K887" s="11"/>
      <c r="L887" s="11"/>
      <c r="M887" s="10"/>
      <c r="N887" s="11"/>
      <c r="O887" s="10"/>
      <c r="P887" s="11"/>
      <c r="Q887" s="11"/>
      <c r="R887" s="12"/>
    </row>
    <row r="888" spans="1:18" x14ac:dyDescent="0.25">
      <c r="A888" s="8"/>
      <c r="B888" s="9"/>
      <c r="C888" s="10"/>
      <c r="D888" s="10"/>
      <c r="E888" s="9"/>
      <c r="F888" s="11"/>
      <c r="G888" s="9"/>
      <c r="H888" s="10"/>
      <c r="I888" s="10"/>
      <c r="J888" s="11"/>
      <c r="K888" s="11"/>
      <c r="L888" s="11"/>
      <c r="M888" s="10"/>
      <c r="N888" s="11"/>
      <c r="O888" s="10"/>
      <c r="P888" s="11"/>
      <c r="Q888" s="11"/>
      <c r="R888" s="12"/>
    </row>
    <row r="889" spans="1:18" x14ac:dyDescent="0.25">
      <c r="A889" s="8"/>
      <c r="B889" s="9"/>
      <c r="C889" s="10"/>
      <c r="D889" s="10"/>
      <c r="E889" s="9"/>
      <c r="F889" s="11"/>
      <c r="G889" s="9"/>
      <c r="H889" s="10"/>
      <c r="I889" s="10"/>
      <c r="J889" s="11"/>
      <c r="K889" s="11"/>
      <c r="L889" s="11"/>
      <c r="M889" s="10"/>
      <c r="N889" s="11"/>
      <c r="O889" s="10"/>
      <c r="P889" s="11"/>
      <c r="Q889" s="11"/>
      <c r="R889" s="12"/>
    </row>
    <row r="890" spans="1:18" x14ac:dyDescent="0.25">
      <c r="A890" s="8"/>
      <c r="B890" s="9"/>
      <c r="C890" s="10"/>
      <c r="D890" s="10"/>
      <c r="E890" s="9"/>
      <c r="F890" s="11"/>
      <c r="G890" s="9"/>
      <c r="H890" s="10"/>
      <c r="I890" s="10"/>
      <c r="J890" s="11"/>
      <c r="K890" s="11"/>
      <c r="L890" s="11"/>
      <c r="M890" s="10"/>
      <c r="N890" s="11"/>
      <c r="O890" s="10"/>
      <c r="P890" s="11"/>
      <c r="Q890" s="11"/>
      <c r="R890" s="12"/>
    </row>
    <row r="891" spans="1:18" x14ac:dyDescent="0.25">
      <c r="A891" s="8"/>
      <c r="B891" s="9"/>
      <c r="C891" s="10"/>
      <c r="D891" s="10"/>
      <c r="E891" s="9"/>
      <c r="F891" s="11"/>
      <c r="G891" s="9"/>
      <c r="H891" s="10"/>
      <c r="I891" s="10"/>
      <c r="J891" s="11"/>
      <c r="K891" s="11"/>
      <c r="L891" s="11"/>
      <c r="M891" s="10"/>
      <c r="N891" s="11"/>
      <c r="O891" s="10"/>
      <c r="P891" s="11"/>
      <c r="Q891" s="11"/>
      <c r="R891" s="12"/>
    </row>
    <row r="892" spans="1:18" x14ac:dyDescent="0.25">
      <c r="A892" s="8"/>
      <c r="B892" s="9"/>
      <c r="C892" s="10"/>
      <c r="D892" s="10"/>
      <c r="E892" s="9"/>
      <c r="F892" s="11"/>
      <c r="G892" s="9"/>
      <c r="H892" s="10"/>
      <c r="I892" s="10"/>
      <c r="J892" s="11"/>
      <c r="K892" s="11"/>
      <c r="L892" s="11"/>
      <c r="M892" s="10"/>
      <c r="N892" s="11"/>
      <c r="O892" s="10"/>
      <c r="P892" s="11"/>
      <c r="Q892" s="11"/>
      <c r="R892" s="12"/>
    </row>
    <row r="893" spans="1:18" x14ac:dyDescent="0.25">
      <c r="A893" s="8"/>
      <c r="B893" s="9"/>
      <c r="C893" s="10"/>
      <c r="D893" s="10"/>
      <c r="E893" s="9"/>
      <c r="F893" s="11"/>
      <c r="G893" s="9"/>
      <c r="H893" s="10"/>
      <c r="I893" s="10"/>
      <c r="J893" s="11"/>
      <c r="K893" s="11"/>
      <c r="L893" s="11"/>
      <c r="M893" s="10"/>
      <c r="N893" s="11"/>
      <c r="O893" s="10"/>
      <c r="P893" s="11"/>
      <c r="Q893" s="11"/>
      <c r="R893" s="12"/>
    </row>
    <row r="894" spans="1:18" x14ac:dyDescent="0.25">
      <c r="A894" s="8"/>
      <c r="B894" s="9"/>
      <c r="C894" s="10"/>
      <c r="D894" s="10"/>
      <c r="E894" s="9"/>
      <c r="F894" s="11"/>
      <c r="G894" s="9"/>
      <c r="H894" s="10"/>
      <c r="I894" s="10"/>
      <c r="J894" s="11"/>
      <c r="K894" s="11"/>
      <c r="L894" s="11"/>
      <c r="M894" s="10"/>
      <c r="N894" s="11"/>
      <c r="O894" s="10"/>
      <c r="P894" s="11"/>
      <c r="Q894" s="11"/>
      <c r="R894" s="12"/>
    </row>
    <row r="895" spans="1:18" x14ac:dyDescent="0.25">
      <c r="A895" s="8"/>
      <c r="B895" s="9"/>
      <c r="C895" s="10"/>
      <c r="D895" s="10"/>
      <c r="E895" s="9"/>
      <c r="F895" s="11"/>
      <c r="G895" s="9"/>
      <c r="H895" s="10"/>
      <c r="I895" s="10"/>
      <c r="J895" s="11"/>
      <c r="K895" s="11"/>
      <c r="L895" s="11"/>
      <c r="M895" s="10"/>
      <c r="N895" s="11"/>
      <c r="O895" s="10"/>
      <c r="P895" s="11"/>
      <c r="Q895" s="11"/>
      <c r="R895" s="12"/>
    </row>
    <row r="896" spans="1:18" x14ac:dyDescent="0.25">
      <c r="A896" s="8"/>
      <c r="B896" s="9"/>
      <c r="C896" s="10"/>
      <c r="D896" s="10"/>
      <c r="E896" s="9"/>
      <c r="F896" s="11"/>
      <c r="G896" s="9"/>
      <c r="H896" s="10"/>
      <c r="I896" s="10"/>
      <c r="J896" s="11"/>
      <c r="K896" s="11"/>
      <c r="L896" s="11"/>
      <c r="M896" s="10"/>
      <c r="N896" s="11"/>
      <c r="O896" s="10"/>
      <c r="P896" s="11"/>
      <c r="Q896" s="11"/>
      <c r="R896" s="12"/>
    </row>
    <row r="897" spans="1:18" x14ac:dyDescent="0.25">
      <c r="A897" s="8"/>
      <c r="B897" s="9"/>
      <c r="C897" s="10"/>
      <c r="D897" s="10"/>
      <c r="E897" s="9"/>
      <c r="F897" s="11"/>
      <c r="G897" s="9"/>
      <c r="H897" s="10"/>
      <c r="I897" s="10"/>
      <c r="J897" s="11"/>
      <c r="K897" s="11"/>
      <c r="L897" s="11"/>
      <c r="M897" s="10"/>
      <c r="N897" s="11"/>
      <c r="O897" s="10"/>
      <c r="P897" s="11"/>
      <c r="Q897" s="11"/>
      <c r="R897" s="12"/>
    </row>
    <row r="898" spans="1:18" x14ac:dyDescent="0.25">
      <c r="A898" s="8"/>
      <c r="B898" s="9"/>
      <c r="C898" s="10"/>
      <c r="D898" s="10"/>
      <c r="E898" s="9"/>
      <c r="F898" s="11"/>
      <c r="G898" s="9"/>
      <c r="H898" s="10"/>
      <c r="I898" s="10"/>
      <c r="J898" s="11"/>
      <c r="K898" s="11"/>
      <c r="L898" s="11"/>
      <c r="M898" s="10"/>
      <c r="N898" s="11"/>
      <c r="O898" s="10"/>
      <c r="P898" s="11"/>
      <c r="Q898" s="11"/>
      <c r="R898" s="12"/>
    </row>
    <row r="899" spans="1:18" x14ac:dyDescent="0.25">
      <c r="A899" s="8"/>
      <c r="B899" s="9"/>
      <c r="C899" s="10"/>
      <c r="D899" s="10"/>
      <c r="E899" s="9"/>
      <c r="F899" s="11"/>
      <c r="G899" s="9"/>
      <c r="H899" s="10"/>
      <c r="I899" s="10"/>
      <c r="J899" s="11"/>
      <c r="K899" s="11"/>
      <c r="L899" s="11"/>
      <c r="M899" s="10"/>
      <c r="N899" s="11"/>
      <c r="O899" s="10"/>
      <c r="P899" s="11"/>
      <c r="Q899" s="11"/>
      <c r="R899" s="12"/>
    </row>
    <row r="900" spans="1:18" x14ac:dyDescent="0.25">
      <c r="A900" s="8"/>
      <c r="B900" s="9"/>
      <c r="C900" s="10"/>
      <c r="D900" s="10"/>
      <c r="E900" s="9"/>
      <c r="F900" s="11"/>
      <c r="G900" s="9"/>
      <c r="H900" s="10"/>
      <c r="I900" s="10"/>
      <c r="J900" s="11"/>
      <c r="K900" s="11"/>
      <c r="L900" s="11"/>
      <c r="M900" s="10"/>
      <c r="N900" s="11"/>
      <c r="O900" s="10"/>
      <c r="P900" s="11"/>
      <c r="Q900" s="11"/>
      <c r="R900" s="12"/>
    </row>
    <row r="901" spans="1:18" x14ac:dyDescent="0.25">
      <c r="A901" s="8"/>
      <c r="B901" s="9"/>
      <c r="C901" s="10"/>
      <c r="D901" s="10"/>
      <c r="E901" s="9"/>
      <c r="F901" s="11"/>
      <c r="G901" s="9"/>
      <c r="H901" s="10"/>
      <c r="I901" s="10"/>
      <c r="J901" s="11"/>
      <c r="K901" s="11"/>
      <c r="L901" s="11"/>
      <c r="M901" s="10"/>
      <c r="N901" s="11"/>
      <c r="O901" s="10"/>
      <c r="P901" s="11"/>
      <c r="Q901" s="11"/>
      <c r="R901" s="12"/>
    </row>
    <row r="902" spans="1:18" x14ac:dyDescent="0.25">
      <c r="A902" s="8"/>
      <c r="B902" s="9"/>
      <c r="C902" s="10"/>
      <c r="D902" s="10"/>
      <c r="E902" s="9"/>
      <c r="F902" s="11"/>
      <c r="G902" s="9"/>
      <c r="H902" s="10"/>
      <c r="I902" s="10"/>
      <c r="J902" s="11"/>
      <c r="K902" s="11"/>
      <c r="L902" s="11"/>
      <c r="M902" s="10"/>
      <c r="N902" s="11"/>
      <c r="O902" s="10"/>
      <c r="P902" s="11"/>
      <c r="Q902" s="11"/>
      <c r="R902" s="12"/>
    </row>
    <row r="903" spans="1:18" x14ac:dyDescent="0.25">
      <c r="A903" s="8"/>
      <c r="B903" s="9"/>
      <c r="C903" s="10"/>
      <c r="D903" s="10"/>
      <c r="E903" s="9"/>
      <c r="F903" s="11"/>
      <c r="G903" s="9"/>
      <c r="H903" s="10"/>
      <c r="I903" s="10"/>
      <c r="J903" s="11"/>
      <c r="K903" s="11"/>
      <c r="L903" s="11"/>
      <c r="M903" s="10"/>
      <c r="N903" s="11"/>
      <c r="O903" s="10"/>
      <c r="P903" s="11"/>
      <c r="Q903" s="11"/>
      <c r="R903" s="12"/>
    </row>
    <row r="904" spans="1:18" x14ac:dyDescent="0.25">
      <c r="A904" s="8"/>
      <c r="B904" s="9"/>
      <c r="C904" s="10"/>
      <c r="D904" s="10"/>
      <c r="E904" s="9"/>
      <c r="F904" s="11"/>
      <c r="G904" s="9"/>
      <c r="H904" s="10"/>
      <c r="I904" s="10"/>
      <c r="J904" s="11"/>
      <c r="K904" s="11"/>
      <c r="L904" s="11"/>
      <c r="M904" s="10"/>
      <c r="N904" s="11"/>
      <c r="O904" s="10"/>
      <c r="P904" s="11"/>
      <c r="Q904" s="11"/>
      <c r="R904" s="12"/>
    </row>
    <row r="905" spans="1:18" x14ac:dyDescent="0.25">
      <c r="A905" s="8"/>
      <c r="B905" s="9"/>
      <c r="C905" s="10"/>
      <c r="D905" s="10"/>
      <c r="E905" s="9"/>
      <c r="F905" s="11"/>
      <c r="G905" s="9"/>
      <c r="H905" s="10"/>
      <c r="I905" s="10"/>
      <c r="J905" s="11"/>
      <c r="K905" s="11"/>
      <c r="L905" s="11"/>
      <c r="M905" s="10"/>
      <c r="N905" s="11"/>
      <c r="O905" s="10"/>
      <c r="P905" s="11"/>
      <c r="Q905" s="11"/>
      <c r="R905" s="12"/>
    </row>
    <row r="906" spans="1:18" x14ac:dyDescent="0.25">
      <c r="A906" s="8"/>
      <c r="B906" s="9"/>
      <c r="C906" s="10"/>
      <c r="D906" s="10"/>
      <c r="E906" s="9"/>
      <c r="F906" s="11"/>
      <c r="G906" s="9"/>
      <c r="H906" s="10"/>
      <c r="I906" s="10"/>
      <c r="J906" s="11"/>
      <c r="K906" s="11"/>
      <c r="L906" s="11"/>
      <c r="M906" s="10"/>
      <c r="N906" s="11"/>
      <c r="O906" s="10"/>
      <c r="P906" s="11"/>
      <c r="Q906" s="11"/>
      <c r="R906" s="12"/>
    </row>
    <row r="907" spans="1:18" x14ac:dyDescent="0.25">
      <c r="A907" s="8"/>
      <c r="B907" s="9"/>
      <c r="C907" s="10"/>
      <c r="D907" s="10"/>
      <c r="E907" s="9"/>
      <c r="F907" s="11"/>
      <c r="G907" s="9"/>
      <c r="H907" s="10"/>
      <c r="I907" s="10"/>
      <c r="J907" s="11"/>
      <c r="K907" s="11"/>
      <c r="L907" s="11"/>
      <c r="M907" s="10"/>
      <c r="N907" s="11"/>
      <c r="O907" s="10"/>
      <c r="P907" s="11"/>
      <c r="Q907" s="11"/>
      <c r="R907" s="12"/>
    </row>
    <row r="908" spans="1:18" x14ac:dyDescent="0.25">
      <c r="A908" s="8"/>
      <c r="B908" s="9"/>
      <c r="C908" s="10"/>
      <c r="D908" s="10"/>
      <c r="E908" s="9"/>
      <c r="F908" s="11"/>
      <c r="G908" s="9"/>
      <c r="H908" s="10"/>
      <c r="I908" s="10"/>
      <c r="J908" s="11"/>
      <c r="K908" s="11"/>
      <c r="L908" s="11"/>
      <c r="M908" s="10"/>
      <c r="N908" s="11"/>
      <c r="O908" s="10"/>
      <c r="P908" s="11"/>
      <c r="Q908" s="11"/>
      <c r="R908" s="12"/>
    </row>
    <row r="909" spans="1:18" x14ac:dyDescent="0.25">
      <c r="A909" s="8"/>
      <c r="B909" s="9"/>
      <c r="C909" s="10"/>
      <c r="D909" s="10"/>
      <c r="E909" s="9"/>
      <c r="F909" s="11"/>
      <c r="G909" s="9"/>
      <c r="H909" s="10"/>
      <c r="I909" s="10"/>
      <c r="J909" s="11"/>
      <c r="K909" s="11"/>
      <c r="L909" s="11"/>
      <c r="M909" s="10"/>
      <c r="N909" s="11"/>
      <c r="O909" s="10"/>
      <c r="P909" s="11"/>
      <c r="Q909" s="11"/>
      <c r="R909" s="12"/>
    </row>
    <row r="910" spans="1:18" x14ac:dyDescent="0.25">
      <c r="A910" s="8"/>
      <c r="B910" s="9"/>
      <c r="C910" s="10"/>
      <c r="D910" s="10"/>
      <c r="E910" s="9"/>
      <c r="F910" s="11"/>
      <c r="G910" s="9"/>
      <c r="H910" s="10"/>
      <c r="I910" s="10"/>
      <c r="J910" s="11"/>
      <c r="K910" s="11"/>
      <c r="L910" s="11"/>
      <c r="M910" s="10"/>
      <c r="N910" s="11"/>
      <c r="O910" s="10"/>
      <c r="P910" s="11"/>
      <c r="Q910" s="11"/>
      <c r="R910" s="12"/>
    </row>
    <row r="911" spans="1:18" x14ac:dyDescent="0.25">
      <c r="A911" s="8"/>
      <c r="B911" s="9"/>
      <c r="C911" s="10"/>
      <c r="D911" s="10"/>
      <c r="E911" s="9"/>
      <c r="F911" s="11"/>
      <c r="G911" s="9"/>
      <c r="H911" s="10"/>
      <c r="I911" s="10"/>
      <c r="J911" s="11"/>
      <c r="K911" s="11"/>
      <c r="L911" s="11"/>
      <c r="M911" s="10"/>
      <c r="N911" s="11"/>
      <c r="O911" s="10"/>
      <c r="P911" s="11"/>
      <c r="Q911" s="11"/>
      <c r="R911" s="12"/>
    </row>
    <row r="912" spans="1:18" x14ac:dyDescent="0.25">
      <c r="A912" s="8"/>
      <c r="B912" s="9"/>
      <c r="C912" s="10"/>
      <c r="D912" s="10"/>
      <c r="E912" s="9"/>
      <c r="F912" s="11"/>
      <c r="G912" s="9"/>
      <c r="H912" s="10"/>
      <c r="I912" s="10"/>
      <c r="J912" s="11"/>
      <c r="K912" s="11"/>
      <c r="L912" s="11"/>
      <c r="M912" s="10"/>
      <c r="N912" s="11"/>
      <c r="O912" s="10"/>
      <c r="P912" s="11"/>
      <c r="Q912" s="11"/>
      <c r="R912" s="12"/>
    </row>
    <row r="913" spans="1:18" x14ac:dyDescent="0.25">
      <c r="A913" s="8"/>
      <c r="B913" s="9"/>
      <c r="C913" s="10"/>
      <c r="D913" s="10"/>
      <c r="E913" s="9"/>
      <c r="F913" s="11"/>
      <c r="G913" s="9"/>
      <c r="H913" s="10"/>
      <c r="I913" s="10"/>
      <c r="J913" s="11"/>
      <c r="K913" s="11"/>
      <c r="L913" s="11"/>
      <c r="M913" s="10"/>
      <c r="N913" s="11"/>
      <c r="O913" s="10"/>
      <c r="P913" s="11"/>
      <c r="Q913" s="11"/>
      <c r="R913" s="12"/>
    </row>
    <row r="914" spans="1:18" x14ac:dyDescent="0.25">
      <c r="A914" s="8"/>
      <c r="B914" s="9"/>
      <c r="C914" s="10"/>
      <c r="D914" s="10"/>
      <c r="E914" s="9"/>
      <c r="F914" s="11"/>
      <c r="G914" s="9"/>
      <c r="H914" s="10"/>
      <c r="I914" s="10"/>
      <c r="J914" s="11"/>
      <c r="K914" s="11"/>
      <c r="L914" s="11"/>
      <c r="M914" s="10"/>
      <c r="N914" s="11"/>
      <c r="O914" s="10"/>
      <c r="P914" s="11"/>
      <c r="Q914" s="11"/>
      <c r="R914" s="12"/>
    </row>
    <row r="915" spans="1:18" x14ac:dyDescent="0.25">
      <c r="A915" s="8"/>
      <c r="B915" s="9"/>
      <c r="C915" s="10"/>
      <c r="D915" s="10"/>
      <c r="E915" s="9"/>
      <c r="F915" s="11"/>
      <c r="G915" s="9"/>
      <c r="H915" s="10"/>
      <c r="I915" s="10"/>
      <c r="J915" s="11"/>
      <c r="K915" s="11"/>
      <c r="L915" s="11"/>
      <c r="M915" s="10"/>
      <c r="N915" s="11"/>
      <c r="O915" s="10"/>
      <c r="P915" s="11"/>
      <c r="Q915" s="11"/>
      <c r="R915" s="12"/>
    </row>
    <row r="916" spans="1:18" x14ac:dyDescent="0.25">
      <c r="A916" s="8"/>
      <c r="B916" s="9"/>
      <c r="C916" s="10"/>
      <c r="D916" s="10"/>
      <c r="E916" s="9"/>
      <c r="F916" s="11"/>
      <c r="G916" s="9"/>
      <c r="H916" s="10"/>
      <c r="I916" s="10"/>
      <c r="J916" s="11"/>
      <c r="K916" s="11"/>
      <c r="L916" s="11"/>
      <c r="M916" s="10"/>
      <c r="N916" s="11"/>
      <c r="O916" s="10"/>
      <c r="P916" s="11"/>
      <c r="Q916" s="11"/>
      <c r="R916" s="12"/>
    </row>
    <row r="917" spans="1:18" x14ac:dyDescent="0.25">
      <c r="A917" s="8"/>
      <c r="B917" s="9"/>
      <c r="C917" s="10"/>
      <c r="D917" s="10"/>
      <c r="E917" s="9"/>
      <c r="F917" s="11"/>
      <c r="G917" s="9"/>
      <c r="H917" s="10"/>
      <c r="I917" s="10"/>
      <c r="J917" s="11"/>
      <c r="K917" s="11"/>
      <c r="L917" s="11"/>
      <c r="M917" s="10"/>
      <c r="N917" s="11"/>
      <c r="O917" s="10"/>
      <c r="P917" s="11"/>
      <c r="Q917" s="11"/>
      <c r="R917" s="12"/>
    </row>
    <row r="918" spans="1:18" x14ac:dyDescent="0.25">
      <c r="A918" s="8"/>
      <c r="B918" s="9"/>
      <c r="C918" s="10"/>
      <c r="D918" s="10"/>
      <c r="E918" s="9"/>
      <c r="F918" s="11"/>
      <c r="G918" s="9"/>
      <c r="H918" s="10"/>
      <c r="I918" s="10"/>
      <c r="J918" s="11"/>
      <c r="K918" s="11"/>
      <c r="L918" s="11"/>
      <c r="M918" s="10"/>
      <c r="N918" s="11"/>
      <c r="O918" s="10"/>
      <c r="P918" s="11"/>
      <c r="Q918" s="11"/>
      <c r="R918" s="12"/>
    </row>
    <row r="919" spans="1:18" x14ac:dyDescent="0.25">
      <c r="A919" s="8"/>
      <c r="B919" s="9"/>
      <c r="C919" s="10"/>
      <c r="D919" s="10"/>
      <c r="E919" s="9"/>
      <c r="F919" s="11"/>
      <c r="G919" s="9"/>
      <c r="H919" s="10"/>
      <c r="I919" s="10"/>
      <c r="J919" s="11"/>
      <c r="K919" s="11"/>
      <c r="L919" s="11"/>
      <c r="M919" s="10"/>
      <c r="N919" s="11"/>
      <c r="O919" s="10"/>
      <c r="P919" s="11"/>
      <c r="Q919" s="11"/>
      <c r="R919" s="12"/>
    </row>
    <row r="920" spans="1:18" x14ac:dyDescent="0.25">
      <c r="A920" s="8"/>
      <c r="B920" s="9"/>
      <c r="C920" s="10"/>
      <c r="D920" s="10"/>
      <c r="E920" s="9"/>
      <c r="F920" s="11"/>
      <c r="G920" s="9"/>
      <c r="H920" s="10"/>
      <c r="I920" s="10"/>
      <c r="J920" s="11"/>
      <c r="K920" s="11"/>
      <c r="L920" s="11"/>
      <c r="M920" s="10"/>
      <c r="N920" s="11"/>
      <c r="O920" s="10"/>
      <c r="P920" s="11"/>
      <c r="Q920" s="11"/>
      <c r="R920" s="12"/>
    </row>
    <row r="921" spans="1:18" x14ac:dyDescent="0.25">
      <c r="A921" s="8"/>
      <c r="B921" s="9"/>
      <c r="C921" s="10"/>
      <c r="D921" s="10"/>
      <c r="E921" s="9"/>
      <c r="F921" s="11"/>
      <c r="G921" s="9"/>
      <c r="H921" s="10"/>
      <c r="I921" s="10"/>
      <c r="J921" s="11"/>
      <c r="K921" s="11"/>
      <c r="L921" s="11"/>
      <c r="M921" s="10"/>
      <c r="N921" s="11"/>
      <c r="O921" s="10"/>
      <c r="P921" s="11"/>
      <c r="Q921" s="11"/>
      <c r="R921" s="12"/>
    </row>
    <row r="922" spans="1:18" x14ac:dyDescent="0.25">
      <c r="A922" s="8"/>
      <c r="B922" s="9"/>
      <c r="C922" s="10"/>
      <c r="D922" s="10"/>
      <c r="E922" s="9"/>
      <c r="F922" s="11"/>
      <c r="G922" s="9"/>
      <c r="H922" s="10"/>
      <c r="I922" s="10"/>
      <c r="J922" s="11"/>
      <c r="K922" s="11"/>
      <c r="L922" s="11"/>
      <c r="M922" s="10"/>
      <c r="N922" s="11"/>
      <c r="O922" s="10"/>
      <c r="P922" s="11"/>
      <c r="Q922" s="11"/>
      <c r="R922" s="12"/>
    </row>
    <row r="923" spans="1:18" x14ac:dyDescent="0.25">
      <c r="A923" s="8"/>
      <c r="B923" s="9"/>
      <c r="C923" s="10"/>
      <c r="D923" s="10"/>
      <c r="E923" s="9"/>
      <c r="F923" s="11"/>
      <c r="G923" s="9"/>
      <c r="H923" s="10"/>
      <c r="I923" s="10"/>
      <c r="J923" s="11"/>
      <c r="K923" s="11"/>
      <c r="L923" s="11"/>
      <c r="M923" s="10"/>
      <c r="N923" s="11"/>
      <c r="O923" s="10"/>
      <c r="P923" s="11"/>
      <c r="Q923" s="11"/>
      <c r="R923" s="12"/>
    </row>
    <row r="924" spans="1:18" x14ac:dyDescent="0.25">
      <c r="A924" s="8"/>
      <c r="B924" s="9"/>
      <c r="C924" s="10"/>
      <c r="D924" s="10"/>
      <c r="E924" s="9"/>
      <c r="F924" s="11"/>
      <c r="G924" s="9"/>
      <c r="H924" s="10"/>
      <c r="I924" s="10"/>
      <c r="J924" s="11"/>
      <c r="K924" s="11"/>
      <c r="L924" s="11"/>
      <c r="M924" s="10"/>
      <c r="N924" s="11"/>
      <c r="O924" s="10"/>
      <c r="P924" s="11"/>
      <c r="Q924" s="11"/>
      <c r="R924" s="12"/>
    </row>
    <row r="925" spans="1:18" x14ac:dyDescent="0.25">
      <c r="A925" s="8"/>
      <c r="B925" s="9"/>
      <c r="C925" s="10"/>
      <c r="D925" s="10"/>
      <c r="E925" s="9"/>
      <c r="F925" s="11"/>
      <c r="G925" s="9"/>
      <c r="H925" s="10"/>
      <c r="I925" s="10"/>
      <c r="J925" s="11"/>
      <c r="K925" s="11"/>
      <c r="L925" s="11"/>
      <c r="M925" s="10"/>
      <c r="N925" s="11"/>
      <c r="O925" s="10"/>
      <c r="P925" s="11"/>
      <c r="Q925" s="11"/>
      <c r="R925" s="12"/>
    </row>
    <row r="926" spans="1:18" x14ac:dyDescent="0.25">
      <c r="A926" s="8"/>
      <c r="B926" s="9"/>
      <c r="C926" s="10"/>
      <c r="D926" s="10"/>
      <c r="E926" s="9"/>
      <c r="F926" s="11"/>
      <c r="G926" s="9"/>
      <c r="H926" s="10"/>
      <c r="I926" s="10"/>
      <c r="J926" s="11"/>
      <c r="K926" s="11"/>
      <c r="L926" s="11"/>
      <c r="M926" s="10"/>
      <c r="N926" s="11"/>
      <c r="O926" s="10"/>
      <c r="P926" s="11"/>
      <c r="Q926" s="11"/>
      <c r="R926" s="12"/>
    </row>
    <row r="927" spans="1:18" x14ac:dyDescent="0.25">
      <c r="A927" s="8"/>
      <c r="B927" s="9"/>
      <c r="C927" s="10"/>
      <c r="D927" s="10"/>
      <c r="E927" s="9"/>
      <c r="F927" s="11"/>
      <c r="G927" s="9"/>
      <c r="H927" s="10"/>
      <c r="I927" s="10"/>
      <c r="J927" s="11"/>
      <c r="K927" s="11"/>
      <c r="L927" s="11"/>
      <c r="M927" s="10"/>
      <c r="N927" s="11"/>
      <c r="O927" s="10"/>
      <c r="P927" s="11"/>
      <c r="Q927" s="11"/>
      <c r="R927" s="12"/>
    </row>
    <row r="928" spans="1:18" x14ac:dyDescent="0.25">
      <c r="A928" s="8"/>
      <c r="B928" s="9"/>
      <c r="C928" s="10"/>
      <c r="D928" s="10"/>
      <c r="E928" s="9"/>
      <c r="F928" s="11"/>
      <c r="G928" s="9"/>
      <c r="H928" s="10"/>
      <c r="I928" s="10"/>
      <c r="J928" s="11"/>
      <c r="K928" s="11"/>
      <c r="L928" s="11"/>
      <c r="M928" s="10"/>
      <c r="N928" s="11"/>
      <c r="O928" s="10"/>
      <c r="P928" s="11"/>
      <c r="Q928" s="11"/>
      <c r="R928" s="12"/>
    </row>
    <row r="929" spans="1:18" x14ac:dyDescent="0.25">
      <c r="A929" s="8"/>
      <c r="B929" s="9"/>
      <c r="C929" s="10"/>
      <c r="D929" s="10"/>
      <c r="E929" s="9"/>
      <c r="F929" s="11"/>
      <c r="G929" s="9"/>
      <c r="H929" s="10"/>
      <c r="I929" s="10"/>
      <c r="J929" s="11"/>
      <c r="K929" s="11"/>
      <c r="L929" s="11"/>
      <c r="M929" s="10"/>
      <c r="N929" s="11"/>
      <c r="O929" s="10"/>
      <c r="P929" s="11"/>
      <c r="Q929" s="11"/>
      <c r="R929" s="12"/>
    </row>
    <row r="930" spans="1:18" x14ac:dyDescent="0.25">
      <c r="A930" s="8"/>
      <c r="B930" s="9"/>
      <c r="C930" s="10"/>
      <c r="D930" s="10"/>
      <c r="E930" s="9"/>
      <c r="F930" s="11"/>
      <c r="G930" s="9"/>
      <c r="H930" s="10"/>
      <c r="I930" s="10"/>
      <c r="J930" s="11"/>
      <c r="K930" s="11"/>
      <c r="L930" s="11"/>
      <c r="M930" s="10"/>
      <c r="N930" s="11"/>
      <c r="O930" s="10"/>
      <c r="P930" s="11"/>
      <c r="Q930" s="11"/>
      <c r="R930" s="12"/>
    </row>
    <row r="931" spans="1:18" x14ac:dyDescent="0.25">
      <c r="A931" s="8"/>
      <c r="B931" s="9"/>
      <c r="C931" s="10"/>
      <c r="D931" s="10"/>
      <c r="E931" s="9"/>
      <c r="F931" s="11"/>
      <c r="G931" s="9"/>
      <c r="H931" s="10"/>
      <c r="I931" s="10"/>
      <c r="J931" s="11"/>
      <c r="K931" s="11"/>
      <c r="L931" s="11"/>
      <c r="M931" s="10"/>
      <c r="N931" s="11"/>
      <c r="O931" s="10"/>
      <c r="P931" s="11"/>
      <c r="Q931" s="11"/>
      <c r="R931" s="12"/>
    </row>
    <row r="932" spans="1:18" x14ac:dyDescent="0.25">
      <c r="A932" s="8"/>
      <c r="B932" s="9"/>
      <c r="C932" s="10"/>
      <c r="D932" s="10"/>
      <c r="E932" s="9"/>
      <c r="F932" s="11"/>
      <c r="G932" s="9"/>
      <c r="H932" s="10"/>
      <c r="I932" s="10"/>
      <c r="J932" s="11"/>
      <c r="K932" s="11"/>
      <c r="L932" s="11"/>
      <c r="M932" s="10"/>
      <c r="N932" s="11"/>
      <c r="O932" s="10"/>
      <c r="P932" s="11"/>
      <c r="Q932" s="11"/>
      <c r="R932" s="12"/>
    </row>
    <row r="933" spans="1:18" x14ac:dyDescent="0.25">
      <c r="A933" s="8"/>
      <c r="B933" s="9"/>
      <c r="C933" s="10"/>
      <c r="D933" s="10"/>
      <c r="E933" s="9"/>
      <c r="F933" s="11"/>
      <c r="G933" s="9"/>
      <c r="H933" s="10"/>
      <c r="I933" s="10"/>
      <c r="J933" s="11"/>
      <c r="K933" s="11"/>
      <c r="L933" s="11"/>
      <c r="M933" s="10"/>
      <c r="N933" s="11"/>
      <c r="O933" s="10"/>
      <c r="P933" s="11"/>
      <c r="Q933" s="11"/>
      <c r="R933" s="12"/>
    </row>
    <row r="934" spans="1:18" x14ac:dyDescent="0.25">
      <c r="A934" s="8"/>
      <c r="B934" s="9"/>
      <c r="C934" s="10"/>
      <c r="D934" s="10"/>
      <c r="E934" s="9"/>
      <c r="F934" s="11"/>
      <c r="G934" s="9"/>
      <c r="H934" s="10"/>
      <c r="I934" s="10"/>
      <c r="J934" s="11"/>
      <c r="K934" s="11"/>
      <c r="L934" s="11"/>
      <c r="M934" s="10"/>
      <c r="N934" s="11"/>
      <c r="O934" s="10"/>
      <c r="P934" s="11"/>
      <c r="Q934" s="11"/>
      <c r="R934" s="12"/>
    </row>
    <row r="935" spans="1:18" x14ac:dyDescent="0.25">
      <c r="A935" s="8"/>
      <c r="B935" s="9"/>
      <c r="C935" s="10"/>
      <c r="D935" s="10"/>
      <c r="E935" s="9"/>
      <c r="F935" s="11"/>
      <c r="G935" s="9"/>
      <c r="H935" s="10"/>
      <c r="I935" s="10"/>
      <c r="J935" s="11"/>
      <c r="K935" s="11"/>
      <c r="L935" s="11"/>
      <c r="M935" s="10"/>
      <c r="N935" s="11"/>
      <c r="O935" s="10"/>
      <c r="P935" s="11"/>
      <c r="Q935" s="11"/>
      <c r="R935" s="12"/>
    </row>
    <row r="936" spans="1:18" x14ac:dyDescent="0.25">
      <c r="A936" s="8"/>
      <c r="B936" s="9"/>
      <c r="C936" s="10"/>
      <c r="D936" s="10"/>
      <c r="E936" s="9"/>
      <c r="F936" s="11"/>
      <c r="G936" s="9"/>
      <c r="H936" s="10"/>
      <c r="I936" s="10"/>
      <c r="J936" s="11"/>
      <c r="K936" s="11"/>
      <c r="L936" s="11"/>
      <c r="M936" s="10"/>
      <c r="N936" s="11"/>
      <c r="O936" s="10"/>
      <c r="P936" s="11"/>
      <c r="Q936" s="11"/>
      <c r="R936" s="12"/>
    </row>
    <row r="937" spans="1:18" x14ac:dyDescent="0.25">
      <c r="A937" s="8"/>
      <c r="B937" s="9"/>
      <c r="C937" s="10"/>
      <c r="D937" s="10"/>
      <c r="E937" s="9"/>
      <c r="F937" s="11"/>
      <c r="G937" s="9"/>
      <c r="H937" s="10"/>
      <c r="I937" s="10"/>
      <c r="J937" s="11"/>
      <c r="K937" s="11"/>
      <c r="L937" s="11"/>
      <c r="M937" s="10"/>
      <c r="N937" s="11"/>
      <c r="O937" s="10"/>
      <c r="P937" s="11"/>
      <c r="Q937" s="11"/>
      <c r="R937" s="12"/>
    </row>
    <row r="938" spans="1:18" x14ac:dyDescent="0.25">
      <c r="A938" s="8"/>
      <c r="B938" s="9"/>
      <c r="C938" s="10"/>
      <c r="D938" s="10"/>
      <c r="E938" s="9"/>
      <c r="F938" s="11"/>
      <c r="G938" s="9"/>
      <c r="H938" s="10"/>
      <c r="I938" s="10"/>
      <c r="J938" s="11"/>
      <c r="K938" s="11"/>
      <c r="L938" s="11"/>
      <c r="M938" s="10"/>
      <c r="N938" s="11"/>
      <c r="O938" s="10"/>
      <c r="P938" s="11"/>
      <c r="Q938" s="11"/>
      <c r="R938" s="12"/>
    </row>
    <row r="939" spans="1:18" x14ac:dyDescent="0.25">
      <c r="A939" s="8"/>
      <c r="B939" s="9"/>
      <c r="C939" s="10"/>
      <c r="D939" s="10"/>
      <c r="E939" s="9"/>
      <c r="F939" s="11"/>
      <c r="G939" s="9"/>
      <c r="H939" s="10"/>
      <c r="I939" s="10"/>
      <c r="J939" s="11"/>
      <c r="K939" s="11"/>
      <c r="L939" s="11"/>
      <c r="M939" s="10"/>
      <c r="N939" s="11"/>
      <c r="O939" s="10"/>
      <c r="P939" s="11"/>
      <c r="Q939" s="11"/>
      <c r="R939" s="12"/>
    </row>
    <row r="940" spans="1:18" x14ac:dyDescent="0.25">
      <c r="A940" s="8"/>
      <c r="B940" s="9"/>
      <c r="C940" s="10"/>
      <c r="D940" s="10"/>
      <c r="E940" s="9"/>
      <c r="F940" s="11"/>
      <c r="G940" s="9"/>
      <c r="H940" s="10"/>
      <c r="I940" s="10"/>
      <c r="J940" s="11"/>
      <c r="K940" s="11"/>
      <c r="L940" s="11"/>
      <c r="M940" s="10"/>
      <c r="N940" s="11"/>
      <c r="O940" s="10"/>
      <c r="P940" s="11"/>
      <c r="Q940" s="11"/>
      <c r="R940" s="12"/>
    </row>
    <row r="941" spans="1:18" x14ac:dyDescent="0.25">
      <c r="A941" s="8"/>
      <c r="B941" s="9"/>
      <c r="C941" s="10"/>
      <c r="D941" s="10"/>
      <c r="E941" s="9"/>
      <c r="F941" s="11"/>
      <c r="G941" s="9"/>
      <c r="H941" s="10"/>
      <c r="I941" s="10"/>
      <c r="J941" s="11"/>
      <c r="K941" s="11"/>
      <c r="L941" s="11"/>
      <c r="M941" s="10"/>
      <c r="N941" s="11"/>
      <c r="O941" s="10"/>
      <c r="P941" s="11"/>
      <c r="Q941" s="11"/>
      <c r="R941" s="12"/>
    </row>
    <row r="942" spans="1:18" x14ac:dyDescent="0.25">
      <c r="A942" s="8"/>
      <c r="B942" s="9"/>
      <c r="C942" s="10"/>
      <c r="D942" s="10"/>
      <c r="E942" s="9"/>
      <c r="F942" s="11"/>
      <c r="G942" s="9"/>
      <c r="H942" s="10"/>
      <c r="I942" s="10"/>
      <c r="J942" s="11"/>
      <c r="K942" s="11"/>
      <c r="L942" s="11"/>
      <c r="M942" s="10"/>
      <c r="N942" s="11"/>
      <c r="O942" s="10"/>
      <c r="P942" s="11"/>
      <c r="Q942" s="11"/>
      <c r="R942" s="12"/>
    </row>
    <row r="943" spans="1:18" x14ac:dyDescent="0.25">
      <c r="A943" s="8"/>
      <c r="B943" s="9"/>
      <c r="C943" s="10"/>
      <c r="D943" s="10"/>
      <c r="E943" s="9"/>
      <c r="F943" s="11"/>
      <c r="G943" s="9"/>
      <c r="H943" s="10"/>
      <c r="I943" s="10"/>
      <c r="J943" s="11"/>
      <c r="K943" s="11"/>
      <c r="L943" s="11"/>
      <c r="M943" s="10"/>
      <c r="N943" s="11"/>
      <c r="O943" s="10"/>
      <c r="P943" s="11"/>
      <c r="Q943" s="11"/>
      <c r="R943" s="12"/>
    </row>
    <row r="944" spans="1:18" x14ac:dyDescent="0.25">
      <c r="A944" s="8"/>
      <c r="B944" s="9"/>
      <c r="C944" s="10"/>
      <c r="D944" s="10"/>
      <c r="E944" s="9"/>
      <c r="F944" s="11"/>
      <c r="G944" s="9"/>
      <c r="H944" s="10"/>
      <c r="I944" s="10"/>
      <c r="J944" s="11"/>
      <c r="K944" s="11"/>
      <c r="L944" s="11"/>
      <c r="M944" s="10"/>
      <c r="N944" s="11"/>
      <c r="O944" s="10"/>
      <c r="P944" s="11"/>
      <c r="Q944" s="11"/>
      <c r="R944" s="12"/>
    </row>
    <row r="945" spans="1:18" x14ac:dyDescent="0.25">
      <c r="A945" s="8"/>
      <c r="B945" s="9"/>
      <c r="C945" s="10"/>
      <c r="D945" s="10"/>
      <c r="E945" s="9"/>
      <c r="F945" s="11"/>
      <c r="G945" s="9"/>
      <c r="H945" s="10"/>
      <c r="I945" s="10"/>
      <c r="J945" s="11"/>
      <c r="K945" s="11"/>
      <c r="L945" s="11"/>
      <c r="M945" s="10"/>
      <c r="N945" s="11"/>
      <c r="O945" s="10"/>
      <c r="P945" s="11"/>
      <c r="Q945" s="11"/>
      <c r="R945" s="12"/>
    </row>
    <row r="946" spans="1:18" x14ac:dyDescent="0.25">
      <c r="A946" s="8"/>
      <c r="B946" s="9"/>
      <c r="C946" s="10"/>
      <c r="D946" s="10"/>
      <c r="E946" s="9"/>
      <c r="F946" s="11"/>
      <c r="G946" s="9"/>
      <c r="H946" s="10"/>
      <c r="I946" s="10"/>
      <c r="J946" s="11"/>
      <c r="K946" s="11"/>
      <c r="L946" s="11"/>
      <c r="M946" s="10"/>
      <c r="N946" s="11"/>
      <c r="O946" s="10"/>
      <c r="P946" s="11"/>
      <c r="Q946" s="11"/>
      <c r="R946" s="12"/>
    </row>
    <row r="947" spans="1:18" x14ac:dyDescent="0.25">
      <c r="A947" s="8"/>
      <c r="B947" s="9"/>
      <c r="C947" s="10"/>
      <c r="D947" s="10"/>
      <c r="E947" s="9"/>
      <c r="F947" s="11"/>
      <c r="G947" s="9"/>
      <c r="H947" s="10"/>
      <c r="I947" s="10"/>
      <c r="J947" s="11"/>
      <c r="K947" s="11"/>
      <c r="L947" s="11"/>
      <c r="M947" s="10"/>
      <c r="N947" s="11"/>
      <c r="O947" s="10"/>
      <c r="P947" s="11"/>
      <c r="Q947" s="11"/>
      <c r="R947" s="12"/>
    </row>
    <row r="948" spans="1:18" x14ac:dyDescent="0.25">
      <c r="A948" s="8"/>
      <c r="B948" s="9"/>
      <c r="C948" s="10"/>
      <c r="D948" s="10"/>
      <c r="E948" s="9"/>
      <c r="F948" s="11"/>
      <c r="G948" s="9"/>
      <c r="H948" s="10"/>
      <c r="I948" s="10"/>
      <c r="J948" s="11"/>
      <c r="K948" s="11"/>
      <c r="L948" s="11"/>
      <c r="M948" s="10"/>
      <c r="N948" s="11"/>
      <c r="O948" s="10"/>
      <c r="P948" s="11"/>
      <c r="Q948" s="11"/>
      <c r="R948" s="12"/>
    </row>
    <row r="949" spans="1:18" x14ac:dyDescent="0.25">
      <c r="A949" s="8"/>
      <c r="B949" s="9"/>
      <c r="C949" s="10"/>
      <c r="D949" s="10"/>
      <c r="E949" s="9"/>
      <c r="F949" s="11"/>
      <c r="G949" s="9"/>
      <c r="H949" s="10"/>
      <c r="I949" s="10"/>
      <c r="J949" s="11"/>
      <c r="K949" s="11"/>
      <c r="L949" s="11"/>
      <c r="M949" s="10"/>
      <c r="N949" s="11"/>
      <c r="O949" s="10"/>
      <c r="P949" s="11"/>
      <c r="Q949" s="11"/>
      <c r="R949" s="12"/>
    </row>
    <row r="950" spans="1:18" x14ac:dyDescent="0.25">
      <c r="A950" s="8"/>
      <c r="B950" s="9"/>
      <c r="C950" s="10"/>
      <c r="D950" s="10"/>
      <c r="E950" s="9"/>
      <c r="F950" s="11"/>
      <c r="G950" s="9"/>
      <c r="H950" s="10"/>
      <c r="I950" s="10"/>
      <c r="J950" s="11"/>
      <c r="K950" s="11"/>
      <c r="L950" s="11"/>
      <c r="M950" s="10"/>
      <c r="N950" s="11"/>
      <c r="O950" s="10"/>
      <c r="P950" s="11"/>
      <c r="Q950" s="11"/>
      <c r="R950" s="12"/>
    </row>
    <row r="951" spans="1:18" x14ac:dyDescent="0.25">
      <c r="A951" s="8"/>
      <c r="B951" s="9"/>
      <c r="C951" s="10"/>
      <c r="D951" s="10"/>
      <c r="E951" s="9"/>
      <c r="F951" s="11"/>
      <c r="G951" s="9"/>
      <c r="H951" s="10"/>
      <c r="I951" s="10"/>
      <c r="J951" s="11"/>
      <c r="K951" s="11"/>
      <c r="L951" s="11"/>
      <c r="M951" s="10"/>
      <c r="N951" s="11"/>
      <c r="O951" s="10"/>
      <c r="P951" s="11"/>
      <c r="Q951" s="11"/>
      <c r="R951" s="12"/>
    </row>
    <row r="952" spans="1:18" x14ac:dyDescent="0.25">
      <c r="A952" s="8"/>
      <c r="B952" s="9"/>
      <c r="C952" s="10"/>
      <c r="D952" s="10"/>
      <c r="E952" s="9"/>
      <c r="F952" s="11"/>
      <c r="G952" s="9"/>
      <c r="H952" s="10"/>
      <c r="I952" s="10"/>
      <c r="J952" s="11"/>
      <c r="K952" s="11"/>
      <c r="L952" s="11"/>
      <c r="M952" s="10"/>
      <c r="N952" s="11"/>
      <c r="O952" s="10"/>
      <c r="P952" s="11"/>
      <c r="Q952" s="11"/>
      <c r="R952" s="12"/>
    </row>
    <row r="953" spans="1:18" x14ac:dyDescent="0.25">
      <c r="A953" s="8"/>
      <c r="B953" s="9"/>
      <c r="C953" s="10"/>
      <c r="D953" s="10"/>
      <c r="E953" s="9"/>
      <c r="F953" s="11"/>
      <c r="G953" s="9"/>
      <c r="H953" s="10"/>
      <c r="I953" s="10"/>
      <c r="J953" s="11"/>
      <c r="K953" s="11"/>
      <c r="L953" s="11"/>
      <c r="M953" s="10"/>
      <c r="N953" s="11"/>
      <c r="O953" s="10"/>
      <c r="P953" s="11"/>
      <c r="Q953" s="11"/>
      <c r="R953" s="12"/>
    </row>
    <row r="954" spans="1:18" x14ac:dyDescent="0.25">
      <c r="A954" s="8"/>
      <c r="B954" s="9"/>
      <c r="C954" s="10"/>
      <c r="D954" s="10"/>
      <c r="E954" s="9"/>
      <c r="F954" s="11"/>
      <c r="G954" s="9"/>
      <c r="H954" s="10"/>
      <c r="I954" s="10"/>
      <c r="J954" s="11"/>
      <c r="K954" s="11"/>
      <c r="L954" s="11"/>
      <c r="M954" s="10"/>
      <c r="N954" s="11"/>
      <c r="O954" s="10"/>
      <c r="P954" s="11"/>
      <c r="Q954" s="11"/>
      <c r="R954" s="12"/>
    </row>
    <row r="955" spans="1:18" x14ac:dyDescent="0.25">
      <c r="A955" s="8"/>
      <c r="B955" s="9"/>
      <c r="C955" s="10"/>
      <c r="D955" s="10"/>
      <c r="E955" s="9"/>
      <c r="F955" s="11"/>
      <c r="G955" s="9"/>
      <c r="H955" s="10"/>
      <c r="I955" s="10"/>
      <c r="J955" s="11"/>
      <c r="K955" s="11"/>
      <c r="L955" s="11"/>
      <c r="M955" s="10"/>
      <c r="N955" s="11"/>
      <c r="O955" s="10"/>
      <c r="P955" s="11"/>
      <c r="Q955" s="11"/>
      <c r="R955" s="12"/>
    </row>
    <row r="956" spans="1:18" x14ac:dyDescent="0.25">
      <c r="A956" s="8"/>
      <c r="B956" s="9"/>
      <c r="C956" s="10"/>
      <c r="D956" s="10"/>
      <c r="E956" s="9"/>
      <c r="F956" s="11"/>
      <c r="G956" s="9"/>
      <c r="H956" s="10"/>
      <c r="I956" s="10"/>
      <c r="J956" s="11"/>
      <c r="K956" s="11"/>
      <c r="L956" s="11"/>
      <c r="M956" s="10"/>
      <c r="N956" s="11"/>
      <c r="O956" s="10"/>
      <c r="P956" s="11"/>
      <c r="Q956" s="11"/>
      <c r="R956" s="12"/>
    </row>
    <row r="957" spans="1:18" x14ac:dyDescent="0.25">
      <c r="A957" s="8"/>
      <c r="B957" s="9"/>
      <c r="C957" s="10"/>
      <c r="D957" s="10"/>
      <c r="E957" s="9"/>
      <c r="F957" s="11"/>
      <c r="G957" s="9"/>
      <c r="H957" s="10"/>
      <c r="I957" s="10"/>
      <c r="J957" s="11"/>
      <c r="K957" s="11"/>
      <c r="L957" s="11"/>
      <c r="M957" s="10"/>
      <c r="N957" s="11"/>
      <c r="O957" s="10"/>
      <c r="P957" s="11"/>
      <c r="Q957" s="11"/>
      <c r="R957" s="12"/>
    </row>
    <row r="958" spans="1:18" x14ac:dyDescent="0.25">
      <c r="A958" s="8"/>
      <c r="B958" s="9"/>
      <c r="C958" s="10"/>
      <c r="D958" s="10"/>
      <c r="E958" s="9"/>
      <c r="F958" s="11"/>
      <c r="G958" s="9"/>
      <c r="H958" s="10"/>
      <c r="I958" s="10"/>
      <c r="J958" s="11"/>
      <c r="K958" s="11"/>
      <c r="L958" s="11"/>
      <c r="M958" s="10"/>
      <c r="N958" s="11"/>
      <c r="O958" s="10"/>
      <c r="P958" s="11"/>
      <c r="Q958" s="11"/>
      <c r="R958" s="12"/>
    </row>
    <row r="959" spans="1:18" x14ac:dyDescent="0.25">
      <c r="A959" s="8"/>
      <c r="B959" s="9"/>
      <c r="C959" s="10"/>
      <c r="D959" s="10"/>
      <c r="E959" s="9"/>
      <c r="F959" s="11"/>
      <c r="G959" s="9"/>
      <c r="H959" s="10"/>
      <c r="I959" s="10"/>
      <c r="J959" s="11"/>
      <c r="K959" s="11"/>
      <c r="L959" s="11"/>
      <c r="M959" s="10"/>
      <c r="N959" s="11"/>
      <c r="O959" s="10"/>
      <c r="P959" s="11"/>
      <c r="Q959" s="11"/>
      <c r="R959" s="12"/>
    </row>
    <row r="960" spans="1:18" x14ac:dyDescent="0.25">
      <c r="A960" s="8"/>
      <c r="B960" s="9"/>
      <c r="C960" s="10"/>
      <c r="D960" s="10"/>
      <c r="E960" s="9"/>
      <c r="F960" s="11"/>
      <c r="G960" s="9"/>
      <c r="H960" s="10"/>
      <c r="I960" s="10"/>
      <c r="J960" s="11"/>
      <c r="K960" s="11"/>
      <c r="L960" s="11"/>
      <c r="M960" s="10"/>
      <c r="N960" s="11"/>
      <c r="O960" s="10"/>
      <c r="P960" s="11"/>
      <c r="Q960" s="11"/>
      <c r="R960" s="12"/>
    </row>
    <row r="961" spans="1:18" x14ac:dyDescent="0.25">
      <c r="A961" s="8"/>
      <c r="B961" s="9"/>
      <c r="C961" s="10"/>
      <c r="D961" s="10"/>
      <c r="E961" s="9"/>
      <c r="F961" s="11"/>
      <c r="G961" s="9"/>
      <c r="H961" s="10"/>
      <c r="I961" s="10"/>
      <c r="J961" s="11"/>
      <c r="K961" s="11"/>
      <c r="L961" s="11"/>
      <c r="M961" s="10"/>
      <c r="N961" s="11"/>
      <c r="O961" s="10"/>
      <c r="P961" s="11"/>
      <c r="Q961" s="11"/>
      <c r="R961" s="12"/>
    </row>
    <row r="962" spans="1:18" x14ac:dyDescent="0.25">
      <c r="A962" s="8"/>
      <c r="B962" s="9"/>
      <c r="C962" s="10"/>
      <c r="D962" s="10"/>
      <c r="E962" s="9"/>
      <c r="F962" s="11"/>
      <c r="G962" s="9"/>
      <c r="H962" s="10"/>
      <c r="I962" s="10"/>
      <c r="J962" s="11"/>
      <c r="K962" s="11"/>
      <c r="L962" s="11"/>
      <c r="M962" s="10"/>
      <c r="N962" s="11"/>
      <c r="O962" s="10"/>
      <c r="P962" s="11"/>
      <c r="Q962" s="11"/>
      <c r="R962" s="12"/>
    </row>
    <row r="963" spans="1:18" x14ac:dyDescent="0.25">
      <c r="A963" s="8"/>
      <c r="B963" s="9"/>
      <c r="C963" s="10"/>
      <c r="D963" s="10"/>
      <c r="E963" s="9"/>
      <c r="F963" s="11"/>
      <c r="G963" s="9"/>
      <c r="H963" s="10"/>
      <c r="I963" s="10"/>
      <c r="J963" s="11"/>
      <c r="K963" s="11"/>
      <c r="L963" s="11"/>
      <c r="M963" s="10"/>
      <c r="N963" s="11"/>
      <c r="O963" s="10"/>
      <c r="P963" s="11"/>
      <c r="Q963" s="11"/>
      <c r="R963" s="12"/>
    </row>
    <row r="964" spans="1:18" x14ac:dyDescent="0.25">
      <c r="A964" s="8"/>
      <c r="B964" s="9"/>
      <c r="C964" s="10"/>
      <c r="D964" s="10"/>
      <c r="E964" s="9"/>
      <c r="F964" s="11"/>
      <c r="G964" s="9"/>
      <c r="H964" s="10"/>
      <c r="I964" s="10"/>
      <c r="J964" s="11"/>
      <c r="K964" s="11"/>
      <c r="L964" s="11"/>
      <c r="M964" s="10"/>
      <c r="N964" s="11"/>
      <c r="O964" s="10"/>
      <c r="P964" s="11"/>
      <c r="Q964" s="11"/>
      <c r="R964" s="12"/>
    </row>
    <row r="965" spans="1:18" x14ac:dyDescent="0.25">
      <c r="A965" s="8"/>
      <c r="B965" s="9"/>
      <c r="C965" s="10"/>
      <c r="D965" s="10"/>
      <c r="E965" s="9"/>
      <c r="F965" s="11"/>
      <c r="G965" s="9"/>
      <c r="H965" s="10"/>
      <c r="I965" s="10"/>
      <c r="J965" s="11"/>
      <c r="K965" s="11"/>
      <c r="L965" s="11"/>
      <c r="M965" s="10"/>
      <c r="N965" s="11"/>
      <c r="O965" s="10"/>
      <c r="P965" s="11"/>
      <c r="Q965" s="11"/>
      <c r="R965" s="12"/>
    </row>
    <row r="966" spans="1:18" x14ac:dyDescent="0.25">
      <c r="A966" s="8"/>
      <c r="B966" s="9"/>
      <c r="C966" s="10"/>
      <c r="D966" s="10"/>
      <c r="E966" s="9"/>
      <c r="F966" s="11"/>
      <c r="G966" s="9"/>
      <c r="H966" s="10"/>
      <c r="I966" s="10"/>
      <c r="J966" s="11"/>
      <c r="K966" s="11"/>
      <c r="L966" s="11"/>
      <c r="M966" s="10"/>
      <c r="N966" s="11"/>
      <c r="O966" s="10"/>
      <c r="P966" s="11"/>
      <c r="Q966" s="11"/>
      <c r="R966" s="12"/>
    </row>
    <row r="967" spans="1:18" x14ac:dyDescent="0.25">
      <c r="A967" s="8"/>
      <c r="B967" s="9"/>
      <c r="C967" s="10"/>
      <c r="D967" s="10"/>
      <c r="E967" s="9"/>
      <c r="F967" s="11"/>
      <c r="G967" s="9"/>
      <c r="H967" s="10"/>
      <c r="I967" s="10"/>
      <c r="J967" s="11"/>
      <c r="K967" s="11"/>
      <c r="L967" s="11"/>
      <c r="M967" s="10"/>
      <c r="N967" s="11"/>
      <c r="O967" s="10"/>
      <c r="P967" s="11"/>
      <c r="Q967" s="11"/>
      <c r="R967" s="12"/>
    </row>
    <row r="968" spans="1:18" x14ac:dyDescent="0.25">
      <c r="A968" s="8"/>
      <c r="B968" s="9"/>
      <c r="C968" s="10"/>
      <c r="D968" s="10"/>
      <c r="E968" s="9"/>
      <c r="F968" s="11"/>
      <c r="G968" s="9"/>
      <c r="H968" s="10"/>
      <c r="I968" s="10"/>
      <c r="J968" s="11"/>
      <c r="K968" s="11"/>
      <c r="L968" s="11"/>
      <c r="M968" s="10"/>
      <c r="N968" s="11"/>
      <c r="O968" s="10"/>
      <c r="P968" s="11"/>
      <c r="Q968" s="11"/>
      <c r="R968" s="12"/>
    </row>
    <row r="969" spans="1:18" x14ac:dyDescent="0.25">
      <c r="A969" s="8"/>
      <c r="B969" s="9"/>
      <c r="C969" s="10"/>
      <c r="D969" s="10"/>
      <c r="E969" s="9"/>
      <c r="F969" s="11"/>
      <c r="G969" s="9"/>
      <c r="H969" s="10"/>
      <c r="I969" s="10"/>
      <c r="J969" s="11"/>
      <c r="K969" s="11"/>
      <c r="L969" s="11"/>
      <c r="M969" s="10"/>
      <c r="N969" s="11"/>
      <c r="O969" s="10"/>
      <c r="P969" s="11"/>
      <c r="Q969" s="11"/>
      <c r="R969" s="12"/>
    </row>
    <row r="970" spans="1:18" x14ac:dyDescent="0.25">
      <c r="A970" s="8"/>
      <c r="B970" s="9"/>
      <c r="C970" s="10"/>
      <c r="D970" s="10"/>
      <c r="E970" s="9"/>
      <c r="F970" s="11"/>
      <c r="G970" s="9"/>
      <c r="H970" s="10"/>
      <c r="I970" s="10"/>
      <c r="J970" s="11"/>
      <c r="K970" s="11"/>
      <c r="L970" s="11"/>
      <c r="M970" s="10"/>
      <c r="N970" s="11"/>
      <c r="O970" s="10"/>
      <c r="P970" s="11"/>
      <c r="Q970" s="11"/>
      <c r="R970" s="12"/>
    </row>
    <row r="971" spans="1:18" x14ac:dyDescent="0.25">
      <c r="A971" s="8"/>
      <c r="B971" s="9"/>
      <c r="C971" s="10"/>
      <c r="D971" s="10"/>
      <c r="E971" s="9"/>
      <c r="F971" s="11"/>
      <c r="G971" s="9"/>
      <c r="H971" s="10"/>
      <c r="I971" s="10"/>
      <c r="J971" s="11"/>
      <c r="K971" s="11"/>
      <c r="L971" s="11"/>
      <c r="M971" s="10"/>
      <c r="N971" s="11"/>
      <c r="O971" s="10"/>
      <c r="P971" s="11"/>
      <c r="Q971" s="11"/>
      <c r="R971" s="12"/>
    </row>
    <row r="972" spans="1:18" x14ac:dyDescent="0.25">
      <c r="A972" s="8"/>
      <c r="B972" s="9"/>
      <c r="C972" s="10"/>
      <c r="D972" s="10"/>
      <c r="E972" s="9"/>
      <c r="F972" s="11"/>
      <c r="G972" s="9"/>
      <c r="H972" s="10"/>
      <c r="I972" s="10"/>
      <c r="J972" s="11"/>
      <c r="K972" s="11"/>
      <c r="L972" s="11"/>
      <c r="M972" s="10"/>
      <c r="N972" s="11"/>
      <c r="O972" s="10"/>
      <c r="P972" s="11"/>
      <c r="Q972" s="11"/>
      <c r="R972" s="12"/>
    </row>
    <row r="973" spans="1:18" x14ac:dyDescent="0.25">
      <c r="A973" s="8"/>
      <c r="B973" s="9"/>
      <c r="C973" s="10"/>
      <c r="D973" s="10"/>
      <c r="E973" s="9"/>
      <c r="F973" s="11"/>
      <c r="G973" s="9"/>
      <c r="H973" s="10"/>
      <c r="I973" s="10"/>
      <c r="J973" s="11"/>
      <c r="K973" s="11"/>
      <c r="L973" s="11"/>
      <c r="M973" s="10"/>
      <c r="N973" s="11"/>
      <c r="O973" s="10"/>
      <c r="P973" s="11"/>
      <c r="Q973" s="11"/>
      <c r="R973" s="12"/>
    </row>
    <row r="974" spans="1:18" x14ac:dyDescent="0.25">
      <c r="A974" s="8"/>
      <c r="B974" s="9"/>
      <c r="C974" s="10"/>
      <c r="D974" s="10"/>
      <c r="E974" s="9"/>
      <c r="F974" s="11"/>
      <c r="G974" s="9"/>
      <c r="H974" s="10"/>
      <c r="I974" s="10"/>
      <c r="J974" s="11"/>
      <c r="K974" s="11"/>
      <c r="L974" s="11"/>
      <c r="M974" s="10"/>
      <c r="N974" s="11"/>
      <c r="O974" s="10"/>
      <c r="P974" s="11"/>
      <c r="Q974" s="11"/>
      <c r="R974" s="12"/>
    </row>
    <row r="975" spans="1:18" x14ac:dyDescent="0.25">
      <c r="A975" s="8"/>
      <c r="B975" s="9"/>
      <c r="C975" s="10"/>
      <c r="D975" s="10"/>
      <c r="E975" s="9"/>
      <c r="F975" s="11"/>
      <c r="G975" s="9"/>
      <c r="H975" s="10"/>
      <c r="I975" s="10"/>
      <c r="J975" s="11"/>
      <c r="K975" s="11"/>
      <c r="L975" s="11"/>
      <c r="M975" s="10"/>
      <c r="N975" s="11"/>
      <c r="O975" s="10"/>
      <c r="P975" s="11"/>
      <c r="Q975" s="11"/>
      <c r="R975" s="12"/>
    </row>
    <row r="976" spans="1:18" x14ac:dyDescent="0.25">
      <c r="A976" s="8"/>
      <c r="B976" s="9"/>
      <c r="C976" s="10"/>
      <c r="D976" s="10"/>
      <c r="E976" s="9"/>
      <c r="F976" s="11"/>
      <c r="G976" s="9"/>
      <c r="H976" s="10"/>
      <c r="I976" s="10"/>
      <c r="J976" s="11"/>
      <c r="K976" s="11"/>
      <c r="L976" s="11"/>
      <c r="M976" s="10"/>
      <c r="N976" s="11"/>
      <c r="O976" s="10"/>
      <c r="P976" s="11"/>
      <c r="Q976" s="11"/>
      <c r="R976" s="12"/>
    </row>
    <row r="977" spans="1:18" x14ac:dyDescent="0.25">
      <c r="A977" s="8"/>
      <c r="B977" s="9"/>
      <c r="C977" s="10"/>
      <c r="D977" s="10"/>
      <c r="E977" s="9"/>
      <c r="F977" s="11"/>
      <c r="G977" s="9"/>
      <c r="H977" s="10"/>
      <c r="I977" s="10"/>
      <c r="J977" s="11"/>
      <c r="K977" s="11"/>
      <c r="L977" s="11"/>
      <c r="M977" s="10"/>
      <c r="N977" s="11"/>
      <c r="O977" s="10"/>
      <c r="P977" s="11"/>
      <c r="Q977" s="11"/>
      <c r="R977" s="12"/>
    </row>
    <row r="978" spans="1:18" x14ac:dyDescent="0.25">
      <c r="A978" s="8"/>
      <c r="B978" s="9"/>
      <c r="C978" s="10"/>
      <c r="D978" s="10"/>
      <c r="E978" s="9"/>
      <c r="F978" s="11"/>
      <c r="G978" s="9"/>
      <c r="H978" s="10"/>
      <c r="I978" s="10"/>
      <c r="J978" s="11"/>
      <c r="K978" s="11"/>
      <c r="L978" s="11"/>
      <c r="M978" s="10"/>
      <c r="N978" s="11"/>
      <c r="O978" s="10"/>
      <c r="P978" s="11"/>
      <c r="Q978" s="11"/>
      <c r="R978" s="12"/>
    </row>
    <row r="979" spans="1:18" x14ac:dyDescent="0.25">
      <c r="A979" s="8"/>
      <c r="B979" s="9"/>
      <c r="C979" s="10"/>
      <c r="D979" s="10"/>
      <c r="E979" s="9"/>
      <c r="F979" s="11"/>
      <c r="G979" s="9"/>
      <c r="H979" s="10"/>
      <c r="I979" s="10"/>
      <c r="J979" s="11"/>
      <c r="K979" s="11"/>
      <c r="L979" s="11"/>
      <c r="M979" s="10"/>
      <c r="N979" s="11"/>
      <c r="O979" s="10"/>
      <c r="P979" s="11"/>
      <c r="Q979" s="11"/>
      <c r="R979" s="12"/>
    </row>
    <row r="980" spans="1:18" x14ac:dyDescent="0.25">
      <c r="A980" s="8"/>
      <c r="B980" s="9"/>
      <c r="C980" s="10"/>
      <c r="D980" s="10"/>
      <c r="E980" s="9"/>
      <c r="F980" s="11"/>
      <c r="G980" s="9"/>
      <c r="H980" s="10"/>
      <c r="I980" s="10"/>
      <c r="J980" s="11"/>
      <c r="K980" s="11"/>
      <c r="L980" s="11"/>
      <c r="M980" s="10"/>
      <c r="N980" s="11"/>
      <c r="O980" s="10"/>
      <c r="P980" s="11"/>
      <c r="Q980" s="11"/>
      <c r="R980" s="12"/>
    </row>
    <row r="981" spans="1:18" x14ac:dyDescent="0.25">
      <c r="A981" s="8"/>
      <c r="B981" s="9"/>
      <c r="C981" s="10"/>
      <c r="D981" s="10"/>
      <c r="E981" s="9"/>
      <c r="F981" s="11"/>
      <c r="G981" s="9"/>
      <c r="H981" s="10"/>
      <c r="I981" s="10"/>
      <c r="J981" s="11"/>
      <c r="K981" s="11"/>
      <c r="L981" s="11"/>
      <c r="M981" s="10"/>
      <c r="N981" s="11"/>
      <c r="O981" s="10"/>
      <c r="P981" s="11"/>
      <c r="Q981" s="11"/>
      <c r="R981" s="12"/>
    </row>
    <row r="982" spans="1:18" x14ac:dyDescent="0.25">
      <c r="A982" s="8"/>
      <c r="B982" s="9"/>
      <c r="C982" s="10"/>
      <c r="D982" s="10"/>
      <c r="E982" s="9"/>
      <c r="F982" s="11"/>
      <c r="G982" s="9"/>
      <c r="H982" s="10"/>
      <c r="I982" s="10"/>
      <c r="J982" s="11"/>
      <c r="K982" s="11"/>
      <c r="L982" s="11"/>
      <c r="M982" s="10"/>
      <c r="N982" s="11"/>
      <c r="O982" s="10"/>
      <c r="P982" s="11"/>
      <c r="Q982" s="11"/>
      <c r="R982" s="12"/>
    </row>
    <row r="983" spans="1:18" x14ac:dyDescent="0.25">
      <c r="A983" s="8"/>
      <c r="B983" s="9"/>
      <c r="C983" s="10"/>
      <c r="D983" s="10"/>
      <c r="E983" s="9"/>
      <c r="F983" s="11"/>
      <c r="G983" s="9"/>
      <c r="H983" s="10"/>
      <c r="I983" s="10"/>
      <c r="J983" s="11"/>
      <c r="K983" s="11"/>
      <c r="L983" s="11"/>
      <c r="M983" s="10"/>
      <c r="N983" s="11"/>
      <c r="O983" s="10"/>
      <c r="P983" s="11"/>
      <c r="Q983" s="11"/>
      <c r="R983" s="12"/>
    </row>
    <row r="984" spans="1:18" x14ac:dyDescent="0.25">
      <c r="A984" s="8"/>
      <c r="B984" s="9"/>
      <c r="C984" s="10"/>
      <c r="D984" s="10"/>
      <c r="E984" s="9"/>
      <c r="F984" s="11"/>
      <c r="G984" s="9"/>
      <c r="H984" s="10"/>
      <c r="I984" s="10"/>
      <c r="J984" s="11"/>
      <c r="K984" s="11"/>
      <c r="L984" s="11"/>
      <c r="M984" s="10"/>
      <c r="N984" s="11"/>
      <c r="O984" s="10"/>
      <c r="P984" s="11"/>
      <c r="Q984" s="11"/>
      <c r="R984" s="12"/>
    </row>
    <row r="985" spans="1:18" x14ac:dyDescent="0.25">
      <c r="A985" s="8"/>
      <c r="B985" s="9"/>
      <c r="C985" s="10"/>
      <c r="D985" s="10"/>
      <c r="E985" s="9"/>
      <c r="F985" s="11"/>
      <c r="G985" s="9"/>
      <c r="H985" s="10"/>
      <c r="I985" s="10"/>
      <c r="J985" s="11"/>
      <c r="K985" s="11"/>
      <c r="L985" s="11"/>
      <c r="M985" s="10"/>
      <c r="N985" s="11"/>
      <c r="O985" s="10"/>
      <c r="P985" s="11"/>
      <c r="Q985" s="11"/>
      <c r="R985" s="12"/>
    </row>
    <row r="986" spans="1:18" x14ac:dyDescent="0.25">
      <c r="A986" s="8"/>
      <c r="B986" s="9"/>
      <c r="C986" s="10"/>
      <c r="D986" s="10"/>
      <c r="E986" s="9"/>
      <c r="F986" s="11"/>
      <c r="G986" s="9"/>
      <c r="H986" s="10"/>
      <c r="I986" s="10"/>
      <c r="J986" s="11"/>
      <c r="K986" s="11"/>
      <c r="L986" s="11"/>
      <c r="M986" s="10"/>
      <c r="N986" s="11"/>
      <c r="O986" s="10"/>
      <c r="P986" s="11"/>
      <c r="Q986" s="11"/>
      <c r="R986" s="12"/>
    </row>
    <row r="987" spans="1:18" x14ac:dyDescent="0.25">
      <c r="A987" s="8"/>
      <c r="B987" s="9"/>
      <c r="C987" s="10"/>
      <c r="D987" s="10"/>
      <c r="E987" s="9"/>
      <c r="F987" s="11"/>
      <c r="G987" s="9"/>
      <c r="H987" s="10"/>
      <c r="I987" s="10"/>
      <c r="J987" s="11"/>
      <c r="K987" s="11"/>
      <c r="L987" s="11"/>
      <c r="M987" s="10"/>
      <c r="N987" s="11"/>
      <c r="O987" s="10"/>
      <c r="P987" s="11"/>
      <c r="Q987" s="11"/>
      <c r="R987" s="12"/>
    </row>
    <row r="988" spans="1:18" x14ac:dyDescent="0.25">
      <c r="A988" s="8"/>
      <c r="B988" s="9"/>
      <c r="C988" s="10"/>
      <c r="D988" s="10"/>
      <c r="E988" s="9"/>
      <c r="F988" s="11"/>
      <c r="G988" s="9"/>
      <c r="H988" s="10"/>
      <c r="I988" s="10"/>
      <c r="J988" s="11"/>
      <c r="K988" s="11"/>
      <c r="L988" s="11"/>
      <c r="M988" s="10"/>
      <c r="N988" s="11"/>
      <c r="O988" s="10"/>
      <c r="P988" s="11"/>
      <c r="Q988" s="11"/>
      <c r="R988" s="12"/>
    </row>
    <row r="989" spans="1:18" x14ac:dyDescent="0.25">
      <c r="A989" s="8"/>
      <c r="B989" s="9"/>
      <c r="C989" s="10"/>
      <c r="D989" s="10"/>
      <c r="E989" s="9"/>
      <c r="F989" s="11"/>
      <c r="G989" s="9"/>
      <c r="H989" s="10"/>
      <c r="I989" s="10"/>
      <c r="J989" s="11"/>
      <c r="K989" s="11"/>
      <c r="L989" s="11"/>
      <c r="M989" s="10"/>
      <c r="N989" s="11"/>
      <c r="O989" s="10"/>
      <c r="P989" s="11"/>
      <c r="Q989" s="11"/>
      <c r="R989" s="12"/>
    </row>
    <row r="990" spans="1:18" x14ac:dyDescent="0.25">
      <c r="A990" s="8"/>
      <c r="B990" s="9"/>
      <c r="C990" s="10"/>
      <c r="D990" s="10"/>
      <c r="E990" s="9"/>
      <c r="F990" s="11"/>
      <c r="G990" s="9"/>
      <c r="H990" s="10"/>
      <c r="I990" s="10"/>
      <c r="J990" s="11"/>
      <c r="K990" s="11"/>
      <c r="L990" s="11"/>
      <c r="M990" s="10"/>
      <c r="N990" s="11"/>
      <c r="O990" s="10"/>
      <c r="P990" s="11"/>
      <c r="Q990" s="11"/>
      <c r="R990" s="12"/>
    </row>
    <row r="991" spans="1:18" x14ac:dyDescent="0.25">
      <c r="A991" s="8"/>
      <c r="B991" s="9"/>
      <c r="C991" s="10"/>
      <c r="D991" s="10"/>
      <c r="E991" s="9"/>
      <c r="F991" s="11"/>
      <c r="G991" s="9"/>
      <c r="H991" s="10"/>
      <c r="I991" s="10"/>
      <c r="J991" s="11"/>
      <c r="K991" s="11"/>
      <c r="L991" s="11"/>
      <c r="M991" s="10"/>
      <c r="N991" s="11"/>
      <c r="O991" s="10"/>
      <c r="P991" s="11"/>
      <c r="Q991" s="11"/>
      <c r="R991" s="12"/>
    </row>
    <row r="992" spans="1:18" x14ac:dyDescent="0.25">
      <c r="A992" s="8"/>
      <c r="B992" s="9"/>
      <c r="C992" s="10"/>
      <c r="D992" s="10"/>
      <c r="E992" s="9"/>
      <c r="F992" s="11"/>
      <c r="G992" s="9"/>
      <c r="H992" s="10"/>
      <c r="I992" s="10"/>
      <c r="J992" s="11"/>
      <c r="K992" s="11"/>
      <c r="L992" s="11"/>
      <c r="M992" s="10"/>
      <c r="N992" s="11"/>
      <c r="O992" s="10"/>
      <c r="P992" s="11"/>
      <c r="Q992" s="11"/>
      <c r="R992" s="12"/>
    </row>
    <row r="993" spans="1:18" x14ac:dyDescent="0.25">
      <c r="A993" s="8"/>
      <c r="B993" s="9"/>
      <c r="C993" s="10"/>
      <c r="D993" s="10"/>
      <c r="E993" s="9"/>
      <c r="F993" s="11"/>
      <c r="G993" s="9"/>
      <c r="H993" s="10"/>
      <c r="I993" s="10"/>
      <c r="J993" s="11"/>
      <c r="K993" s="11"/>
      <c r="L993" s="11"/>
      <c r="M993" s="10"/>
      <c r="N993" s="11"/>
      <c r="O993" s="10"/>
      <c r="P993" s="11"/>
      <c r="Q993" s="11"/>
      <c r="R993" s="12"/>
    </row>
    <row r="994" spans="1:18" x14ac:dyDescent="0.25">
      <c r="A994" s="8"/>
      <c r="B994" s="9"/>
      <c r="C994" s="10"/>
      <c r="D994" s="10"/>
      <c r="E994" s="9"/>
      <c r="F994" s="11"/>
      <c r="G994" s="9"/>
      <c r="H994" s="10"/>
      <c r="I994" s="10"/>
      <c r="J994" s="11"/>
      <c r="K994" s="11"/>
      <c r="L994" s="11"/>
      <c r="M994" s="10"/>
      <c r="N994" s="11"/>
      <c r="O994" s="10"/>
      <c r="P994" s="11"/>
      <c r="Q994" s="11"/>
      <c r="R994" s="12"/>
    </row>
    <row r="995" spans="1:18" x14ac:dyDescent="0.25">
      <c r="A995" s="8"/>
      <c r="B995" s="9"/>
      <c r="C995" s="10"/>
      <c r="D995" s="10"/>
      <c r="E995" s="9"/>
      <c r="F995" s="11"/>
      <c r="G995" s="9"/>
      <c r="H995" s="10"/>
      <c r="I995" s="10"/>
      <c r="J995" s="11"/>
      <c r="K995" s="11"/>
      <c r="L995" s="11"/>
      <c r="M995" s="10"/>
      <c r="N995" s="11"/>
      <c r="O995" s="10"/>
      <c r="P995" s="11"/>
      <c r="Q995" s="11"/>
      <c r="R995" s="12"/>
    </row>
    <row r="996" spans="1:18" x14ac:dyDescent="0.25">
      <c r="A996" s="8"/>
      <c r="B996" s="9"/>
      <c r="C996" s="10"/>
      <c r="D996" s="10"/>
      <c r="E996" s="9"/>
      <c r="F996" s="11"/>
      <c r="G996" s="9"/>
      <c r="H996" s="10"/>
      <c r="I996" s="10"/>
      <c r="J996" s="11"/>
      <c r="K996" s="11"/>
      <c r="L996" s="11"/>
      <c r="M996" s="10"/>
      <c r="N996" s="11"/>
      <c r="O996" s="10"/>
      <c r="P996" s="11"/>
      <c r="Q996" s="11"/>
      <c r="R996" s="12"/>
    </row>
    <row r="997" spans="1:18" x14ac:dyDescent="0.25">
      <c r="A997" s="8"/>
      <c r="B997" s="9"/>
      <c r="C997" s="10"/>
      <c r="D997" s="10"/>
      <c r="E997" s="9"/>
      <c r="F997" s="11"/>
      <c r="G997" s="9"/>
      <c r="H997" s="10"/>
      <c r="I997" s="10"/>
      <c r="J997" s="11"/>
      <c r="K997" s="11"/>
      <c r="L997" s="11"/>
      <c r="M997" s="10"/>
      <c r="N997" s="11"/>
      <c r="O997" s="10"/>
      <c r="P997" s="11"/>
      <c r="Q997" s="11"/>
      <c r="R997" s="12"/>
    </row>
    <row r="998" spans="1:18" x14ac:dyDescent="0.25">
      <c r="A998" s="8"/>
      <c r="B998" s="9"/>
      <c r="C998" s="10"/>
      <c r="D998" s="10"/>
      <c r="E998" s="9"/>
      <c r="F998" s="11"/>
      <c r="G998" s="9"/>
      <c r="H998" s="10"/>
      <c r="I998" s="10"/>
      <c r="J998" s="11"/>
      <c r="K998" s="11"/>
      <c r="L998" s="11"/>
      <c r="M998" s="10"/>
      <c r="N998" s="11"/>
      <c r="O998" s="10"/>
      <c r="P998" s="11"/>
      <c r="Q998" s="11"/>
      <c r="R998" s="12"/>
    </row>
    <row r="999" spans="1:18" x14ac:dyDescent="0.25">
      <c r="A999" s="8"/>
      <c r="B999" s="9"/>
      <c r="C999" s="10"/>
      <c r="D999" s="10"/>
      <c r="E999" s="9"/>
      <c r="F999" s="11"/>
      <c r="G999" s="9"/>
      <c r="H999" s="10"/>
      <c r="I999" s="10"/>
      <c r="J999" s="11"/>
      <c r="K999" s="11"/>
      <c r="L999" s="11"/>
      <c r="M999" s="10"/>
      <c r="N999" s="11"/>
      <c r="O999" s="10"/>
      <c r="P999" s="11"/>
      <c r="Q999" s="11"/>
      <c r="R999" s="12"/>
    </row>
    <row r="1000" spans="1:18" x14ac:dyDescent="0.25">
      <c r="A1000" s="8"/>
      <c r="B1000" s="9"/>
      <c r="C1000" s="10"/>
      <c r="D1000" s="10"/>
      <c r="E1000" s="9"/>
      <c r="F1000" s="11"/>
      <c r="G1000" s="9"/>
      <c r="H1000" s="10"/>
      <c r="I1000" s="10"/>
      <c r="J1000" s="11"/>
      <c r="K1000" s="11"/>
      <c r="L1000" s="11"/>
      <c r="M1000" s="10"/>
      <c r="N1000" s="11"/>
      <c r="O1000" s="10"/>
      <c r="P1000" s="11"/>
      <c r="Q1000" s="11"/>
      <c r="R1000" s="12"/>
    </row>
    <row r="1001" spans="1:18" x14ac:dyDescent="0.25">
      <c r="A1001" s="8"/>
      <c r="B1001" s="9"/>
      <c r="C1001" s="10"/>
      <c r="D1001" s="10"/>
      <c r="E1001" s="9"/>
      <c r="F1001" s="11"/>
      <c r="G1001" s="9"/>
      <c r="H1001" s="10"/>
      <c r="I1001" s="10"/>
      <c r="J1001" s="11"/>
      <c r="K1001" s="11"/>
      <c r="L1001" s="11"/>
      <c r="M1001" s="10"/>
      <c r="N1001" s="11"/>
      <c r="O1001" s="10"/>
      <c r="P1001" s="11"/>
      <c r="Q1001" s="11"/>
      <c r="R1001" s="12"/>
    </row>
    <row r="1002" spans="1:18" x14ac:dyDescent="0.25">
      <c r="A1002" s="8"/>
      <c r="B1002" s="9"/>
      <c r="C1002" s="10"/>
      <c r="D1002" s="10"/>
      <c r="E1002" s="9"/>
      <c r="F1002" s="11"/>
      <c r="G1002" s="9"/>
      <c r="H1002" s="10"/>
      <c r="I1002" s="10"/>
      <c r="J1002" s="11"/>
      <c r="K1002" s="11"/>
      <c r="L1002" s="11"/>
      <c r="M1002" s="10"/>
      <c r="N1002" s="11"/>
      <c r="O1002" s="10"/>
      <c r="P1002" s="11"/>
      <c r="Q1002" s="11"/>
      <c r="R1002" s="12"/>
    </row>
    <row r="1003" spans="1:18" x14ac:dyDescent="0.25">
      <c r="A1003" s="8"/>
      <c r="B1003" s="9"/>
      <c r="C1003" s="10"/>
      <c r="D1003" s="10"/>
      <c r="E1003" s="9"/>
      <c r="F1003" s="11"/>
      <c r="G1003" s="9"/>
      <c r="H1003" s="10"/>
      <c r="I1003" s="10"/>
      <c r="J1003" s="11"/>
      <c r="K1003" s="11"/>
      <c r="L1003" s="11"/>
      <c r="M1003" s="10"/>
      <c r="N1003" s="11"/>
      <c r="O1003" s="10"/>
      <c r="P1003" s="11"/>
      <c r="Q1003" s="11"/>
      <c r="R1003" s="12"/>
    </row>
    <row r="1004" spans="1:18" x14ac:dyDescent="0.25">
      <c r="A1004" s="8"/>
      <c r="B1004" s="9"/>
      <c r="C1004" s="10"/>
      <c r="D1004" s="10"/>
      <c r="E1004" s="9"/>
      <c r="F1004" s="11"/>
      <c r="G1004" s="9"/>
      <c r="H1004" s="10"/>
      <c r="I1004" s="10"/>
      <c r="J1004" s="11"/>
      <c r="K1004" s="11"/>
      <c r="L1004" s="11"/>
      <c r="M1004" s="10"/>
      <c r="N1004" s="11"/>
      <c r="O1004" s="10"/>
      <c r="P1004" s="11"/>
      <c r="Q1004" s="11"/>
      <c r="R1004" s="12"/>
    </row>
    <row r="1005" spans="1:18" x14ac:dyDescent="0.25">
      <c r="A1005" s="8"/>
      <c r="B1005" s="9"/>
      <c r="C1005" s="10"/>
      <c r="D1005" s="10"/>
      <c r="E1005" s="9"/>
      <c r="F1005" s="11"/>
      <c r="G1005" s="9"/>
      <c r="H1005" s="10"/>
      <c r="I1005" s="10"/>
      <c r="J1005" s="11"/>
      <c r="K1005" s="11"/>
      <c r="L1005" s="11"/>
      <c r="M1005" s="10"/>
      <c r="N1005" s="11"/>
      <c r="O1005" s="10"/>
      <c r="P1005" s="11"/>
      <c r="Q1005" s="11"/>
      <c r="R1005" s="12"/>
    </row>
    <row r="1006" spans="1:18" x14ac:dyDescent="0.25">
      <c r="A1006" s="8"/>
      <c r="B1006" s="9"/>
      <c r="C1006" s="10"/>
      <c r="D1006" s="10"/>
      <c r="E1006" s="9"/>
      <c r="F1006" s="11"/>
      <c r="G1006" s="9"/>
      <c r="H1006" s="10"/>
      <c r="I1006" s="10"/>
      <c r="J1006" s="11"/>
      <c r="K1006" s="11"/>
      <c r="L1006" s="11"/>
      <c r="M1006" s="10"/>
      <c r="N1006" s="11"/>
      <c r="O1006" s="10"/>
      <c r="P1006" s="11"/>
      <c r="Q1006" s="11"/>
      <c r="R1006" s="12"/>
    </row>
    <row r="1007" spans="1:18" x14ac:dyDescent="0.25">
      <c r="A1007" s="8"/>
      <c r="B1007" s="9"/>
      <c r="C1007" s="10"/>
      <c r="D1007" s="10"/>
      <c r="E1007" s="9"/>
      <c r="F1007" s="11"/>
      <c r="G1007" s="9"/>
      <c r="H1007" s="10"/>
      <c r="I1007" s="10"/>
      <c r="J1007" s="11"/>
      <c r="K1007" s="11"/>
      <c r="L1007" s="11"/>
      <c r="M1007" s="10"/>
      <c r="N1007" s="11"/>
      <c r="O1007" s="10"/>
      <c r="P1007" s="11"/>
      <c r="Q1007" s="11"/>
      <c r="R1007" s="12"/>
    </row>
    <row r="1008" spans="1:18" x14ac:dyDescent="0.25">
      <c r="A1008" s="8"/>
      <c r="B1008" s="9"/>
      <c r="C1008" s="10"/>
      <c r="D1008" s="10"/>
      <c r="E1008" s="9"/>
      <c r="F1008" s="11"/>
      <c r="G1008" s="9"/>
      <c r="H1008" s="10"/>
      <c r="I1008" s="10"/>
      <c r="J1008" s="11"/>
      <c r="K1008" s="11"/>
      <c r="L1008" s="11"/>
      <c r="M1008" s="10"/>
      <c r="N1008" s="11"/>
      <c r="O1008" s="10"/>
      <c r="P1008" s="11"/>
      <c r="Q1008" s="11"/>
      <c r="R1008" s="12"/>
    </row>
    <row r="1009" spans="1:18" x14ac:dyDescent="0.25">
      <c r="A1009" s="8"/>
      <c r="B1009" s="9"/>
      <c r="C1009" s="10"/>
      <c r="D1009" s="10"/>
      <c r="E1009" s="9"/>
      <c r="F1009" s="11"/>
      <c r="G1009" s="9"/>
      <c r="H1009" s="10"/>
      <c r="I1009" s="10"/>
      <c r="J1009" s="11"/>
      <c r="K1009" s="11"/>
      <c r="L1009" s="11"/>
      <c r="M1009" s="10"/>
      <c r="N1009" s="11"/>
      <c r="O1009" s="10"/>
      <c r="P1009" s="11"/>
      <c r="Q1009" s="11"/>
      <c r="R1009" s="12"/>
    </row>
    <row r="1010" spans="1:18" x14ac:dyDescent="0.25">
      <c r="A1010" s="8"/>
      <c r="B1010" s="9"/>
      <c r="C1010" s="10"/>
      <c r="D1010" s="10"/>
      <c r="E1010" s="9"/>
      <c r="F1010" s="11"/>
      <c r="G1010" s="9"/>
      <c r="H1010" s="10"/>
      <c r="I1010" s="10"/>
      <c r="J1010" s="11"/>
      <c r="K1010" s="11"/>
      <c r="L1010" s="11"/>
      <c r="M1010" s="10"/>
      <c r="N1010" s="11"/>
      <c r="O1010" s="10"/>
      <c r="P1010" s="11"/>
      <c r="Q1010" s="11"/>
      <c r="R1010" s="12"/>
    </row>
    <row r="1011" spans="1:18" x14ac:dyDescent="0.25">
      <c r="A1011" s="8"/>
      <c r="B1011" s="9"/>
      <c r="C1011" s="10"/>
      <c r="D1011" s="10"/>
      <c r="E1011" s="9"/>
      <c r="F1011" s="11"/>
      <c r="G1011" s="9"/>
      <c r="H1011" s="10"/>
      <c r="I1011" s="10"/>
      <c r="J1011" s="11"/>
      <c r="K1011" s="11"/>
      <c r="L1011" s="11"/>
      <c r="M1011" s="10"/>
      <c r="N1011" s="11"/>
      <c r="O1011" s="10"/>
      <c r="P1011" s="11"/>
      <c r="Q1011" s="11"/>
      <c r="R1011" s="12"/>
    </row>
    <row r="1012" spans="1:18" x14ac:dyDescent="0.25">
      <c r="A1012" s="8"/>
      <c r="B1012" s="9"/>
      <c r="C1012" s="10"/>
      <c r="D1012" s="10"/>
      <c r="E1012" s="9"/>
      <c r="F1012" s="11"/>
      <c r="G1012" s="9"/>
      <c r="H1012" s="10"/>
      <c r="I1012" s="10"/>
      <c r="J1012" s="11"/>
      <c r="K1012" s="11"/>
      <c r="L1012" s="11"/>
      <c r="M1012" s="10"/>
      <c r="N1012" s="11"/>
      <c r="O1012" s="10"/>
      <c r="P1012" s="11"/>
      <c r="Q1012" s="11"/>
      <c r="R1012" s="12"/>
    </row>
    <row r="1013" spans="1:18" x14ac:dyDescent="0.25">
      <c r="A1013" s="8"/>
      <c r="B1013" s="9"/>
      <c r="C1013" s="10"/>
      <c r="D1013" s="10"/>
      <c r="E1013" s="9"/>
      <c r="F1013" s="11"/>
      <c r="G1013" s="9"/>
      <c r="H1013" s="10"/>
      <c r="I1013" s="10"/>
      <c r="J1013" s="11"/>
      <c r="K1013" s="11"/>
      <c r="L1013" s="11"/>
      <c r="M1013" s="10"/>
      <c r="N1013" s="11"/>
      <c r="O1013" s="10"/>
      <c r="P1013" s="11"/>
      <c r="Q1013" s="11"/>
      <c r="R1013" s="12"/>
    </row>
    <row r="1014" spans="1:18" x14ac:dyDescent="0.25">
      <c r="A1014" s="8"/>
      <c r="B1014" s="9"/>
      <c r="C1014" s="10"/>
      <c r="D1014" s="10"/>
      <c r="E1014" s="9"/>
      <c r="F1014" s="11"/>
      <c r="G1014" s="9"/>
      <c r="H1014" s="10"/>
      <c r="I1014" s="10"/>
      <c r="J1014" s="11"/>
      <c r="K1014" s="11"/>
      <c r="L1014" s="11"/>
      <c r="M1014" s="10"/>
      <c r="N1014" s="11"/>
      <c r="O1014" s="10"/>
      <c r="P1014" s="11"/>
      <c r="Q1014" s="11"/>
      <c r="R1014" s="12"/>
    </row>
    <row r="1015" spans="1:18" x14ac:dyDescent="0.25">
      <c r="A1015" s="8"/>
      <c r="B1015" s="9"/>
      <c r="C1015" s="10"/>
      <c r="D1015" s="10"/>
      <c r="E1015" s="9"/>
      <c r="F1015" s="11"/>
      <c r="G1015" s="9"/>
      <c r="H1015" s="10"/>
      <c r="I1015" s="10"/>
      <c r="J1015" s="11"/>
      <c r="K1015" s="11"/>
      <c r="L1015" s="11"/>
      <c r="M1015" s="10"/>
      <c r="N1015" s="11"/>
      <c r="O1015" s="10"/>
      <c r="P1015" s="11"/>
      <c r="Q1015" s="11"/>
      <c r="R1015" s="12"/>
    </row>
    <row r="1016" spans="1:18" x14ac:dyDescent="0.25">
      <c r="A1016" s="8"/>
      <c r="B1016" s="9"/>
      <c r="C1016" s="10"/>
      <c r="D1016" s="10"/>
      <c r="E1016" s="9"/>
      <c r="F1016" s="11"/>
      <c r="G1016" s="9"/>
      <c r="H1016" s="10"/>
      <c r="I1016" s="10"/>
      <c r="J1016" s="11"/>
      <c r="K1016" s="11"/>
      <c r="L1016" s="11"/>
      <c r="M1016" s="10"/>
      <c r="N1016" s="11"/>
      <c r="O1016" s="10"/>
      <c r="P1016" s="11"/>
      <c r="Q1016" s="11"/>
      <c r="R1016" s="12"/>
    </row>
    <row r="1017" spans="1:18" x14ac:dyDescent="0.25">
      <c r="A1017" s="8"/>
      <c r="B1017" s="9"/>
      <c r="C1017" s="10"/>
      <c r="D1017" s="10"/>
      <c r="E1017" s="9"/>
      <c r="F1017" s="11"/>
      <c r="G1017" s="9"/>
      <c r="H1017" s="10"/>
      <c r="I1017" s="10"/>
      <c r="J1017" s="11"/>
      <c r="K1017" s="11"/>
      <c r="L1017" s="11"/>
      <c r="M1017" s="10"/>
      <c r="N1017" s="11"/>
      <c r="O1017" s="10"/>
      <c r="P1017" s="11"/>
      <c r="Q1017" s="11"/>
      <c r="R1017" s="12"/>
    </row>
    <row r="1018" spans="1:18" x14ac:dyDescent="0.25">
      <c r="A1018" s="8"/>
      <c r="B1018" s="9"/>
      <c r="C1018" s="10"/>
      <c r="D1018" s="10"/>
      <c r="E1018" s="9"/>
      <c r="F1018" s="11"/>
      <c r="G1018" s="9"/>
      <c r="H1018" s="10"/>
      <c r="I1018" s="10"/>
      <c r="J1018" s="11"/>
      <c r="K1018" s="11"/>
      <c r="L1018" s="11"/>
      <c r="M1018" s="10"/>
      <c r="N1018" s="11"/>
      <c r="O1018" s="10"/>
      <c r="P1018" s="11"/>
      <c r="Q1018" s="11"/>
      <c r="R1018" s="12"/>
    </row>
    <row r="1019" spans="1:18" x14ac:dyDescent="0.25">
      <c r="A1019" s="8"/>
      <c r="B1019" s="9"/>
      <c r="C1019" s="10"/>
      <c r="D1019" s="10"/>
      <c r="E1019" s="9"/>
      <c r="F1019" s="11"/>
      <c r="G1019" s="9"/>
      <c r="H1019" s="10"/>
      <c r="I1019" s="10"/>
      <c r="J1019" s="11"/>
      <c r="K1019" s="11"/>
      <c r="L1019" s="11"/>
      <c r="M1019" s="10"/>
      <c r="N1019" s="11"/>
      <c r="O1019" s="10"/>
      <c r="P1019" s="11"/>
      <c r="Q1019" s="11"/>
      <c r="R1019" s="12"/>
    </row>
    <row r="1020" spans="1:18" x14ac:dyDescent="0.25">
      <c r="A1020" s="8"/>
      <c r="B1020" s="9"/>
      <c r="C1020" s="10"/>
      <c r="D1020" s="10"/>
      <c r="E1020" s="9"/>
      <c r="F1020" s="11"/>
      <c r="G1020" s="9"/>
      <c r="H1020" s="10"/>
      <c r="I1020" s="10"/>
      <c r="J1020" s="11"/>
      <c r="K1020" s="11"/>
      <c r="L1020" s="11"/>
      <c r="M1020" s="10"/>
      <c r="N1020" s="11"/>
      <c r="O1020" s="10"/>
      <c r="P1020" s="11"/>
      <c r="Q1020" s="11"/>
      <c r="R1020" s="12"/>
    </row>
    <row r="1021" spans="1:18" x14ac:dyDescent="0.25">
      <c r="A1021" s="8"/>
      <c r="B1021" s="9"/>
      <c r="C1021" s="10"/>
      <c r="D1021" s="10"/>
      <c r="E1021" s="9"/>
      <c r="F1021" s="11"/>
      <c r="G1021" s="9"/>
      <c r="H1021" s="10"/>
      <c r="I1021" s="10"/>
      <c r="J1021" s="11"/>
      <c r="K1021" s="11"/>
      <c r="L1021" s="11"/>
      <c r="M1021" s="10"/>
      <c r="N1021" s="11"/>
      <c r="O1021" s="10"/>
      <c r="P1021" s="11"/>
      <c r="Q1021" s="11"/>
      <c r="R1021" s="12"/>
    </row>
    <row r="1022" spans="1:18" x14ac:dyDescent="0.25">
      <c r="A1022" s="8"/>
      <c r="B1022" s="9"/>
      <c r="C1022" s="10"/>
      <c r="D1022" s="10"/>
      <c r="E1022" s="9"/>
      <c r="F1022" s="11"/>
      <c r="G1022" s="9"/>
      <c r="H1022" s="10"/>
      <c r="I1022" s="10"/>
      <c r="J1022" s="11"/>
      <c r="K1022" s="11"/>
      <c r="L1022" s="11"/>
      <c r="M1022" s="10"/>
      <c r="N1022" s="11"/>
      <c r="O1022" s="10"/>
      <c r="P1022" s="11"/>
      <c r="Q1022" s="11"/>
      <c r="R1022" s="12"/>
    </row>
    <row r="1023" spans="1:18" x14ac:dyDescent="0.25">
      <c r="A1023" s="8"/>
      <c r="B1023" s="9"/>
      <c r="C1023" s="10"/>
      <c r="D1023" s="10"/>
      <c r="E1023" s="9"/>
      <c r="F1023" s="11"/>
      <c r="G1023" s="9"/>
      <c r="H1023" s="10"/>
      <c r="I1023" s="10"/>
      <c r="J1023" s="11"/>
      <c r="K1023" s="11"/>
      <c r="L1023" s="11"/>
      <c r="M1023" s="10"/>
      <c r="N1023" s="11"/>
      <c r="O1023" s="10"/>
      <c r="P1023" s="11"/>
      <c r="Q1023" s="11"/>
      <c r="R1023" s="12"/>
    </row>
    <row r="1024" spans="1:18" x14ac:dyDescent="0.25">
      <c r="A1024" s="8"/>
      <c r="B1024" s="9"/>
      <c r="C1024" s="10"/>
      <c r="D1024" s="10"/>
      <c r="E1024" s="9"/>
      <c r="F1024" s="11"/>
      <c r="G1024" s="9"/>
      <c r="H1024" s="10"/>
      <c r="I1024" s="10"/>
      <c r="J1024" s="11"/>
      <c r="K1024" s="11"/>
      <c r="L1024" s="11"/>
      <c r="M1024" s="10"/>
      <c r="N1024" s="11"/>
      <c r="O1024" s="10"/>
      <c r="P1024" s="11"/>
      <c r="Q1024" s="11"/>
      <c r="R1024" s="12"/>
    </row>
    <row r="1025" spans="1:18" x14ac:dyDescent="0.25">
      <c r="A1025" s="8"/>
      <c r="B1025" s="9"/>
      <c r="C1025" s="10"/>
      <c r="D1025" s="10"/>
      <c r="E1025" s="9"/>
      <c r="F1025" s="11"/>
      <c r="G1025" s="9"/>
      <c r="H1025" s="10"/>
      <c r="I1025" s="10"/>
      <c r="J1025" s="11"/>
      <c r="K1025" s="11"/>
      <c r="L1025" s="11"/>
      <c r="M1025" s="10"/>
      <c r="N1025" s="11"/>
      <c r="O1025" s="10"/>
      <c r="P1025" s="11"/>
      <c r="Q1025" s="11"/>
      <c r="R1025" s="12"/>
    </row>
    <row r="1026" spans="1:18" x14ac:dyDescent="0.25">
      <c r="A1026" s="8"/>
      <c r="B1026" s="9"/>
      <c r="C1026" s="10"/>
      <c r="D1026" s="10"/>
      <c r="E1026" s="9"/>
      <c r="F1026" s="11"/>
      <c r="G1026" s="9"/>
      <c r="H1026" s="10"/>
      <c r="I1026" s="10"/>
      <c r="J1026" s="11"/>
      <c r="K1026" s="11"/>
      <c r="L1026" s="11"/>
      <c r="M1026" s="10"/>
      <c r="N1026" s="11"/>
      <c r="O1026" s="10"/>
      <c r="P1026" s="11"/>
      <c r="Q1026" s="11"/>
      <c r="R1026" s="12"/>
    </row>
    <row r="1027" spans="1:18" x14ac:dyDescent="0.25">
      <c r="A1027" s="8"/>
      <c r="B1027" s="9"/>
      <c r="C1027" s="10"/>
      <c r="D1027" s="10"/>
      <c r="E1027" s="9"/>
      <c r="F1027" s="11"/>
      <c r="G1027" s="9"/>
      <c r="H1027" s="10"/>
      <c r="I1027" s="10"/>
      <c r="J1027" s="11"/>
      <c r="K1027" s="11"/>
      <c r="L1027" s="11"/>
      <c r="M1027" s="10"/>
      <c r="N1027" s="11"/>
      <c r="O1027" s="10"/>
      <c r="P1027" s="11"/>
      <c r="Q1027" s="11"/>
      <c r="R1027" s="12"/>
    </row>
    <row r="1028" spans="1:18" x14ac:dyDescent="0.25">
      <c r="A1028" s="8"/>
      <c r="B1028" s="9"/>
      <c r="C1028" s="10"/>
      <c r="D1028" s="10"/>
      <c r="E1028" s="9"/>
      <c r="F1028" s="11"/>
      <c r="G1028" s="9"/>
      <c r="H1028" s="10"/>
      <c r="I1028" s="10"/>
      <c r="J1028" s="11"/>
      <c r="K1028" s="11"/>
      <c r="L1028" s="11"/>
      <c r="M1028" s="10"/>
      <c r="N1028" s="11"/>
      <c r="O1028" s="10"/>
      <c r="P1028" s="11"/>
      <c r="Q1028" s="11"/>
      <c r="R1028" s="12"/>
    </row>
    <row r="1029" spans="1:18" x14ac:dyDescent="0.25">
      <c r="A1029" s="8"/>
      <c r="B1029" s="9"/>
      <c r="C1029" s="10"/>
      <c r="D1029" s="10"/>
      <c r="E1029" s="9"/>
      <c r="F1029" s="11"/>
      <c r="G1029" s="9"/>
      <c r="H1029" s="10"/>
      <c r="I1029" s="10"/>
      <c r="J1029" s="11"/>
      <c r="K1029" s="11"/>
      <c r="L1029" s="11"/>
      <c r="M1029" s="10"/>
      <c r="N1029" s="11"/>
      <c r="O1029" s="10"/>
      <c r="P1029" s="11"/>
      <c r="Q1029" s="11"/>
      <c r="R1029" s="12"/>
    </row>
    <row r="1030" spans="1:18" x14ac:dyDescent="0.25">
      <c r="A1030" s="8"/>
      <c r="B1030" s="9"/>
      <c r="C1030" s="10"/>
      <c r="D1030" s="10"/>
      <c r="E1030" s="9"/>
      <c r="F1030" s="11"/>
      <c r="G1030" s="9"/>
      <c r="H1030" s="10"/>
      <c r="I1030" s="10"/>
      <c r="J1030" s="11"/>
      <c r="K1030" s="11"/>
      <c r="L1030" s="11"/>
      <c r="M1030" s="10"/>
      <c r="N1030" s="11"/>
      <c r="O1030" s="10"/>
      <c r="P1030" s="11"/>
      <c r="Q1030" s="11"/>
      <c r="R1030" s="12"/>
    </row>
    <row r="1031" spans="1:18" x14ac:dyDescent="0.25">
      <c r="A1031" s="8"/>
      <c r="B1031" s="9"/>
      <c r="C1031" s="10"/>
      <c r="D1031" s="10"/>
      <c r="E1031" s="9"/>
      <c r="F1031" s="11"/>
      <c r="G1031" s="9"/>
      <c r="H1031" s="10"/>
      <c r="I1031" s="10"/>
      <c r="J1031" s="11"/>
      <c r="K1031" s="11"/>
      <c r="L1031" s="11"/>
      <c r="M1031" s="10"/>
      <c r="N1031" s="11"/>
      <c r="O1031" s="10"/>
      <c r="P1031" s="11"/>
      <c r="Q1031" s="11"/>
      <c r="R1031" s="12"/>
    </row>
    <row r="1032" spans="1:18" x14ac:dyDescent="0.25">
      <c r="A1032" s="8"/>
      <c r="B1032" s="9"/>
      <c r="C1032" s="10"/>
      <c r="D1032" s="10"/>
      <c r="E1032" s="9"/>
      <c r="F1032" s="11"/>
      <c r="G1032" s="9"/>
      <c r="H1032" s="10"/>
      <c r="I1032" s="10"/>
      <c r="J1032" s="11"/>
      <c r="K1032" s="11"/>
      <c r="L1032" s="11"/>
      <c r="M1032" s="10"/>
      <c r="N1032" s="11"/>
      <c r="O1032" s="10"/>
      <c r="P1032" s="11"/>
      <c r="Q1032" s="11"/>
      <c r="R1032" s="12"/>
    </row>
    <row r="1033" spans="1:18" x14ac:dyDescent="0.25">
      <c r="A1033" s="8"/>
      <c r="B1033" s="9"/>
      <c r="C1033" s="10"/>
      <c r="D1033" s="10"/>
      <c r="E1033" s="9"/>
      <c r="F1033" s="11"/>
      <c r="G1033" s="9"/>
      <c r="H1033" s="10"/>
      <c r="I1033" s="10"/>
      <c r="J1033" s="11"/>
      <c r="K1033" s="11"/>
      <c r="L1033" s="11"/>
      <c r="M1033" s="10"/>
      <c r="N1033" s="11"/>
      <c r="O1033" s="10"/>
      <c r="P1033" s="11"/>
      <c r="Q1033" s="11"/>
      <c r="R1033" s="12"/>
    </row>
    <row r="1034" spans="1:18" x14ac:dyDescent="0.25">
      <c r="A1034" s="8"/>
      <c r="B1034" s="9"/>
      <c r="C1034" s="10"/>
      <c r="D1034" s="10"/>
      <c r="E1034" s="9"/>
      <c r="F1034" s="11"/>
      <c r="G1034" s="9"/>
      <c r="H1034" s="10"/>
      <c r="I1034" s="10"/>
      <c r="J1034" s="11"/>
      <c r="K1034" s="11"/>
      <c r="L1034" s="11"/>
      <c r="M1034" s="10"/>
      <c r="N1034" s="11"/>
      <c r="O1034" s="10"/>
      <c r="P1034" s="11"/>
      <c r="Q1034" s="11"/>
      <c r="R1034" s="12"/>
    </row>
    <row r="1035" spans="1:18" x14ac:dyDescent="0.25">
      <c r="A1035" s="8"/>
      <c r="B1035" s="9"/>
      <c r="C1035" s="10"/>
      <c r="D1035" s="10"/>
      <c r="E1035" s="9"/>
      <c r="F1035" s="11"/>
      <c r="G1035" s="9"/>
      <c r="H1035" s="10"/>
      <c r="I1035" s="10"/>
      <c r="J1035" s="11"/>
      <c r="K1035" s="11"/>
      <c r="L1035" s="11"/>
      <c r="M1035" s="10"/>
      <c r="N1035" s="11"/>
      <c r="O1035" s="10"/>
      <c r="P1035" s="11"/>
      <c r="Q1035" s="11"/>
      <c r="R1035" s="12"/>
    </row>
    <row r="1036" spans="1:18" x14ac:dyDescent="0.25">
      <c r="A1036" s="8"/>
      <c r="B1036" s="9"/>
      <c r="C1036" s="10"/>
      <c r="D1036" s="10"/>
      <c r="E1036" s="9"/>
      <c r="F1036" s="11"/>
      <c r="G1036" s="9"/>
      <c r="H1036" s="10"/>
      <c r="I1036" s="10"/>
      <c r="J1036" s="11"/>
      <c r="K1036" s="11"/>
      <c r="L1036" s="11"/>
      <c r="M1036" s="10"/>
      <c r="N1036" s="11"/>
      <c r="O1036" s="10"/>
      <c r="P1036" s="11"/>
      <c r="Q1036" s="11"/>
      <c r="R1036" s="12"/>
    </row>
    <row r="1037" spans="1:18" x14ac:dyDescent="0.25">
      <c r="A1037" s="8"/>
      <c r="B1037" s="9"/>
      <c r="C1037" s="10"/>
      <c r="D1037" s="10"/>
      <c r="E1037" s="9"/>
      <c r="F1037" s="11"/>
      <c r="G1037" s="9"/>
      <c r="H1037" s="10"/>
      <c r="I1037" s="10"/>
      <c r="J1037" s="11"/>
      <c r="K1037" s="11"/>
      <c r="L1037" s="11"/>
      <c r="M1037" s="10"/>
      <c r="N1037" s="11"/>
      <c r="O1037" s="10"/>
      <c r="P1037" s="11"/>
      <c r="Q1037" s="11"/>
      <c r="R1037" s="12"/>
    </row>
    <row r="1038" spans="1:18" x14ac:dyDescent="0.25">
      <c r="A1038" s="8"/>
      <c r="B1038" s="9"/>
      <c r="C1038" s="10"/>
      <c r="D1038" s="10"/>
      <c r="E1038" s="9"/>
      <c r="F1038" s="11"/>
      <c r="G1038" s="9"/>
      <c r="H1038" s="10"/>
      <c r="I1038" s="10"/>
      <c r="J1038" s="11"/>
      <c r="K1038" s="11"/>
      <c r="L1038" s="11"/>
      <c r="M1038" s="10"/>
      <c r="N1038" s="11"/>
      <c r="O1038" s="10"/>
      <c r="P1038" s="11"/>
      <c r="Q1038" s="11"/>
      <c r="R1038" s="12"/>
    </row>
    <row r="1039" spans="1:18" x14ac:dyDescent="0.25">
      <c r="A1039" s="8"/>
      <c r="B1039" s="9"/>
      <c r="C1039" s="10"/>
      <c r="D1039" s="10"/>
      <c r="E1039" s="9"/>
      <c r="F1039" s="11"/>
      <c r="G1039" s="9"/>
      <c r="H1039" s="10"/>
      <c r="I1039" s="10"/>
      <c r="J1039" s="11"/>
      <c r="K1039" s="11"/>
      <c r="L1039" s="11"/>
      <c r="M1039" s="10"/>
      <c r="N1039" s="11"/>
      <c r="O1039" s="10"/>
      <c r="P1039" s="11"/>
      <c r="Q1039" s="11"/>
      <c r="R1039" s="12"/>
    </row>
    <row r="1040" spans="1:18" x14ac:dyDescent="0.25">
      <c r="A1040" s="8"/>
      <c r="B1040" s="9"/>
      <c r="C1040" s="10"/>
      <c r="D1040" s="10"/>
      <c r="E1040" s="9"/>
      <c r="F1040" s="11"/>
      <c r="G1040" s="9"/>
      <c r="H1040" s="10"/>
      <c r="I1040" s="10"/>
      <c r="J1040" s="11"/>
      <c r="K1040" s="11"/>
      <c r="L1040" s="11"/>
      <c r="M1040" s="10"/>
      <c r="N1040" s="11"/>
      <c r="O1040" s="10"/>
      <c r="P1040" s="11"/>
      <c r="Q1040" s="11"/>
      <c r="R1040" s="12"/>
    </row>
    <row r="1041" spans="1:18" x14ac:dyDescent="0.25">
      <c r="A1041" s="8"/>
      <c r="B1041" s="9"/>
      <c r="C1041" s="10"/>
      <c r="D1041" s="10"/>
      <c r="E1041" s="9"/>
      <c r="F1041" s="11"/>
      <c r="G1041" s="9"/>
      <c r="H1041" s="10"/>
      <c r="I1041" s="10"/>
      <c r="J1041" s="11"/>
      <c r="K1041" s="11"/>
      <c r="L1041" s="11"/>
      <c r="M1041" s="10"/>
      <c r="N1041" s="11"/>
      <c r="O1041" s="10"/>
      <c r="P1041" s="11"/>
      <c r="Q1041" s="11"/>
      <c r="R1041" s="12"/>
    </row>
    <row r="1042" spans="1:18" x14ac:dyDescent="0.25">
      <c r="A1042" s="8"/>
      <c r="B1042" s="9"/>
      <c r="C1042" s="10"/>
      <c r="D1042" s="10"/>
      <c r="E1042" s="9"/>
      <c r="F1042" s="11"/>
      <c r="G1042" s="9"/>
      <c r="H1042" s="10"/>
      <c r="I1042" s="10"/>
      <c r="J1042" s="11"/>
      <c r="K1042" s="11"/>
      <c r="L1042" s="11"/>
      <c r="M1042" s="10"/>
      <c r="N1042" s="11"/>
      <c r="O1042" s="10"/>
      <c r="P1042" s="11"/>
      <c r="Q1042" s="11"/>
      <c r="R1042" s="12"/>
    </row>
    <row r="1043" spans="1:18" x14ac:dyDescent="0.25">
      <c r="A1043" s="8"/>
      <c r="B1043" s="9"/>
      <c r="C1043" s="10"/>
      <c r="D1043" s="10"/>
      <c r="E1043" s="9"/>
      <c r="F1043" s="11"/>
      <c r="G1043" s="9"/>
      <c r="H1043" s="10"/>
      <c r="I1043" s="10"/>
      <c r="J1043" s="11"/>
      <c r="K1043" s="11"/>
      <c r="L1043" s="11"/>
      <c r="M1043" s="10"/>
      <c r="N1043" s="11"/>
      <c r="O1043" s="10"/>
      <c r="P1043" s="11"/>
      <c r="Q1043" s="11"/>
      <c r="R1043" s="12"/>
    </row>
    <row r="1044" spans="1:18" x14ac:dyDescent="0.25">
      <c r="A1044" s="8"/>
      <c r="B1044" s="9"/>
      <c r="C1044" s="10"/>
      <c r="D1044" s="10"/>
      <c r="E1044" s="9"/>
      <c r="F1044" s="11"/>
      <c r="G1044" s="9"/>
      <c r="H1044" s="10"/>
      <c r="I1044" s="10"/>
      <c r="J1044" s="11"/>
      <c r="K1044" s="11"/>
      <c r="L1044" s="11"/>
      <c r="M1044" s="10"/>
      <c r="N1044" s="11"/>
      <c r="O1044" s="10"/>
      <c r="P1044" s="11"/>
      <c r="Q1044" s="11"/>
      <c r="R1044" s="12"/>
    </row>
    <row r="1045" spans="1:18" x14ac:dyDescent="0.25">
      <c r="A1045" s="8"/>
      <c r="B1045" s="9"/>
      <c r="C1045" s="10"/>
      <c r="D1045" s="10"/>
      <c r="E1045" s="9"/>
      <c r="F1045" s="11"/>
      <c r="G1045" s="9"/>
      <c r="H1045" s="10"/>
      <c r="I1045" s="10"/>
      <c r="J1045" s="11"/>
      <c r="K1045" s="11"/>
      <c r="L1045" s="11"/>
      <c r="M1045" s="10"/>
      <c r="N1045" s="11"/>
      <c r="O1045" s="10"/>
      <c r="P1045" s="11"/>
      <c r="Q1045" s="11"/>
      <c r="R1045" s="12"/>
    </row>
    <row r="1046" spans="1:18" x14ac:dyDescent="0.25">
      <c r="A1046" s="8"/>
      <c r="B1046" s="9"/>
      <c r="C1046" s="10"/>
      <c r="D1046" s="10"/>
      <c r="E1046" s="9"/>
      <c r="F1046" s="11"/>
      <c r="G1046" s="9"/>
      <c r="H1046" s="10"/>
      <c r="I1046" s="10"/>
      <c r="J1046" s="11"/>
      <c r="K1046" s="11"/>
      <c r="L1046" s="11"/>
      <c r="M1046" s="10"/>
      <c r="N1046" s="11"/>
      <c r="O1046" s="10"/>
      <c r="P1046" s="11"/>
      <c r="Q1046" s="11"/>
      <c r="R1046" s="12"/>
    </row>
    <row r="1047" spans="1:18" x14ac:dyDescent="0.25">
      <c r="A1047" s="8"/>
      <c r="B1047" s="9"/>
      <c r="C1047" s="10"/>
      <c r="D1047" s="10"/>
      <c r="E1047" s="9"/>
      <c r="F1047" s="11"/>
      <c r="G1047" s="9"/>
      <c r="H1047" s="10"/>
      <c r="I1047" s="10"/>
      <c r="J1047" s="11"/>
      <c r="K1047" s="11"/>
      <c r="L1047" s="11"/>
      <c r="M1047" s="10"/>
      <c r="N1047" s="11"/>
      <c r="O1047" s="10"/>
      <c r="P1047" s="11"/>
      <c r="Q1047" s="11"/>
      <c r="R1047" s="12"/>
    </row>
    <row r="1048" spans="1:18" x14ac:dyDescent="0.25">
      <c r="A1048" s="8"/>
      <c r="B1048" s="9"/>
      <c r="C1048" s="10"/>
      <c r="D1048" s="10"/>
      <c r="E1048" s="9"/>
      <c r="F1048" s="11"/>
      <c r="G1048" s="9"/>
      <c r="H1048" s="10"/>
      <c r="I1048" s="10"/>
      <c r="J1048" s="11"/>
      <c r="K1048" s="11"/>
      <c r="L1048" s="11"/>
      <c r="M1048" s="10"/>
      <c r="N1048" s="11"/>
      <c r="O1048" s="10"/>
      <c r="P1048" s="11"/>
      <c r="Q1048" s="11"/>
      <c r="R1048" s="12"/>
    </row>
    <row r="1049" spans="1:18" x14ac:dyDescent="0.25">
      <c r="A1049" s="8"/>
      <c r="B1049" s="9"/>
      <c r="C1049" s="10"/>
      <c r="D1049" s="10"/>
      <c r="E1049" s="9"/>
      <c r="F1049" s="11"/>
      <c r="G1049" s="9"/>
      <c r="H1049" s="10"/>
      <c r="I1049" s="10"/>
      <c r="J1049" s="11"/>
      <c r="K1049" s="11"/>
      <c r="L1049" s="11"/>
      <c r="M1049" s="10"/>
      <c r="N1049" s="11"/>
      <c r="O1049" s="10"/>
      <c r="P1049" s="11"/>
      <c r="Q1049" s="11"/>
      <c r="R1049" s="12"/>
    </row>
    <row r="1050" spans="1:18" x14ac:dyDescent="0.25">
      <c r="A1050" s="8"/>
      <c r="B1050" s="9"/>
      <c r="C1050" s="10"/>
      <c r="D1050" s="10"/>
      <c r="E1050" s="9"/>
      <c r="F1050" s="11"/>
      <c r="G1050" s="9"/>
      <c r="H1050" s="10"/>
      <c r="I1050" s="10"/>
      <c r="J1050" s="11"/>
      <c r="K1050" s="11"/>
      <c r="L1050" s="11"/>
      <c r="M1050" s="10"/>
      <c r="N1050" s="11"/>
      <c r="O1050" s="10"/>
      <c r="P1050" s="11"/>
      <c r="Q1050" s="11"/>
      <c r="R1050" s="12"/>
    </row>
    <row r="1051" spans="1:18" x14ac:dyDescent="0.25">
      <c r="A1051" s="8"/>
      <c r="B1051" s="9"/>
      <c r="C1051" s="10"/>
      <c r="D1051" s="10"/>
      <c r="E1051" s="9"/>
      <c r="F1051" s="11"/>
      <c r="G1051" s="9"/>
      <c r="H1051" s="10"/>
      <c r="I1051" s="10"/>
      <c r="J1051" s="11"/>
      <c r="K1051" s="11"/>
      <c r="L1051" s="11"/>
      <c r="M1051" s="10"/>
      <c r="N1051" s="11"/>
      <c r="O1051" s="10"/>
      <c r="P1051" s="11"/>
      <c r="Q1051" s="11"/>
      <c r="R1051" s="12"/>
    </row>
    <row r="1052" spans="1:18" x14ac:dyDescent="0.25">
      <c r="A1052" s="8"/>
      <c r="B1052" s="9"/>
      <c r="C1052" s="10"/>
      <c r="D1052" s="10"/>
      <c r="E1052" s="9"/>
      <c r="F1052" s="11"/>
      <c r="G1052" s="9"/>
      <c r="H1052" s="10"/>
      <c r="I1052" s="10"/>
      <c r="J1052" s="11"/>
      <c r="K1052" s="11"/>
      <c r="L1052" s="11"/>
      <c r="M1052" s="10"/>
      <c r="N1052" s="11"/>
      <c r="O1052" s="10"/>
      <c r="P1052" s="11"/>
      <c r="Q1052" s="11"/>
      <c r="R1052" s="12"/>
    </row>
    <row r="1053" spans="1:18" x14ac:dyDescent="0.25">
      <c r="A1053" s="8"/>
      <c r="B1053" s="9"/>
      <c r="C1053" s="10"/>
      <c r="D1053" s="10"/>
      <c r="E1053" s="9"/>
      <c r="F1053" s="11"/>
      <c r="G1053" s="9"/>
      <c r="H1053" s="10"/>
      <c r="I1053" s="10"/>
      <c r="J1053" s="11"/>
      <c r="K1053" s="11"/>
      <c r="L1053" s="11"/>
      <c r="M1053" s="10"/>
      <c r="N1053" s="11"/>
      <c r="O1053" s="10"/>
      <c r="P1053" s="11"/>
      <c r="Q1053" s="11"/>
      <c r="R1053" s="12"/>
    </row>
    <row r="1054" spans="1:18" x14ac:dyDescent="0.25">
      <c r="A1054" s="8"/>
      <c r="B1054" s="9"/>
      <c r="C1054" s="10"/>
      <c r="D1054" s="10"/>
      <c r="E1054" s="9"/>
      <c r="F1054" s="11"/>
      <c r="G1054" s="9"/>
      <c r="H1054" s="10"/>
      <c r="I1054" s="10"/>
      <c r="J1054" s="11"/>
      <c r="K1054" s="11"/>
      <c r="L1054" s="11"/>
      <c r="M1054" s="10"/>
      <c r="N1054" s="11"/>
      <c r="O1054" s="10"/>
      <c r="P1054" s="11"/>
      <c r="Q1054" s="11"/>
      <c r="R1054" s="12"/>
    </row>
    <row r="1055" spans="1:18" x14ac:dyDescent="0.25">
      <c r="A1055" s="8"/>
      <c r="B1055" s="9"/>
      <c r="C1055" s="10"/>
      <c r="D1055" s="10"/>
      <c r="E1055" s="9"/>
      <c r="F1055" s="11"/>
      <c r="G1055" s="9"/>
      <c r="H1055" s="10"/>
      <c r="I1055" s="10"/>
      <c r="J1055" s="11"/>
      <c r="K1055" s="11"/>
      <c r="L1055" s="11"/>
      <c r="M1055" s="10"/>
      <c r="N1055" s="11"/>
      <c r="O1055" s="10"/>
      <c r="P1055" s="11"/>
      <c r="Q1055" s="11"/>
      <c r="R1055" s="12"/>
    </row>
    <row r="1056" spans="1:18" x14ac:dyDescent="0.25">
      <c r="A1056" s="8"/>
      <c r="B1056" s="9"/>
      <c r="C1056" s="10"/>
      <c r="D1056" s="10"/>
      <c r="E1056" s="9"/>
      <c r="F1056" s="11"/>
      <c r="G1056" s="9"/>
      <c r="H1056" s="10"/>
      <c r="I1056" s="10"/>
      <c r="J1056" s="11"/>
      <c r="K1056" s="11"/>
      <c r="L1056" s="11"/>
      <c r="M1056" s="10"/>
      <c r="N1056" s="11"/>
      <c r="O1056" s="10"/>
      <c r="P1056" s="11"/>
      <c r="Q1056" s="11"/>
      <c r="R1056" s="12"/>
    </row>
    <row r="1057" spans="1:18" x14ac:dyDescent="0.25">
      <c r="A1057" s="8"/>
      <c r="B1057" s="9"/>
      <c r="C1057" s="10"/>
      <c r="D1057" s="10"/>
      <c r="E1057" s="9"/>
      <c r="F1057" s="11"/>
      <c r="G1057" s="9"/>
      <c r="H1057" s="10"/>
      <c r="I1057" s="10"/>
      <c r="J1057" s="11"/>
      <c r="K1057" s="11"/>
      <c r="L1057" s="11"/>
      <c r="M1057" s="10"/>
      <c r="N1057" s="11"/>
      <c r="O1057" s="10"/>
      <c r="P1057" s="11"/>
      <c r="Q1057" s="11"/>
      <c r="R1057" s="12"/>
    </row>
    <row r="1058" spans="1:18" x14ac:dyDescent="0.25">
      <c r="A1058" s="8"/>
      <c r="B1058" s="9"/>
      <c r="C1058" s="10"/>
      <c r="D1058" s="10"/>
      <c r="E1058" s="9"/>
      <c r="F1058" s="11"/>
      <c r="G1058" s="9"/>
      <c r="H1058" s="10"/>
      <c r="I1058" s="10"/>
      <c r="J1058" s="11"/>
      <c r="K1058" s="11"/>
      <c r="L1058" s="11"/>
      <c r="M1058" s="10"/>
      <c r="N1058" s="11"/>
      <c r="O1058" s="10"/>
      <c r="P1058" s="11"/>
      <c r="Q1058" s="11"/>
      <c r="R1058" s="12"/>
    </row>
    <row r="1059" spans="1:18" x14ac:dyDescent="0.25">
      <c r="A1059" s="8"/>
      <c r="B1059" s="9"/>
      <c r="C1059" s="10"/>
      <c r="D1059" s="10"/>
      <c r="E1059" s="9"/>
      <c r="F1059" s="11"/>
      <c r="G1059" s="9"/>
      <c r="H1059" s="10"/>
      <c r="I1059" s="10"/>
      <c r="J1059" s="11"/>
      <c r="K1059" s="11"/>
      <c r="L1059" s="11"/>
      <c r="M1059" s="10"/>
      <c r="N1059" s="11"/>
      <c r="O1059" s="10"/>
      <c r="P1059" s="11"/>
      <c r="Q1059" s="11"/>
      <c r="R1059" s="12"/>
    </row>
    <row r="1060" spans="1:18" x14ac:dyDescent="0.25">
      <c r="A1060" s="8"/>
      <c r="B1060" s="9"/>
      <c r="C1060" s="10"/>
      <c r="D1060" s="10"/>
      <c r="E1060" s="9"/>
      <c r="F1060" s="11"/>
      <c r="G1060" s="9"/>
      <c r="H1060" s="10"/>
      <c r="I1060" s="10"/>
      <c r="J1060" s="11"/>
      <c r="K1060" s="11"/>
      <c r="L1060" s="11"/>
      <c r="M1060" s="10"/>
      <c r="N1060" s="11"/>
      <c r="O1060" s="10"/>
      <c r="P1060" s="11"/>
      <c r="Q1060" s="11"/>
      <c r="R1060" s="12"/>
    </row>
    <row r="1061" spans="1:18" x14ac:dyDescent="0.25">
      <c r="A1061" s="8"/>
      <c r="B1061" s="9"/>
      <c r="C1061" s="10"/>
      <c r="D1061" s="10"/>
      <c r="E1061" s="9"/>
      <c r="F1061" s="11"/>
      <c r="G1061" s="9"/>
      <c r="H1061" s="10"/>
      <c r="I1061" s="10"/>
      <c r="J1061" s="11"/>
      <c r="K1061" s="11"/>
      <c r="L1061" s="11"/>
      <c r="M1061" s="10"/>
      <c r="N1061" s="11"/>
      <c r="O1061" s="10"/>
      <c r="P1061" s="11"/>
      <c r="Q1061" s="11"/>
      <c r="R1061" s="12"/>
    </row>
    <row r="1062" spans="1:18" x14ac:dyDescent="0.25">
      <c r="A1062" s="8"/>
      <c r="B1062" s="9"/>
      <c r="C1062" s="10"/>
      <c r="D1062" s="10"/>
      <c r="E1062" s="9"/>
      <c r="F1062" s="11"/>
      <c r="G1062" s="9"/>
      <c r="H1062" s="10"/>
      <c r="I1062" s="10"/>
      <c r="J1062" s="11"/>
      <c r="K1062" s="11"/>
      <c r="L1062" s="11"/>
      <c r="M1062" s="10"/>
      <c r="N1062" s="11"/>
      <c r="O1062" s="10"/>
      <c r="P1062" s="11"/>
      <c r="Q1062" s="11"/>
      <c r="R1062" s="12"/>
    </row>
    <row r="1063" spans="1:18" x14ac:dyDescent="0.25">
      <c r="A1063" s="8"/>
      <c r="B1063" s="9"/>
      <c r="C1063" s="10"/>
      <c r="D1063" s="10"/>
      <c r="E1063" s="9"/>
      <c r="F1063" s="11"/>
      <c r="G1063" s="9"/>
      <c r="H1063" s="10"/>
      <c r="I1063" s="10"/>
      <c r="J1063" s="11"/>
      <c r="K1063" s="11"/>
      <c r="L1063" s="11"/>
      <c r="M1063" s="10"/>
      <c r="N1063" s="11"/>
      <c r="O1063" s="10"/>
      <c r="P1063" s="11"/>
      <c r="Q1063" s="11"/>
      <c r="R1063" s="12"/>
    </row>
    <row r="1064" spans="1:18" x14ac:dyDescent="0.25">
      <c r="A1064" s="8"/>
      <c r="B1064" s="9"/>
      <c r="C1064" s="10"/>
      <c r="D1064" s="10"/>
      <c r="E1064" s="9"/>
      <c r="F1064" s="11"/>
      <c r="G1064" s="9"/>
      <c r="H1064" s="10"/>
      <c r="I1064" s="10"/>
      <c r="J1064" s="11"/>
      <c r="K1064" s="11"/>
      <c r="L1064" s="11"/>
      <c r="M1064" s="10"/>
      <c r="N1064" s="11"/>
      <c r="O1064" s="10"/>
      <c r="P1064" s="11"/>
      <c r="Q1064" s="11"/>
      <c r="R1064" s="12"/>
    </row>
    <row r="1065" spans="1:18" x14ac:dyDescent="0.25">
      <c r="A1065" s="8"/>
      <c r="B1065" s="9"/>
      <c r="C1065" s="10"/>
      <c r="D1065" s="10"/>
      <c r="E1065" s="9"/>
      <c r="F1065" s="11"/>
      <c r="G1065" s="9"/>
      <c r="H1065" s="10"/>
      <c r="I1065" s="10"/>
      <c r="J1065" s="11"/>
      <c r="K1065" s="11"/>
      <c r="L1065" s="11"/>
      <c r="M1065" s="10"/>
      <c r="N1065" s="11"/>
      <c r="O1065" s="10"/>
      <c r="P1065" s="11"/>
      <c r="Q1065" s="11"/>
      <c r="R1065" s="12"/>
    </row>
    <row r="1066" spans="1:18" x14ac:dyDescent="0.25">
      <c r="A1066" s="8"/>
      <c r="B1066" s="9"/>
      <c r="C1066" s="10"/>
      <c r="D1066" s="10"/>
      <c r="E1066" s="9"/>
      <c r="F1066" s="11"/>
      <c r="G1066" s="9"/>
      <c r="H1066" s="10"/>
      <c r="I1066" s="10"/>
      <c r="J1066" s="11"/>
      <c r="K1066" s="11"/>
      <c r="L1066" s="11"/>
      <c r="M1066" s="10"/>
      <c r="N1066" s="11"/>
      <c r="O1066" s="10"/>
      <c r="P1066" s="11"/>
      <c r="Q1066" s="11"/>
      <c r="R1066" s="12"/>
    </row>
    <row r="1067" spans="1:18" x14ac:dyDescent="0.25">
      <c r="A1067" s="8"/>
      <c r="B1067" s="9"/>
      <c r="C1067" s="10"/>
      <c r="D1067" s="10"/>
      <c r="E1067" s="9"/>
      <c r="F1067" s="11"/>
      <c r="G1067" s="9"/>
      <c r="H1067" s="10"/>
      <c r="I1067" s="10"/>
      <c r="J1067" s="11"/>
      <c r="K1067" s="11"/>
      <c r="L1067" s="11"/>
      <c r="M1067" s="10"/>
      <c r="N1067" s="11"/>
      <c r="O1067" s="10"/>
      <c r="P1067" s="11"/>
      <c r="Q1067" s="11"/>
      <c r="R1067" s="12"/>
    </row>
    <row r="1068" spans="1:18" x14ac:dyDescent="0.25">
      <c r="A1068" s="8"/>
      <c r="B1068" s="9"/>
      <c r="C1068" s="10"/>
      <c r="D1068" s="10"/>
      <c r="E1068" s="9"/>
      <c r="F1068" s="11"/>
      <c r="G1068" s="9"/>
      <c r="H1068" s="10"/>
      <c r="I1068" s="10"/>
      <c r="J1068" s="11"/>
      <c r="K1068" s="11"/>
      <c r="L1068" s="11"/>
      <c r="M1068" s="10"/>
      <c r="N1068" s="11"/>
      <c r="O1068" s="10"/>
      <c r="P1068" s="11"/>
      <c r="Q1068" s="11"/>
      <c r="R1068" s="12"/>
    </row>
    <row r="1069" spans="1:18" x14ac:dyDescent="0.25">
      <c r="A1069" s="8"/>
      <c r="B1069" s="9"/>
      <c r="C1069" s="10"/>
      <c r="D1069" s="10"/>
      <c r="E1069" s="9"/>
      <c r="F1069" s="11"/>
      <c r="G1069" s="9"/>
      <c r="H1069" s="10"/>
      <c r="I1069" s="10"/>
      <c r="J1069" s="11"/>
      <c r="K1069" s="11"/>
      <c r="L1069" s="11"/>
      <c r="M1069" s="10"/>
      <c r="N1069" s="11"/>
      <c r="O1069" s="10"/>
      <c r="P1069" s="11"/>
      <c r="Q1069" s="11"/>
      <c r="R1069" s="12"/>
    </row>
    <row r="1070" spans="1:18" x14ac:dyDescent="0.25">
      <c r="A1070" s="8"/>
      <c r="B1070" s="9"/>
      <c r="C1070" s="10"/>
      <c r="D1070" s="10"/>
      <c r="E1070" s="9"/>
      <c r="F1070" s="11"/>
      <c r="G1070" s="9"/>
      <c r="H1070" s="10"/>
      <c r="I1070" s="10"/>
      <c r="J1070" s="11"/>
      <c r="K1070" s="11"/>
      <c r="L1070" s="11"/>
      <c r="M1070" s="10"/>
      <c r="N1070" s="11"/>
      <c r="O1070" s="10"/>
      <c r="P1070" s="11"/>
      <c r="Q1070" s="11"/>
      <c r="R1070" s="12"/>
    </row>
    <row r="1071" spans="1:18" x14ac:dyDescent="0.25">
      <c r="A1071" s="8"/>
      <c r="B1071" s="9"/>
      <c r="C1071" s="10"/>
      <c r="D1071" s="10"/>
      <c r="E1071" s="9"/>
      <c r="F1071" s="11"/>
      <c r="G1071" s="9"/>
      <c r="H1071" s="10"/>
      <c r="I1071" s="10"/>
      <c r="J1071" s="11"/>
      <c r="K1071" s="11"/>
      <c r="L1071" s="11"/>
      <c r="M1071" s="10"/>
      <c r="N1071" s="11"/>
      <c r="O1071" s="10"/>
      <c r="P1071" s="11"/>
      <c r="Q1071" s="11"/>
      <c r="R1071" s="12"/>
    </row>
    <row r="1072" spans="1:18" x14ac:dyDescent="0.25">
      <c r="A1072" s="8"/>
      <c r="B1072" s="9"/>
      <c r="C1072" s="10"/>
      <c r="D1072" s="10"/>
      <c r="E1072" s="9"/>
      <c r="F1072" s="11"/>
      <c r="G1072" s="9"/>
      <c r="H1072" s="10"/>
      <c r="I1072" s="10"/>
      <c r="J1072" s="11"/>
      <c r="K1072" s="11"/>
      <c r="L1072" s="11"/>
      <c r="M1072" s="10"/>
      <c r="N1072" s="11"/>
      <c r="O1072" s="10"/>
      <c r="P1072" s="11"/>
      <c r="Q1072" s="11"/>
      <c r="R1072" s="12"/>
    </row>
    <row r="1073" spans="1:18" x14ac:dyDescent="0.25">
      <c r="A1073" s="8"/>
      <c r="B1073" s="9"/>
      <c r="C1073" s="10"/>
      <c r="D1073" s="10"/>
      <c r="E1073" s="9"/>
      <c r="F1073" s="11"/>
      <c r="G1073" s="9"/>
      <c r="H1073" s="10"/>
      <c r="I1073" s="10"/>
      <c r="J1073" s="11"/>
      <c r="K1073" s="11"/>
      <c r="L1073" s="11"/>
      <c r="M1073" s="10"/>
      <c r="N1073" s="11"/>
      <c r="O1073" s="10"/>
      <c r="P1073" s="11"/>
      <c r="Q1073" s="11"/>
      <c r="R1073" s="12"/>
    </row>
    <row r="1074" spans="1:18" x14ac:dyDescent="0.25">
      <c r="A1074" s="8"/>
      <c r="B1074" s="9"/>
      <c r="C1074" s="10"/>
      <c r="D1074" s="10"/>
      <c r="E1074" s="9"/>
      <c r="F1074" s="11"/>
      <c r="G1074" s="9"/>
      <c r="H1074" s="10"/>
      <c r="I1074" s="10"/>
      <c r="J1074" s="11"/>
      <c r="K1074" s="11"/>
      <c r="L1074" s="11"/>
      <c r="M1074" s="10"/>
      <c r="N1074" s="11"/>
      <c r="O1074" s="10"/>
      <c r="P1074" s="11"/>
      <c r="Q1074" s="11"/>
      <c r="R1074" s="12"/>
    </row>
    <row r="1075" spans="1:18" x14ac:dyDescent="0.25">
      <c r="A1075" s="8"/>
      <c r="B1075" s="9"/>
      <c r="C1075" s="10"/>
      <c r="D1075" s="10"/>
      <c r="E1075" s="9"/>
      <c r="F1075" s="11"/>
      <c r="G1075" s="9"/>
      <c r="H1075" s="10"/>
      <c r="I1075" s="10"/>
      <c r="J1075" s="11"/>
      <c r="K1075" s="11"/>
      <c r="L1075" s="11"/>
      <c r="M1075" s="10"/>
      <c r="N1075" s="11"/>
      <c r="O1075" s="10"/>
      <c r="P1075" s="11"/>
      <c r="Q1075" s="11"/>
      <c r="R1075" s="12"/>
    </row>
    <row r="1076" spans="1:18" x14ac:dyDescent="0.25">
      <c r="A1076" s="8"/>
      <c r="B1076" s="9"/>
      <c r="C1076" s="10"/>
      <c r="D1076" s="10"/>
      <c r="E1076" s="9"/>
      <c r="F1076" s="11"/>
      <c r="G1076" s="9"/>
      <c r="H1076" s="10"/>
      <c r="I1076" s="10"/>
      <c r="J1076" s="11"/>
      <c r="K1076" s="11"/>
      <c r="L1076" s="11"/>
      <c r="M1076" s="10"/>
      <c r="N1076" s="11"/>
      <c r="O1076" s="10"/>
      <c r="P1076" s="11"/>
      <c r="Q1076" s="11"/>
      <c r="R1076" s="12"/>
    </row>
    <row r="1077" spans="1:18" x14ac:dyDescent="0.25">
      <c r="A1077" s="8"/>
      <c r="B1077" s="9"/>
      <c r="C1077" s="10"/>
      <c r="D1077" s="10"/>
      <c r="E1077" s="9"/>
      <c r="F1077" s="11"/>
      <c r="G1077" s="9"/>
      <c r="H1077" s="10"/>
      <c r="I1077" s="10"/>
      <c r="J1077" s="11"/>
      <c r="K1077" s="11"/>
      <c r="L1077" s="11"/>
      <c r="M1077" s="10"/>
      <c r="N1077" s="11"/>
      <c r="O1077" s="10"/>
      <c r="P1077" s="11"/>
      <c r="Q1077" s="11"/>
      <c r="R1077" s="12"/>
    </row>
    <row r="1078" spans="1:18" x14ac:dyDescent="0.25">
      <c r="A1078" s="8"/>
      <c r="B1078" s="9"/>
      <c r="C1078" s="10"/>
      <c r="D1078" s="10"/>
      <c r="E1078" s="9"/>
      <c r="F1078" s="11"/>
      <c r="G1078" s="9"/>
      <c r="H1078" s="10"/>
      <c r="I1078" s="10"/>
      <c r="J1078" s="11"/>
      <c r="K1078" s="11"/>
      <c r="L1078" s="11"/>
      <c r="M1078" s="10"/>
      <c r="N1078" s="11"/>
      <c r="O1078" s="10"/>
      <c r="P1078" s="11"/>
      <c r="Q1078" s="11"/>
      <c r="R1078" s="12"/>
    </row>
    <row r="1079" spans="1:18" x14ac:dyDescent="0.25">
      <c r="A1079" s="8"/>
      <c r="B1079" s="9"/>
      <c r="C1079" s="10"/>
      <c r="D1079" s="10"/>
      <c r="E1079" s="9"/>
      <c r="F1079" s="11"/>
      <c r="G1079" s="9"/>
      <c r="H1079" s="10"/>
      <c r="I1079" s="10"/>
      <c r="J1079" s="11"/>
      <c r="K1079" s="11"/>
      <c r="L1079" s="11"/>
      <c r="M1079" s="10"/>
      <c r="N1079" s="11"/>
      <c r="O1079" s="10"/>
      <c r="P1079" s="11"/>
      <c r="Q1079" s="11"/>
      <c r="R1079" s="12"/>
    </row>
    <row r="1080" spans="1:18" x14ac:dyDescent="0.25">
      <c r="A1080" s="8"/>
      <c r="B1080" s="9"/>
      <c r="C1080" s="10"/>
      <c r="D1080" s="10"/>
      <c r="E1080" s="9"/>
      <c r="F1080" s="11"/>
      <c r="G1080" s="9"/>
      <c r="H1080" s="10"/>
      <c r="I1080" s="10"/>
      <c r="J1080" s="11"/>
      <c r="K1080" s="11"/>
      <c r="L1080" s="11"/>
      <c r="M1080" s="10"/>
      <c r="N1080" s="11"/>
      <c r="O1080" s="10"/>
      <c r="P1080" s="11"/>
      <c r="Q1080" s="11"/>
      <c r="R1080" s="12"/>
    </row>
    <row r="1081" spans="1:18" x14ac:dyDescent="0.25">
      <c r="A1081" s="8"/>
      <c r="B1081" s="9"/>
      <c r="C1081" s="10"/>
      <c r="D1081" s="10"/>
      <c r="E1081" s="9"/>
      <c r="F1081" s="11"/>
      <c r="G1081" s="9"/>
      <c r="H1081" s="10"/>
      <c r="I1081" s="10"/>
      <c r="J1081" s="11"/>
      <c r="K1081" s="11"/>
      <c r="L1081" s="11"/>
      <c r="M1081" s="10"/>
      <c r="N1081" s="11"/>
      <c r="O1081" s="10"/>
      <c r="P1081" s="11"/>
      <c r="Q1081" s="11"/>
      <c r="R1081" s="12"/>
    </row>
    <row r="1082" spans="1:18" x14ac:dyDescent="0.25">
      <c r="A1082" s="8"/>
      <c r="B1082" s="9"/>
      <c r="C1082" s="10"/>
      <c r="D1082" s="10"/>
      <c r="E1082" s="9"/>
      <c r="F1082" s="11"/>
      <c r="G1082" s="9"/>
      <c r="H1082" s="10"/>
      <c r="I1082" s="10"/>
      <c r="J1082" s="11"/>
      <c r="K1082" s="11"/>
      <c r="L1082" s="11"/>
      <c r="M1082" s="10"/>
      <c r="N1082" s="11"/>
      <c r="O1082" s="10"/>
      <c r="P1082" s="11"/>
      <c r="Q1082" s="11"/>
      <c r="R1082" s="12"/>
    </row>
    <row r="1083" spans="1:18" x14ac:dyDescent="0.25">
      <c r="A1083" s="8"/>
      <c r="B1083" s="9"/>
      <c r="C1083" s="10"/>
      <c r="D1083" s="10"/>
      <c r="E1083" s="9"/>
      <c r="F1083" s="11"/>
      <c r="G1083" s="9"/>
      <c r="H1083" s="10"/>
      <c r="I1083" s="10"/>
      <c r="J1083" s="11"/>
      <c r="K1083" s="11"/>
      <c r="L1083" s="11"/>
      <c r="M1083" s="10"/>
      <c r="N1083" s="11"/>
      <c r="O1083" s="10"/>
      <c r="P1083" s="11"/>
      <c r="Q1083" s="11"/>
      <c r="R1083" s="12"/>
    </row>
    <row r="1084" spans="1:18" x14ac:dyDescent="0.25">
      <c r="A1084" s="8"/>
      <c r="B1084" s="9"/>
      <c r="C1084" s="10"/>
      <c r="D1084" s="10"/>
      <c r="E1084" s="9"/>
      <c r="F1084" s="11"/>
      <c r="G1084" s="9"/>
      <c r="H1084" s="10"/>
      <c r="I1084" s="10"/>
      <c r="J1084" s="11"/>
      <c r="K1084" s="11"/>
      <c r="L1084" s="11"/>
      <c r="M1084" s="10"/>
      <c r="N1084" s="11"/>
      <c r="O1084" s="10"/>
      <c r="P1084" s="11"/>
      <c r="Q1084" s="11"/>
      <c r="R1084" s="12"/>
    </row>
    <row r="1085" spans="1:18" x14ac:dyDescent="0.25">
      <c r="A1085" s="8"/>
      <c r="B1085" s="9"/>
      <c r="C1085" s="10"/>
      <c r="D1085" s="10"/>
      <c r="E1085" s="9"/>
      <c r="F1085" s="11"/>
      <c r="G1085" s="9"/>
      <c r="H1085" s="10"/>
      <c r="I1085" s="10"/>
      <c r="J1085" s="11"/>
      <c r="K1085" s="11"/>
      <c r="L1085" s="11"/>
      <c r="M1085" s="10"/>
      <c r="N1085" s="11"/>
      <c r="O1085" s="10"/>
      <c r="P1085" s="11"/>
      <c r="Q1085" s="11"/>
      <c r="R1085" s="12"/>
    </row>
    <row r="1086" spans="1:18" x14ac:dyDescent="0.25">
      <c r="A1086" s="8"/>
      <c r="B1086" s="9"/>
      <c r="C1086" s="10"/>
      <c r="D1086" s="10"/>
      <c r="E1086" s="9"/>
      <c r="F1086" s="11"/>
      <c r="G1086" s="9"/>
      <c r="H1086" s="10"/>
      <c r="I1086" s="10"/>
      <c r="J1086" s="11"/>
      <c r="K1086" s="11"/>
      <c r="L1086" s="11"/>
      <c r="M1086" s="10"/>
      <c r="N1086" s="11"/>
      <c r="O1086" s="10"/>
      <c r="P1086" s="11"/>
      <c r="Q1086" s="11"/>
      <c r="R1086" s="12"/>
    </row>
    <row r="1087" spans="1:18" x14ac:dyDescent="0.25">
      <c r="A1087" s="8"/>
      <c r="B1087" s="9"/>
      <c r="C1087" s="10"/>
      <c r="D1087" s="10"/>
      <c r="E1087" s="9"/>
      <c r="F1087" s="11"/>
      <c r="G1087" s="9"/>
      <c r="H1087" s="10"/>
      <c r="I1087" s="10"/>
      <c r="J1087" s="11"/>
      <c r="K1087" s="11"/>
      <c r="L1087" s="11"/>
      <c r="M1087" s="10"/>
      <c r="N1087" s="11"/>
      <c r="O1087" s="10"/>
      <c r="P1087" s="11"/>
      <c r="Q1087" s="11"/>
      <c r="R1087" s="12"/>
    </row>
    <row r="1088" spans="1:18" x14ac:dyDescent="0.25">
      <c r="A1088" s="8"/>
      <c r="B1088" s="9"/>
      <c r="C1088" s="10"/>
      <c r="D1088" s="10"/>
      <c r="E1088" s="9"/>
      <c r="F1088" s="11"/>
      <c r="G1088" s="9"/>
      <c r="H1088" s="10"/>
      <c r="I1088" s="10"/>
      <c r="J1088" s="11"/>
      <c r="K1088" s="11"/>
      <c r="L1088" s="11"/>
      <c r="M1088" s="10"/>
      <c r="N1088" s="11"/>
      <c r="O1088" s="10"/>
      <c r="P1088" s="11"/>
      <c r="Q1088" s="11"/>
      <c r="R1088" s="12"/>
    </row>
    <row r="1089" spans="1:18" x14ac:dyDescent="0.25">
      <c r="A1089" s="8"/>
      <c r="B1089" s="9"/>
      <c r="C1089" s="10"/>
      <c r="D1089" s="10"/>
      <c r="E1089" s="9"/>
      <c r="F1089" s="11"/>
      <c r="G1089" s="9"/>
      <c r="H1089" s="10"/>
      <c r="I1089" s="10"/>
      <c r="J1089" s="11"/>
      <c r="K1089" s="11"/>
      <c r="L1089" s="11"/>
      <c r="M1089" s="10"/>
      <c r="N1089" s="11"/>
      <c r="O1089" s="10"/>
      <c r="P1089" s="11"/>
      <c r="Q1089" s="11"/>
      <c r="R1089" s="12"/>
    </row>
    <row r="1090" spans="1:18" x14ac:dyDescent="0.25">
      <c r="A1090" s="8"/>
      <c r="B1090" s="9"/>
      <c r="C1090" s="10"/>
      <c r="D1090" s="10"/>
      <c r="E1090" s="9"/>
      <c r="F1090" s="11"/>
      <c r="G1090" s="9"/>
      <c r="H1090" s="10"/>
      <c r="I1090" s="10"/>
      <c r="J1090" s="11"/>
      <c r="K1090" s="11"/>
      <c r="L1090" s="11"/>
      <c r="M1090" s="10"/>
      <c r="N1090" s="11"/>
      <c r="O1090" s="10"/>
      <c r="P1090" s="11"/>
      <c r="Q1090" s="11"/>
      <c r="R1090" s="12"/>
    </row>
    <row r="1091" spans="1:18" x14ac:dyDescent="0.25">
      <c r="A1091" s="8"/>
      <c r="B1091" s="9"/>
      <c r="C1091" s="10"/>
      <c r="D1091" s="10"/>
      <c r="E1091" s="9"/>
      <c r="F1091" s="11"/>
      <c r="G1091" s="9"/>
      <c r="H1091" s="10"/>
      <c r="I1091" s="10"/>
      <c r="J1091" s="11"/>
      <c r="K1091" s="11"/>
      <c r="L1091" s="11"/>
      <c r="M1091" s="10"/>
      <c r="N1091" s="11"/>
      <c r="O1091" s="10"/>
      <c r="P1091" s="11"/>
      <c r="Q1091" s="11"/>
      <c r="R1091" s="12"/>
    </row>
    <row r="1092" spans="1:18" x14ac:dyDescent="0.25">
      <c r="A1092" s="8"/>
      <c r="B1092" s="9"/>
      <c r="C1092" s="10"/>
      <c r="D1092" s="10"/>
      <c r="E1092" s="9"/>
      <c r="F1092" s="11"/>
      <c r="G1092" s="9"/>
      <c r="H1092" s="10"/>
      <c r="I1092" s="10"/>
      <c r="J1092" s="11"/>
      <c r="K1092" s="11"/>
      <c r="L1092" s="11"/>
      <c r="M1092" s="10"/>
      <c r="N1092" s="11"/>
      <c r="O1092" s="10"/>
      <c r="P1092" s="11"/>
      <c r="Q1092" s="11"/>
      <c r="R1092" s="12"/>
    </row>
    <row r="1093" spans="1:18" x14ac:dyDescent="0.25">
      <c r="A1093" s="8"/>
      <c r="B1093" s="9"/>
      <c r="C1093" s="10"/>
      <c r="D1093" s="10"/>
      <c r="E1093" s="9"/>
      <c r="F1093" s="11"/>
      <c r="G1093" s="9"/>
      <c r="H1093" s="10"/>
      <c r="I1093" s="10"/>
      <c r="J1093" s="11"/>
      <c r="K1093" s="11"/>
      <c r="L1093" s="11"/>
      <c r="M1093" s="10"/>
      <c r="N1093" s="11"/>
      <c r="O1093" s="10"/>
      <c r="P1093" s="11"/>
      <c r="Q1093" s="11"/>
      <c r="R1093" s="12"/>
    </row>
    <row r="1094" spans="1:18" x14ac:dyDescent="0.25">
      <c r="A1094" s="8"/>
      <c r="B1094" s="9"/>
      <c r="C1094" s="10"/>
      <c r="D1094" s="10"/>
      <c r="E1094" s="9"/>
      <c r="F1094" s="11"/>
      <c r="G1094" s="9"/>
      <c r="H1094" s="10"/>
      <c r="I1094" s="10"/>
      <c r="J1094" s="11"/>
      <c r="K1094" s="11"/>
      <c r="L1094" s="11"/>
      <c r="M1094" s="10"/>
      <c r="N1094" s="11"/>
      <c r="O1094" s="10"/>
      <c r="P1094" s="11"/>
      <c r="Q1094" s="11"/>
      <c r="R1094" s="12"/>
    </row>
    <row r="1095" spans="1:18" x14ac:dyDescent="0.25">
      <c r="A1095" s="8"/>
      <c r="B1095" s="9"/>
      <c r="C1095" s="10"/>
      <c r="D1095" s="10"/>
      <c r="E1095" s="9"/>
      <c r="F1095" s="11"/>
      <c r="G1095" s="9"/>
      <c r="H1095" s="10"/>
      <c r="I1095" s="10"/>
      <c r="J1095" s="11"/>
      <c r="K1095" s="11"/>
      <c r="L1095" s="11"/>
      <c r="M1095" s="10"/>
      <c r="N1095" s="11"/>
      <c r="O1095" s="10"/>
      <c r="P1095" s="11"/>
      <c r="Q1095" s="11"/>
      <c r="R1095" s="12"/>
    </row>
    <row r="1096" spans="1:18" x14ac:dyDescent="0.25">
      <c r="A1096" s="8"/>
      <c r="B1096" s="9"/>
      <c r="C1096" s="10"/>
      <c r="D1096" s="10"/>
      <c r="E1096" s="9"/>
      <c r="F1096" s="11"/>
      <c r="G1096" s="9"/>
      <c r="H1096" s="10"/>
      <c r="I1096" s="10"/>
      <c r="J1096" s="11"/>
      <c r="K1096" s="11"/>
      <c r="L1096" s="11"/>
      <c r="M1096" s="10"/>
      <c r="N1096" s="11"/>
      <c r="O1096" s="10"/>
      <c r="P1096" s="11"/>
      <c r="Q1096" s="11"/>
      <c r="R1096" s="12"/>
    </row>
    <row r="1097" spans="1:18" x14ac:dyDescent="0.25">
      <c r="A1097" s="8"/>
      <c r="B1097" s="9"/>
      <c r="C1097" s="10"/>
      <c r="D1097" s="10"/>
      <c r="E1097" s="9"/>
      <c r="F1097" s="11"/>
      <c r="G1097" s="9"/>
      <c r="H1097" s="10"/>
      <c r="I1097" s="10"/>
      <c r="J1097" s="11"/>
      <c r="K1097" s="11"/>
      <c r="L1097" s="11"/>
      <c r="M1097" s="10"/>
      <c r="N1097" s="11"/>
      <c r="O1097" s="10"/>
      <c r="P1097" s="11"/>
      <c r="Q1097" s="11"/>
      <c r="R1097" s="12"/>
    </row>
    <row r="1098" spans="1:18" x14ac:dyDescent="0.25">
      <c r="A1098" s="8"/>
      <c r="B1098" s="9"/>
      <c r="C1098" s="10"/>
      <c r="D1098" s="10"/>
      <c r="E1098" s="9"/>
      <c r="F1098" s="11"/>
      <c r="G1098" s="9"/>
      <c r="H1098" s="10"/>
      <c r="I1098" s="10"/>
      <c r="J1098" s="11"/>
      <c r="K1098" s="11"/>
      <c r="L1098" s="11"/>
      <c r="M1098" s="10"/>
      <c r="N1098" s="11"/>
      <c r="O1098" s="10"/>
      <c r="P1098" s="11"/>
      <c r="Q1098" s="11"/>
      <c r="R1098" s="12"/>
    </row>
    <row r="1099" spans="1:18" x14ac:dyDescent="0.25">
      <c r="A1099" s="8"/>
      <c r="B1099" s="9"/>
      <c r="C1099" s="10"/>
      <c r="D1099" s="10"/>
      <c r="E1099" s="9"/>
      <c r="F1099" s="11"/>
      <c r="G1099" s="9"/>
      <c r="H1099" s="10"/>
      <c r="I1099" s="10"/>
      <c r="J1099" s="11"/>
      <c r="K1099" s="11"/>
      <c r="L1099" s="11"/>
      <c r="M1099" s="10"/>
      <c r="N1099" s="11"/>
      <c r="O1099" s="10"/>
      <c r="P1099" s="11"/>
      <c r="Q1099" s="11"/>
      <c r="R1099" s="12"/>
    </row>
    <row r="1100" spans="1:18" x14ac:dyDescent="0.25">
      <c r="A1100" s="8"/>
      <c r="B1100" s="9"/>
      <c r="C1100" s="10"/>
      <c r="D1100" s="10"/>
      <c r="E1100" s="9"/>
      <c r="F1100" s="11"/>
      <c r="G1100" s="9"/>
      <c r="H1100" s="10"/>
      <c r="I1100" s="10"/>
      <c r="J1100" s="11"/>
      <c r="K1100" s="11"/>
      <c r="L1100" s="11"/>
      <c r="M1100" s="10"/>
      <c r="N1100" s="11"/>
      <c r="O1100" s="10"/>
      <c r="P1100" s="11"/>
      <c r="Q1100" s="11"/>
      <c r="R1100" s="12"/>
    </row>
    <row r="1101" spans="1:18" x14ac:dyDescent="0.25">
      <c r="A1101" s="8"/>
      <c r="B1101" s="9"/>
      <c r="C1101" s="10"/>
      <c r="D1101" s="10"/>
      <c r="E1101" s="9"/>
      <c r="F1101" s="11"/>
      <c r="G1101" s="9"/>
      <c r="H1101" s="10"/>
      <c r="I1101" s="10"/>
      <c r="J1101" s="11"/>
      <c r="K1101" s="11"/>
      <c r="L1101" s="11"/>
      <c r="M1101" s="10"/>
      <c r="N1101" s="11"/>
      <c r="O1101" s="10"/>
      <c r="P1101" s="11"/>
      <c r="Q1101" s="11"/>
      <c r="R1101" s="12"/>
    </row>
    <row r="1102" spans="1:18" x14ac:dyDescent="0.25">
      <c r="A1102" s="8"/>
      <c r="B1102" s="9"/>
      <c r="C1102" s="10"/>
      <c r="D1102" s="10"/>
      <c r="E1102" s="9"/>
      <c r="F1102" s="11"/>
      <c r="G1102" s="9"/>
      <c r="H1102" s="10"/>
      <c r="I1102" s="10"/>
      <c r="J1102" s="11"/>
      <c r="K1102" s="11"/>
      <c r="L1102" s="11"/>
      <c r="M1102" s="10"/>
      <c r="N1102" s="11"/>
      <c r="O1102" s="10"/>
      <c r="P1102" s="11"/>
      <c r="Q1102" s="11"/>
      <c r="R1102" s="12"/>
    </row>
    <row r="1103" spans="1:18" x14ac:dyDescent="0.25">
      <c r="A1103" s="8"/>
      <c r="B1103" s="9"/>
      <c r="C1103" s="10"/>
      <c r="D1103" s="10"/>
      <c r="E1103" s="9"/>
      <c r="F1103" s="11"/>
      <c r="G1103" s="9"/>
      <c r="H1103" s="10"/>
      <c r="I1103" s="10"/>
      <c r="J1103" s="11"/>
      <c r="K1103" s="11"/>
      <c r="L1103" s="11"/>
      <c r="M1103" s="10"/>
      <c r="N1103" s="11"/>
      <c r="O1103" s="10"/>
      <c r="P1103" s="11"/>
      <c r="Q1103" s="11"/>
      <c r="R1103" s="12"/>
    </row>
    <row r="1104" spans="1:18" x14ac:dyDescent="0.25">
      <c r="A1104" s="8"/>
      <c r="B1104" s="9"/>
      <c r="C1104" s="10"/>
      <c r="D1104" s="10"/>
      <c r="E1104" s="9"/>
      <c r="F1104" s="11"/>
      <c r="G1104" s="9"/>
      <c r="H1104" s="10"/>
      <c r="I1104" s="10"/>
      <c r="J1104" s="11"/>
      <c r="K1104" s="11"/>
      <c r="L1104" s="11"/>
      <c r="M1104" s="10"/>
      <c r="N1104" s="11"/>
      <c r="O1104" s="10"/>
      <c r="P1104" s="11"/>
      <c r="Q1104" s="11"/>
      <c r="R1104" s="12"/>
    </row>
    <row r="1105" spans="1:18" x14ac:dyDescent="0.25">
      <c r="A1105" s="8"/>
      <c r="B1105" s="9"/>
      <c r="C1105" s="10"/>
      <c r="D1105" s="10"/>
      <c r="E1105" s="9"/>
      <c r="F1105" s="11"/>
      <c r="G1105" s="9"/>
      <c r="H1105" s="10"/>
      <c r="I1105" s="10"/>
      <c r="J1105" s="11"/>
      <c r="K1105" s="11"/>
      <c r="L1105" s="11"/>
      <c r="M1105" s="10"/>
      <c r="N1105" s="11"/>
      <c r="O1105" s="10"/>
      <c r="P1105" s="11"/>
      <c r="Q1105" s="11"/>
      <c r="R1105" s="12"/>
    </row>
    <row r="1106" spans="1:18" x14ac:dyDescent="0.25">
      <c r="A1106" s="8"/>
      <c r="B1106" s="9"/>
      <c r="C1106" s="10"/>
      <c r="D1106" s="10"/>
      <c r="E1106" s="9"/>
      <c r="F1106" s="11"/>
      <c r="G1106" s="9"/>
      <c r="H1106" s="10"/>
      <c r="I1106" s="10"/>
      <c r="J1106" s="11"/>
      <c r="K1106" s="11"/>
      <c r="L1106" s="11"/>
      <c r="M1106" s="10"/>
      <c r="N1106" s="11"/>
      <c r="O1106" s="10"/>
      <c r="P1106" s="11"/>
      <c r="Q1106" s="11"/>
      <c r="R1106" s="12"/>
    </row>
    <row r="1107" spans="1:18" x14ac:dyDescent="0.25">
      <c r="A1107" s="8"/>
      <c r="B1107" s="9"/>
      <c r="C1107" s="10"/>
      <c r="D1107" s="10"/>
      <c r="E1107" s="9"/>
      <c r="F1107" s="11"/>
      <c r="G1107" s="9"/>
      <c r="H1107" s="10"/>
      <c r="I1107" s="10"/>
      <c r="J1107" s="11"/>
      <c r="K1107" s="11"/>
      <c r="L1107" s="11"/>
      <c r="M1107" s="10"/>
      <c r="N1107" s="11"/>
      <c r="O1107" s="10"/>
      <c r="P1107" s="11"/>
      <c r="Q1107" s="11"/>
      <c r="R1107" s="12"/>
    </row>
    <row r="1108" spans="1:18" x14ac:dyDescent="0.25">
      <c r="A1108" s="8"/>
      <c r="B1108" s="9"/>
      <c r="C1108" s="10"/>
      <c r="D1108" s="10"/>
      <c r="E1108" s="9"/>
      <c r="F1108" s="11"/>
      <c r="G1108" s="9"/>
      <c r="H1108" s="10"/>
      <c r="I1108" s="10"/>
      <c r="J1108" s="11"/>
      <c r="K1108" s="11"/>
      <c r="L1108" s="11"/>
      <c r="M1108" s="10"/>
      <c r="N1108" s="11"/>
      <c r="O1108" s="10"/>
      <c r="P1108" s="11"/>
      <c r="Q1108" s="11"/>
      <c r="R1108" s="12"/>
    </row>
    <row r="1109" spans="1:18" x14ac:dyDescent="0.25">
      <c r="A1109" s="8"/>
      <c r="B1109" s="9"/>
      <c r="C1109" s="10"/>
      <c r="D1109" s="10"/>
      <c r="E1109" s="9"/>
      <c r="F1109" s="11"/>
      <c r="G1109" s="9"/>
      <c r="H1109" s="10"/>
      <c r="I1109" s="10"/>
      <c r="J1109" s="11"/>
      <c r="K1109" s="11"/>
      <c r="L1109" s="11"/>
      <c r="M1109" s="10"/>
      <c r="N1109" s="11"/>
      <c r="O1109" s="10"/>
      <c r="P1109" s="11"/>
      <c r="Q1109" s="11"/>
      <c r="R1109" s="12"/>
    </row>
    <row r="1110" spans="1:18" x14ac:dyDescent="0.25">
      <c r="A1110" s="8"/>
      <c r="B1110" s="9"/>
      <c r="C1110" s="10"/>
      <c r="D1110" s="10"/>
      <c r="E1110" s="9"/>
      <c r="F1110" s="11"/>
      <c r="G1110" s="9"/>
      <c r="H1110" s="10"/>
      <c r="I1110" s="10"/>
      <c r="J1110" s="11"/>
      <c r="K1110" s="11"/>
      <c r="L1110" s="11"/>
      <c r="M1110" s="10"/>
      <c r="N1110" s="11"/>
      <c r="O1110" s="10"/>
      <c r="P1110" s="11"/>
      <c r="Q1110" s="11"/>
      <c r="R1110" s="12"/>
    </row>
    <row r="1111" spans="1:18" x14ac:dyDescent="0.25">
      <c r="A1111" s="8"/>
      <c r="B1111" s="9"/>
      <c r="C1111" s="10"/>
      <c r="D1111" s="10"/>
      <c r="E1111" s="9"/>
      <c r="F1111" s="11"/>
      <c r="G1111" s="9"/>
      <c r="H1111" s="10"/>
      <c r="I1111" s="10"/>
      <c r="J1111" s="11"/>
      <c r="K1111" s="11"/>
      <c r="L1111" s="11"/>
      <c r="M1111" s="10"/>
      <c r="N1111" s="11"/>
      <c r="O1111" s="10"/>
      <c r="P1111" s="11"/>
      <c r="Q1111" s="11"/>
      <c r="R1111" s="12"/>
    </row>
    <row r="1112" spans="1:18" x14ac:dyDescent="0.25">
      <c r="A1112" s="8"/>
      <c r="B1112" s="9"/>
      <c r="C1112" s="10"/>
      <c r="D1112" s="10"/>
      <c r="E1112" s="9"/>
      <c r="F1112" s="11"/>
      <c r="G1112" s="9"/>
      <c r="H1112" s="10"/>
      <c r="I1112" s="10"/>
      <c r="J1112" s="11"/>
      <c r="K1112" s="11"/>
      <c r="L1112" s="11"/>
      <c r="M1112" s="10"/>
      <c r="N1112" s="11"/>
      <c r="O1112" s="10"/>
      <c r="P1112" s="11"/>
      <c r="Q1112" s="11"/>
      <c r="R1112" s="12"/>
    </row>
    <row r="1113" spans="1:18" x14ac:dyDescent="0.25">
      <c r="A1113" s="8"/>
      <c r="B1113" s="9"/>
      <c r="C1113" s="10"/>
      <c r="D1113" s="10"/>
      <c r="E1113" s="9"/>
      <c r="F1113" s="11"/>
      <c r="G1113" s="9"/>
      <c r="H1113" s="10"/>
      <c r="I1113" s="10"/>
      <c r="J1113" s="11"/>
      <c r="K1113" s="11"/>
      <c r="L1113" s="11"/>
      <c r="M1113" s="10"/>
      <c r="N1113" s="11"/>
      <c r="O1113" s="10"/>
      <c r="P1113" s="11"/>
      <c r="Q1113" s="11"/>
      <c r="R1113" s="12"/>
    </row>
    <row r="1114" spans="1:18" x14ac:dyDescent="0.25">
      <c r="A1114" s="8"/>
      <c r="B1114" s="9"/>
      <c r="C1114" s="10"/>
      <c r="D1114" s="10"/>
      <c r="E1114" s="9"/>
      <c r="F1114" s="11"/>
      <c r="G1114" s="9"/>
      <c r="H1114" s="10"/>
      <c r="I1114" s="10"/>
      <c r="J1114" s="11"/>
      <c r="K1114" s="11"/>
      <c r="L1114" s="11"/>
      <c r="M1114" s="10"/>
      <c r="N1114" s="11"/>
      <c r="O1114" s="10"/>
      <c r="P1114" s="11"/>
      <c r="Q1114" s="11"/>
      <c r="R1114" s="12"/>
    </row>
    <row r="1115" spans="1:18" x14ac:dyDescent="0.25">
      <c r="A1115" s="8"/>
      <c r="B1115" s="9"/>
      <c r="C1115" s="10"/>
      <c r="D1115" s="10"/>
      <c r="E1115" s="9"/>
      <c r="F1115" s="11"/>
      <c r="G1115" s="9"/>
      <c r="H1115" s="10"/>
      <c r="I1115" s="10"/>
      <c r="J1115" s="11"/>
      <c r="K1115" s="11"/>
      <c r="L1115" s="11"/>
      <c r="M1115" s="10"/>
      <c r="N1115" s="11"/>
      <c r="O1115" s="10"/>
      <c r="P1115" s="11"/>
      <c r="Q1115" s="11"/>
      <c r="R1115" s="12"/>
    </row>
    <row r="1116" spans="1:18" x14ac:dyDescent="0.25">
      <c r="A1116" s="8"/>
      <c r="B1116" s="9"/>
      <c r="C1116" s="10"/>
      <c r="D1116" s="10"/>
      <c r="E1116" s="9"/>
      <c r="F1116" s="11"/>
      <c r="G1116" s="9"/>
      <c r="H1116" s="10"/>
      <c r="I1116" s="10"/>
      <c r="J1116" s="11"/>
      <c r="K1116" s="11"/>
      <c r="L1116" s="11"/>
      <c r="M1116" s="10"/>
      <c r="N1116" s="11"/>
      <c r="O1116" s="10"/>
      <c r="P1116" s="11"/>
      <c r="Q1116" s="11"/>
      <c r="R1116" s="12"/>
    </row>
    <row r="1117" spans="1:18" x14ac:dyDescent="0.25">
      <c r="A1117" s="8"/>
      <c r="B1117" s="9"/>
      <c r="C1117" s="10"/>
      <c r="D1117" s="10"/>
      <c r="E1117" s="9"/>
      <c r="F1117" s="11"/>
      <c r="G1117" s="9"/>
      <c r="H1117" s="10"/>
      <c r="I1117" s="10"/>
      <c r="J1117" s="11"/>
      <c r="K1117" s="11"/>
      <c r="L1117" s="11"/>
      <c r="M1117" s="10"/>
      <c r="N1117" s="11"/>
      <c r="O1117" s="10"/>
      <c r="P1117" s="11"/>
      <c r="Q1117" s="11"/>
      <c r="R1117" s="12"/>
    </row>
    <row r="1118" spans="1:18" x14ac:dyDescent="0.25">
      <c r="A1118" s="8"/>
      <c r="B1118" s="9"/>
      <c r="C1118" s="10"/>
      <c r="D1118" s="10"/>
      <c r="E1118" s="9"/>
      <c r="F1118" s="11"/>
      <c r="G1118" s="9"/>
      <c r="H1118" s="10"/>
      <c r="I1118" s="10"/>
      <c r="J1118" s="11"/>
      <c r="K1118" s="11"/>
      <c r="L1118" s="11"/>
      <c r="M1118" s="10"/>
      <c r="N1118" s="11"/>
      <c r="O1118" s="10"/>
      <c r="P1118" s="11"/>
      <c r="Q1118" s="11"/>
      <c r="R1118" s="12"/>
    </row>
    <row r="1119" spans="1:18" x14ac:dyDescent="0.25">
      <c r="A1119" s="8"/>
      <c r="B1119" s="9"/>
      <c r="C1119" s="10"/>
      <c r="D1119" s="10"/>
      <c r="E1119" s="9"/>
      <c r="F1119" s="11"/>
      <c r="G1119" s="9"/>
      <c r="H1119" s="10"/>
      <c r="I1119" s="10"/>
      <c r="J1119" s="11"/>
      <c r="K1119" s="11"/>
      <c r="L1119" s="11"/>
      <c r="M1119" s="10"/>
      <c r="N1119" s="11"/>
      <c r="O1119" s="10"/>
      <c r="P1119" s="11"/>
      <c r="Q1119" s="11"/>
      <c r="R1119" s="12"/>
    </row>
    <row r="1120" spans="1:18" x14ac:dyDescent="0.25">
      <c r="A1120" s="8"/>
      <c r="B1120" s="9"/>
      <c r="C1120" s="10"/>
      <c r="D1120" s="10"/>
      <c r="E1120" s="9"/>
      <c r="F1120" s="11"/>
      <c r="G1120" s="9"/>
      <c r="H1120" s="10"/>
      <c r="I1120" s="10"/>
      <c r="J1120" s="11"/>
      <c r="K1120" s="11"/>
      <c r="L1120" s="11"/>
      <c r="M1120" s="10"/>
      <c r="N1120" s="11"/>
      <c r="O1120" s="10"/>
      <c r="P1120" s="11"/>
      <c r="Q1120" s="11"/>
      <c r="R1120" s="12"/>
    </row>
    <row r="1121" spans="1:18" x14ac:dyDescent="0.25">
      <c r="A1121" s="8"/>
      <c r="B1121" s="9"/>
      <c r="C1121" s="10"/>
      <c r="D1121" s="10"/>
      <c r="E1121" s="9"/>
      <c r="F1121" s="11"/>
      <c r="G1121" s="9"/>
      <c r="H1121" s="10"/>
      <c r="I1121" s="10"/>
      <c r="J1121" s="11"/>
      <c r="K1121" s="11"/>
      <c r="L1121" s="11"/>
      <c r="M1121" s="10"/>
      <c r="N1121" s="11"/>
      <c r="O1121" s="10"/>
      <c r="P1121" s="11"/>
      <c r="Q1121" s="11"/>
      <c r="R1121" s="12"/>
    </row>
    <row r="1122" spans="1:18" x14ac:dyDescent="0.25">
      <c r="A1122" s="8"/>
      <c r="B1122" s="9"/>
      <c r="C1122" s="10"/>
      <c r="D1122" s="10"/>
      <c r="E1122" s="9"/>
      <c r="F1122" s="11"/>
      <c r="G1122" s="9"/>
      <c r="H1122" s="10"/>
      <c r="I1122" s="10"/>
      <c r="J1122" s="11"/>
      <c r="K1122" s="11"/>
      <c r="L1122" s="11"/>
      <c r="M1122" s="10"/>
      <c r="N1122" s="11"/>
      <c r="O1122" s="10"/>
      <c r="P1122" s="11"/>
      <c r="Q1122" s="11"/>
      <c r="R1122" s="12"/>
    </row>
    <row r="1123" spans="1:18" x14ac:dyDescent="0.25">
      <c r="A1123" s="8"/>
      <c r="B1123" s="9"/>
      <c r="C1123" s="10"/>
      <c r="D1123" s="10"/>
      <c r="E1123" s="9"/>
      <c r="F1123" s="11"/>
      <c r="G1123" s="9"/>
      <c r="H1123" s="10"/>
      <c r="I1123" s="10"/>
      <c r="J1123" s="11"/>
      <c r="K1123" s="11"/>
      <c r="L1123" s="11"/>
      <c r="M1123" s="10"/>
      <c r="N1123" s="11"/>
      <c r="O1123" s="10"/>
      <c r="P1123" s="11"/>
      <c r="Q1123" s="11"/>
      <c r="R1123" s="12"/>
    </row>
    <row r="1124" spans="1:18" x14ac:dyDescent="0.25">
      <c r="A1124" s="8"/>
      <c r="B1124" s="9"/>
      <c r="C1124" s="10"/>
      <c r="D1124" s="10"/>
      <c r="E1124" s="9"/>
      <c r="F1124" s="11"/>
      <c r="G1124" s="9"/>
      <c r="H1124" s="10"/>
      <c r="I1124" s="10"/>
      <c r="J1124" s="11"/>
      <c r="K1124" s="11"/>
      <c r="L1124" s="11"/>
      <c r="M1124" s="10"/>
      <c r="N1124" s="11"/>
      <c r="O1124" s="10"/>
      <c r="P1124" s="11"/>
      <c r="Q1124" s="11"/>
      <c r="R1124" s="12"/>
    </row>
    <row r="1125" spans="1:18" x14ac:dyDescent="0.25">
      <c r="A1125" s="8"/>
      <c r="B1125" s="9"/>
      <c r="C1125" s="10"/>
      <c r="D1125" s="10"/>
      <c r="E1125" s="9"/>
      <c r="F1125" s="11"/>
      <c r="G1125" s="9"/>
      <c r="H1125" s="10"/>
      <c r="I1125" s="10"/>
      <c r="J1125" s="11"/>
      <c r="K1125" s="11"/>
      <c r="L1125" s="11"/>
      <c r="M1125" s="10"/>
      <c r="N1125" s="11"/>
      <c r="O1125" s="10"/>
      <c r="P1125" s="11"/>
      <c r="Q1125" s="11"/>
      <c r="R1125" s="12"/>
    </row>
    <row r="1126" spans="1:18" x14ac:dyDescent="0.25">
      <c r="A1126" s="8"/>
      <c r="B1126" s="9"/>
      <c r="C1126" s="10"/>
      <c r="D1126" s="10"/>
      <c r="E1126" s="9"/>
      <c r="F1126" s="11"/>
      <c r="G1126" s="9"/>
      <c r="H1126" s="10"/>
      <c r="I1126" s="10"/>
      <c r="J1126" s="11"/>
      <c r="K1126" s="11"/>
      <c r="L1126" s="11"/>
      <c r="M1126" s="10"/>
      <c r="N1126" s="11"/>
      <c r="O1126" s="10"/>
      <c r="P1126" s="11"/>
      <c r="Q1126" s="11"/>
      <c r="R1126" s="12"/>
    </row>
    <row r="1127" spans="1:18" x14ac:dyDescent="0.25">
      <c r="A1127" s="8"/>
      <c r="B1127" s="9"/>
      <c r="C1127" s="10"/>
      <c r="D1127" s="10"/>
      <c r="E1127" s="9"/>
      <c r="F1127" s="11"/>
      <c r="G1127" s="9"/>
      <c r="H1127" s="10"/>
      <c r="I1127" s="10"/>
      <c r="J1127" s="11"/>
      <c r="K1127" s="11"/>
      <c r="L1127" s="11"/>
      <c r="M1127" s="10"/>
      <c r="N1127" s="11"/>
      <c r="O1127" s="10"/>
      <c r="P1127" s="11"/>
      <c r="Q1127" s="11"/>
      <c r="R1127" s="12"/>
    </row>
    <row r="1128" spans="1:18" x14ac:dyDescent="0.25">
      <c r="A1128" s="8"/>
      <c r="B1128" s="9"/>
      <c r="C1128" s="10"/>
      <c r="D1128" s="10"/>
      <c r="E1128" s="9"/>
      <c r="F1128" s="11"/>
      <c r="G1128" s="9"/>
      <c r="H1128" s="10"/>
      <c r="I1128" s="10"/>
      <c r="J1128" s="11"/>
      <c r="K1128" s="11"/>
      <c r="L1128" s="11"/>
      <c r="M1128" s="10"/>
      <c r="N1128" s="11"/>
      <c r="O1128" s="10"/>
      <c r="P1128" s="11"/>
      <c r="Q1128" s="11"/>
      <c r="R1128" s="12"/>
    </row>
    <row r="1129" spans="1:18" x14ac:dyDescent="0.25">
      <c r="A1129" s="8"/>
      <c r="B1129" s="9"/>
      <c r="C1129" s="10"/>
      <c r="D1129" s="10"/>
      <c r="E1129" s="9"/>
      <c r="F1129" s="11"/>
      <c r="G1129" s="9"/>
      <c r="H1129" s="10"/>
      <c r="I1129" s="10"/>
      <c r="J1129" s="11"/>
      <c r="K1129" s="11"/>
      <c r="L1129" s="11"/>
      <c r="M1129" s="10"/>
      <c r="N1129" s="11"/>
      <c r="O1129" s="10"/>
      <c r="P1129" s="11"/>
      <c r="Q1129" s="11"/>
      <c r="R1129" s="12"/>
    </row>
    <row r="1130" spans="1:18" x14ac:dyDescent="0.25">
      <c r="A1130" s="8"/>
      <c r="B1130" s="9"/>
      <c r="C1130" s="10"/>
      <c r="D1130" s="10"/>
      <c r="E1130" s="9"/>
      <c r="F1130" s="11"/>
      <c r="G1130" s="9"/>
      <c r="H1130" s="10"/>
      <c r="I1130" s="10"/>
      <c r="J1130" s="11"/>
      <c r="K1130" s="11"/>
      <c r="L1130" s="11"/>
      <c r="M1130" s="10"/>
      <c r="N1130" s="11"/>
      <c r="O1130" s="10"/>
      <c r="P1130" s="11"/>
      <c r="Q1130" s="11"/>
      <c r="R1130" s="12"/>
    </row>
    <row r="1131" spans="1:18" x14ac:dyDescent="0.25">
      <c r="A1131" s="8"/>
      <c r="B1131" s="9"/>
      <c r="C1131" s="10"/>
      <c r="D1131" s="10"/>
      <c r="E1131" s="9"/>
      <c r="F1131" s="11"/>
      <c r="G1131" s="9"/>
      <c r="H1131" s="10"/>
      <c r="I1131" s="10"/>
      <c r="J1131" s="11"/>
      <c r="K1131" s="11"/>
      <c r="L1131" s="11"/>
      <c r="M1131" s="10"/>
      <c r="N1131" s="11"/>
      <c r="O1131" s="10"/>
      <c r="P1131" s="11"/>
      <c r="Q1131" s="11"/>
      <c r="R1131" s="12"/>
    </row>
    <row r="1132" spans="1:18" x14ac:dyDescent="0.25">
      <c r="A1132" s="8"/>
      <c r="B1132" s="9"/>
      <c r="C1132" s="10"/>
      <c r="D1132" s="10"/>
      <c r="E1132" s="9"/>
      <c r="F1132" s="11"/>
      <c r="G1132" s="9"/>
      <c r="H1132" s="10"/>
      <c r="I1132" s="10"/>
      <c r="J1132" s="11"/>
      <c r="K1132" s="11"/>
      <c r="L1132" s="11"/>
      <c r="M1132" s="10"/>
      <c r="N1132" s="11"/>
      <c r="O1132" s="10"/>
      <c r="P1132" s="11"/>
      <c r="Q1132" s="11"/>
      <c r="R1132" s="12"/>
    </row>
    <row r="1133" spans="1:18" x14ac:dyDescent="0.25">
      <c r="A1133" s="8"/>
      <c r="B1133" s="9"/>
      <c r="C1133" s="10"/>
      <c r="D1133" s="10"/>
      <c r="E1133" s="9"/>
      <c r="F1133" s="11"/>
      <c r="G1133" s="9"/>
      <c r="H1133" s="10"/>
      <c r="I1133" s="10"/>
      <c r="J1133" s="11"/>
      <c r="K1133" s="11"/>
      <c r="L1133" s="11"/>
      <c r="M1133" s="10"/>
      <c r="N1133" s="11"/>
      <c r="O1133" s="10"/>
      <c r="P1133" s="11"/>
      <c r="Q1133" s="11"/>
      <c r="R1133" s="12"/>
    </row>
    <row r="1134" spans="1:18" x14ac:dyDescent="0.25">
      <c r="A1134" s="8"/>
      <c r="B1134" s="9"/>
      <c r="C1134" s="10"/>
      <c r="D1134" s="10"/>
      <c r="E1134" s="9"/>
      <c r="F1134" s="11"/>
      <c r="G1134" s="9"/>
      <c r="H1134" s="10"/>
      <c r="I1134" s="10"/>
      <c r="J1134" s="11"/>
      <c r="K1134" s="11"/>
      <c r="L1134" s="11"/>
      <c r="M1134" s="10"/>
      <c r="N1134" s="11"/>
      <c r="O1134" s="10"/>
      <c r="P1134" s="11"/>
      <c r="Q1134" s="11"/>
      <c r="R1134" s="12"/>
    </row>
    <row r="1135" spans="1:18" x14ac:dyDescent="0.25">
      <c r="A1135" s="8"/>
      <c r="B1135" s="9"/>
      <c r="C1135" s="10"/>
      <c r="D1135" s="10"/>
      <c r="E1135" s="9"/>
      <c r="F1135" s="11"/>
      <c r="G1135" s="9"/>
      <c r="H1135" s="10"/>
      <c r="I1135" s="10"/>
      <c r="J1135" s="11"/>
      <c r="K1135" s="11"/>
      <c r="L1135" s="11"/>
      <c r="M1135" s="10"/>
      <c r="N1135" s="11"/>
      <c r="O1135" s="10"/>
      <c r="P1135" s="11"/>
      <c r="Q1135" s="11"/>
      <c r="R1135" s="12"/>
    </row>
    <row r="1136" spans="1:18" x14ac:dyDescent="0.25">
      <c r="A1136" s="8"/>
      <c r="B1136" s="9"/>
      <c r="C1136" s="10"/>
      <c r="D1136" s="10"/>
      <c r="E1136" s="9"/>
      <c r="F1136" s="11"/>
      <c r="G1136" s="9"/>
      <c r="H1136" s="10"/>
      <c r="I1136" s="10"/>
      <c r="J1136" s="11"/>
      <c r="K1136" s="11"/>
      <c r="L1136" s="11"/>
      <c r="M1136" s="10"/>
      <c r="N1136" s="11"/>
      <c r="O1136" s="10"/>
      <c r="P1136" s="11"/>
      <c r="Q1136" s="11"/>
      <c r="R1136" s="12"/>
    </row>
    <row r="1137" spans="1:18" x14ac:dyDescent="0.25">
      <c r="A1137" s="8"/>
      <c r="B1137" s="9"/>
      <c r="C1137" s="10"/>
      <c r="D1137" s="10"/>
      <c r="E1137" s="9"/>
      <c r="F1137" s="11"/>
      <c r="G1137" s="9"/>
      <c r="H1137" s="10"/>
      <c r="I1137" s="10"/>
      <c r="J1137" s="11"/>
      <c r="K1137" s="11"/>
      <c r="L1137" s="11"/>
      <c r="M1137" s="10"/>
      <c r="N1137" s="11"/>
      <c r="O1137" s="10"/>
      <c r="P1137" s="11"/>
      <c r="Q1137" s="11"/>
      <c r="R1137" s="12"/>
    </row>
    <row r="1138" spans="1:18" x14ac:dyDescent="0.25">
      <c r="A1138" s="8"/>
      <c r="B1138" s="9"/>
      <c r="C1138" s="10"/>
      <c r="D1138" s="10"/>
      <c r="E1138" s="9"/>
      <c r="F1138" s="11"/>
      <c r="G1138" s="9"/>
      <c r="H1138" s="10"/>
      <c r="I1138" s="10"/>
      <c r="J1138" s="11"/>
      <c r="K1138" s="11"/>
      <c r="L1138" s="11"/>
      <c r="M1138" s="10"/>
      <c r="N1138" s="11"/>
      <c r="O1138" s="10"/>
      <c r="P1138" s="11"/>
      <c r="Q1138" s="11"/>
      <c r="R1138" s="12"/>
    </row>
    <row r="1139" spans="1:18" x14ac:dyDescent="0.25">
      <c r="A1139" s="8"/>
      <c r="B1139" s="9"/>
      <c r="C1139" s="10"/>
      <c r="D1139" s="10"/>
      <c r="E1139" s="9"/>
      <c r="F1139" s="11"/>
      <c r="G1139" s="9"/>
      <c r="H1139" s="10"/>
      <c r="I1139" s="10"/>
      <c r="J1139" s="11"/>
      <c r="K1139" s="11"/>
      <c r="L1139" s="11"/>
      <c r="M1139" s="10"/>
      <c r="N1139" s="11"/>
      <c r="O1139" s="10"/>
      <c r="P1139" s="11"/>
      <c r="Q1139" s="11"/>
      <c r="R1139" s="12"/>
    </row>
    <row r="1140" spans="1:18" x14ac:dyDescent="0.25">
      <c r="A1140" s="8"/>
      <c r="B1140" s="9"/>
      <c r="C1140" s="10"/>
      <c r="D1140" s="10"/>
      <c r="E1140" s="9"/>
      <c r="F1140" s="11"/>
      <c r="G1140" s="9"/>
      <c r="H1140" s="10"/>
      <c r="I1140" s="10"/>
      <c r="J1140" s="11"/>
      <c r="K1140" s="11"/>
      <c r="L1140" s="11"/>
      <c r="M1140" s="10"/>
      <c r="N1140" s="11"/>
      <c r="O1140" s="10"/>
      <c r="P1140" s="11"/>
      <c r="Q1140" s="11"/>
      <c r="R1140" s="12"/>
    </row>
    <row r="1141" spans="1:18" x14ac:dyDescent="0.25">
      <c r="A1141" s="8"/>
      <c r="B1141" s="9"/>
      <c r="C1141" s="10"/>
      <c r="D1141" s="10"/>
      <c r="E1141" s="9"/>
      <c r="F1141" s="11"/>
      <c r="G1141" s="9"/>
      <c r="H1141" s="10"/>
      <c r="I1141" s="10"/>
      <c r="J1141" s="11"/>
      <c r="K1141" s="11"/>
      <c r="L1141" s="11"/>
      <c r="M1141" s="10"/>
      <c r="N1141" s="11"/>
      <c r="O1141" s="10"/>
      <c r="P1141" s="11"/>
      <c r="Q1141" s="11"/>
      <c r="R1141" s="12"/>
    </row>
    <row r="1142" spans="1:18" x14ac:dyDescent="0.25">
      <c r="A1142" s="8"/>
      <c r="B1142" s="9"/>
      <c r="C1142" s="10"/>
      <c r="D1142" s="10"/>
      <c r="E1142" s="9"/>
      <c r="F1142" s="11"/>
      <c r="G1142" s="9"/>
      <c r="H1142" s="10"/>
      <c r="I1142" s="10"/>
      <c r="J1142" s="11"/>
      <c r="K1142" s="11"/>
      <c r="L1142" s="11"/>
      <c r="M1142" s="10"/>
      <c r="N1142" s="11"/>
      <c r="O1142" s="10"/>
      <c r="P1142" s="11"/>
      <c r="Q1142" s="11"/>
      <c r="R1142" s="12"/>
    </row>
    <row r="1143" spans="1:18" x14ac:dyDescent="0.25">
      <c r="A1143" s="8"/>
      <c r="B1143" s="9"/>
      <c r="C1143" s="10"/>
      <c r="D1143" s="10"/>
      <c r="E1143" s="9"/>
      <c r="F1143" s="11"/>
      <c r="G1143" s="9"/>
      <c r="H1143" s="10"/>
      <c r="I1143" s="10"/>
      <c r="J1143" s="11"/>
      <c r="K1143" s="11"/>
      <c r="L1143" s="11"/>
      <c r="M1143" s="10"/>
      <c r="N1143" s="11"/>
      <c r="O1143" s="10"/>
      <c r="P1143" s="11"/>
      <c r="Q1143" s="11"/>
      <c r="R1143" s="12"/>
    </row>
    <row r="1144" spans="1:18" x14ac:dyDescent="0.25">
      <c r="A1144" s="8"/>
      <c r="B1144" s="9"/>
      <c r="C1144" s="10"/>
      <c r="D1144" s="10"/>
      <c r="E1144" s="9"/>
      <c r="F1144" s="11"/>
      <c r="G1144" s="9"/>
      <c r="H1144" s="10"/>
      <c r="I1144" s="10"/>
      <c r="J1144" s="11"/>
      <c r="K1144" s="11"/>
      <c r="L1144" s="11"/>
      <c r="M1144" s="10"/>
      <c r="N1144" s="11"/>
      <c r="O1144" s="10"/>
      <c r="P1144" s="11"/>
      <c r="Q1144" s="11"/>
      <c r="R1144" s="12"/>
    </row>
    <row r="1145" spans="1:18" x14ac:dyDescent="0.25">
      <c r="A1145" s="8"/>
      <c r="B1145" s="9"/>
      <c r="C1145" s="10"/>
      <c r="D1145" s="10"/>
      <c r="E1145" s="9"/>
      <c r="F1145" s="11"/>
      <c r="G1145" s="9"/>
      <c r="H1145" s="10"/>
      <c r="I1145" s="10"/>
      <c r="J1145" s="11"/>
      <c r="K1145" s="11"/>
      <c r="L1145" s="11"/>
      <c r="M1145" s="10"/>
      <c r="N1145" s="11"/>
      <c r="O1145" s="10"/>
      <c r="P1145" s="11"/>
      <c r="Q1145" s="11"/>
      <c r="R1145" s="12"/>
    </row>
    <row r="1146" spans="1:18" x14ac:dyDescent="0.25">
      <c r="A1146" s="8"/>
      <c r="B1146" s="9"/>
      <c r="C1146" s="10"/>
      <c r="D1146" s="10"/>
      <c r="E1146" s="9"/>
      <c r="F1146" s="11"/>
      <c r="G1146" s="9"/>
      <c r="H1146" s="10"/>
      <c r="I1146" s="10"/>
      <c r="J1146" s="11"/>
      <c r="K1146" s="11"/>
      <c r="L1146" s="11"/>
      <c r="M1146" s="10"/>
      <c r="N1146" s="11"/>
      <c r="O1146" s="10"/>
      <c r="P1146" s="11"/>
      <c r="Q1146" s="11"/>
      <c r="R1146" s="12"/>
    </row>
    <row r="1147" spans="1:18" x14ac:dyDescent="0.25">
      <c r="A1147" s="8"/>
      <c r="B1147" s="9"/>
      <c r="C1147" s="10"/>
      <c r="D1147" s="10"/>
      <c r="E1147" s="9"/>
      <c r="F1147" s="11"/>
      <c r="G1147" s="9"/>
      <c r="H1147" s="10"/>
      <c r="I1147" s="10"/>
      <c r="J1147" s="11"/>
      <c r="K1147" s="11"/>
      <c r="L1147" s="11"/>
      <c r="M1147" s="10"/>
      <c r="N1147" s="11"/>
      <c r="O1147" s="10"/>
      <c r="P1147" s="11"/>
      <c r="Q1147" s="11"/>
      <c r="R1147" s="12"/>
    </row>
    <row r="1148" spans="1:18" x14ac:dyDescent="0.25">
      <c r="A1148" s="8"/>
      <c r="B1148" s="9"/>
      <c r="C1148" s="10"/>
      <c r="D1148" s="10"/>
      <c r="E1148" s="9"/>
      <c r="F1148" s="11"/>
      <c r="G1148" s="9"/>
      <c r="H1148" s="10"/>
      <c r="I1148" s="10"/>
      <c r="J1148" s="11"/>
      <c r="K1148" s="11"/>
      <c r="L1148" s="11"/>
      <c r="M1148" s="10"/>
      <c r="N1148" s="11"/>
      <c r="O1148" s="10"/>
      <c r="P1148" s="11"/>
      <c r="Q1148" s="11"/>
      <c r="R1148" s="12"/>
    </row>
    <row r="1149" spans="1:18" x14ac:dyDescent="0.25">
      <c r="A1149" s="8"/>
      <c r="B1149" s="9"/>
      <c r="C1149" s="10"/>
      <c r="D1149" s="10"/>
      <c r="E1149" s="9"/>
      <c r="F1149" s="11"/>
      <c r="G1149" s="9"/>
      <c r="H1149" s="10"/>
      <c r="I1149" s="10"/>
      <c r="J1149" s="11"/>
      <c r="K1149" s="11"/>
      <c r="L1149" s="11"/>
      <c r="M1149" s="10"/>
      <c r="N1149" s="11"/>
      <c r="O1149" s="10"/>
      <c r="P1149" s="11"/>
      <c r="Q1149" s="11"/>
      <c r="R1149" s="12"/>
    </row>
    <row r="1150" spans="1:18" x14ac:dyDescent="0.25">
      <c r="A1150" s="8"/>
      <c r="B1150" s="9"/>
      <c r="C1150" s="10"/>
      <c r="D1150" s="10"/>
      <c r="E1150" s="9"/>
      <c r="F1150" s="11"/>
      <c r="G1150" s="9"/>
      <c r="H1150" s="10"/>
      <c r="I1150" s="10"/>
      <c r="J1150" s="11"/>
      <c r="K1150" s="11"/>
      <c r="L1150" s="11"/>
      <c r="M1150" s="10"/>
      <c r="N1150" s="11"/>
      <c r="O1150" s="10"/>
      <c r="P1150" s="11"/>
      <c r="Q1150" s="11"/>
      <c r="R1150" s="12"/>
    </row>
    <row r="1151" spans="1:18" x14ac:dyDescent="0.25">
      <c r="A1151" s="8"/>
      <c r="B1151" s="9"/>
      <c r="C1151" s="10"/>
      <c r="D1151" s="10"/>
      <c r="E1151" s="9"/>
      <c r="F1151" s="11"/>
      <c r="G1151" s="9"/>
      <c r="H1151" s="10"/>
      <c r="I1151" s="10"/>
      <c r="J1151" s="11"/>
      <c r="K1151" s="11"/>
      <c r="L1151" s="11"/>
      <c r="M1151" s="10"/>
      <c r="N1151" s="11"/>
      <c r="O1151" s="10"/>
      <c r="P1151" s="11"/>
      <c r="Q1151" s="11"/>
      <c r="R1151" s="12"/>
    </row>
    <row r="1152" spans="1:18" x14ac:dyDescent="0.25">
      <c r="A1152" s="8"/>
      <c r="B1152" s="9"/>
      <c r="C1152" s="10"/>
      <c r="D1152" s="10"/>
      <c r="E1152" s="9"/>
      <c r="F1152" s="11"/>
      <c r="G1152" s="9"/>
      <c r="H1152" s="10"/>
      <c r="I1152" s="10"/>
      <c r="J1152" s="11"/>
      <c r="K1152" s="11"/>
      <c r="L1152" s="11"/>
      <c r="M1152" s="10"/>
      <c r="N1152" s="11"/>
      <c r="O1152" s="10"/>
      <c r="P1152" s="11"/>
      <c r="Q1152" s="11"/>
      <c r="R1152" s="12"/>
    </row>
    <row r="1153" spans="1:18" x14ac:dyDescent="0.25">
      <c r="A1153" s="8"/>
      <c r="B1153" s="9"/>
      <c r="C1153" s="10"/>
      <c r="D1153" s="10"/>
      <c r="E1153" s="9"/>
      <c r="F1153" s="11"/>
      <c r="G1153" s="9"/>
      <c r="H1153" s="10"/>
      <c r="I1153" s="10"/>
      <c r="J1153" s="11"/>
      <c r="K1153" s="11"/>
      <c r="L1153" s="11"/>
      <c r="M1153" s="10"/>
      <c r="N1153" s="11"/>
      <c r="O1153" s="10"/>
      <c r="P1153" s="11"/>
      <c r="Q1153" s="11"/>
      <c r="R1153" s="12"/>
    </row>
    <row r="1154" spans="1:18" x14ac:dyDescent="0.25">
      <c r="A1154" s="8"/>
      <c r="B1154" s="9"/>
      <c r="C1154" s="10"/>
      <c r="D1154" s="10"/>
      <c r="E1154" s="9"/>
      <c r="F1154" s="11"/>
      <c r="G1154" s="9"/>
      <c r="H1154" s="10"/>
      <c r="I1154" s="10"/>
      <c r="J1154" s="11"/>
      <c r="K1154" s="11"/>
      <c r="L1154" s="11"/>
      <c r="M1154" s="10"/>
      <c r="N1154" s="11"/>
      <c r="O1154" s="10"/>
      <c r="P1154" s="11"/>
      <c r="Q1154" s="11"/>
      <c r="R1154" s="12"/>
    </row>
    <row r="1155" spans="1:18" x14ac:dyDescent="0.25">
      <c r="A1155" s="8"/>
      <c r="B1155" s="9"/>
      <c r="C1155" s="10"/>
      <c r="D1155" s="10"/>
      <c r="E1155" s="9"/>
      <c r="F1155" s="11"/>
      <c r="G1155" s="9"/>
      <c r="H1155" s="10"/>
      <c r="I1155" s="10"/>
      <c r="J1155" s="11"/>
      <c r="K1155" s="11"/>
      <c r="L1155" s="11"/>
      <c r="M1155" s="10"/>
      <c r="N1155" s="11"/>
      <c r="O1155" s="10"/>
      <c r="P1155" s="11"/>
      <c r="Q1155" s="11"/>
      <c r="R1155" s="12"/>
    </row>
    <row r="1156" spans="1:18" x14ac:dyDescent="0.25">
      <c r="A1156" s="8"/>
      <c r="B1156" s="9"/>
      <c r="C1156" s="10"/>
      <c r="D1156" s="10"/>
      <c r="E1156" s="9"/>
      <c r="F1156" s="11"/>
      <c r="G1156" s="9"/>
      <c r="H1156" s="10"/>
      <c r="I1156" s="10"/>
      <c r="J1156" s="11"/>
      <c r="K1156" s="11"/>
      <c r="L1156" s="11"/>
      <c r="M1156" s="10"/>
      <c r="N1156" s="11"/>
      <c r="O1156" s="10"/>
      <c r="P1156" s="11"/>
      <c r="Q1156" s="11"/>
      <c r="R1156" s="12"/>
    </row>
    <row r="1157" spans="1:18" x14ac:dyDescent="0.25">
      <c r="A1157" s="8"/>
      <c r="B1157" s="9"/>
      <c r="C1157" s="10"/>
      <c r="D1157" s="10"/>
      <c r="E1157" s="9"/>
      <c r="F1157" s="11"/>
      <c r="G1157" s="9"/>
      <c r="H1157" s="10"/>
      <c r="I1157" s="10"/>
      <c r="J1157" s="11"/>
      <c r="K1157" s="11"/>
      <c r="L1157" s="11"/>
      <c r="M1157" s="10"/>
      <c r="N1157" s="11"/>
      <c r="O1157" s="10"/>
      <c r="P1157" s="11"/>
      <c r="Q1157" s="11"/>
      <c r="R1157" s="12"/>
    </row>
    <row r="1158" spans="1:18" x14ac:dyDescent="0.25">
      <c r="A1158" s="8"/>
      <c r="B1158" s="9"/>
      <c r="C1158" s="10"/>
      <c r="D1158" s="10"/>
      <c r="E1158" s="9"/>
      <c r="F1158" s="11"/>
      <c r="G1158" s="9"/>
      <c r="H1158" s="10"/>
      <c r="I1158" s="10"/>
      <c r="J1158" s="11"/>
      <c r="K1158" s="11"/>
      <c r="L1158" s="11"/>
      <c r="M1158" s="10"/>
      <c r="N1158" s="11"/>
      <c r="O1158" s="10"/>
      <c r="P1158" s="11"/>
      <c r="Q1158" s="11"/>
      <c r="R1158" s="12"/>
    </row>
    <row r="1159" spans="1:18" x14ac:dyDescent="0.25">
      <c r="A1159" s="8"/>
      <c r="B1159" s="9"/>
      <c r="C1159" s="10"/>
      <c r="D1159" s="10"/>
      <c r="E1159" s="9"/>
      <c r="F1159" s="11"/>
      <c r="G1159" s="9"/>
      <c r="H1159" s="10"/>
      <c r="I1159" s="10"/>
      <c r="J1159" s="11"/>
      <c r="K1159" s="11"/>
      <c r="L1159" s="11"/>
      <c r="M1159" s="10"/>
      <c r="N1159" s="11"/>
      <c r="O1159" s="10"/>
      <c r="P1159" s="11"/>
      <c r="Q1159" s="11"/>
      <c r="R1159" s="12"/>
    </row>
    <row r="1160" spans="1:18" x14ac:dyDescent="0.25">
      <c r="A1160" s="8"/>
      <c r="B1160" s="9"/>
      <c r="C1160" s="10"/>
      <c r="D1160" s="10"/>
      <c r="E1160" s="9"/>
      <c r="F1160" s="11"/>
      <c r="G1160" s="9"/>
      <c r="H1160" s="10"/>
      <c r="I1160" s="10"/>
      <c r="J1160" s="11"/>
      <c r="K1160" s="11"/>
      <c r="L1160" s="11"/>
      <c r="M1160" s="10"/>
      <c r="N1160" s="11"/>
      <c r="O1160" s="10"/>
      <c r="P1160" s="11"/>
      <c r="Q1160" s="11"/>
      <c r="R1160" s="12"/>
    </row>
    <row r="1161" spans="1:18" x14ac:dyDescent="0.25">
      <c r="A1161" s="8"/>
      <c r="B1161" s="9"/>
      <c r="C1161" s="10"/>
      <c r="D1161" s="10"/>
      <c r="E1161" s="9"/>
      <c r="F1161" s="11"/>
      <c r="G1161" s="9"/>
      <c r="H1161" s="10"/>
      <c r="I1161" s="10"/>
      <c r="J1161" s="11"/>
      <c r="K1161" s="11"/>
      <c r="L1161" s="11"/>
      <c r="M1161" s="10"/>
      <c r="N1161" s="11"/>
      <c r="O1161" s="10"/>
      <c r="P1161" s="11"/>
      <c r="Q1161" s="11"/>
      <c r="R1161" s="12"/>
    </row>
    <row r="1162" spans="1:18" x14ac:dyDescent="0.25">
      <c r="A1162" s="8"/>
      <c r="B1162" s="9"/>
      <c r="C1162" s="10"/>
      <c r="D1162" s="10"/>
      <c r="E1162" s="9"/>
      <c r="F1162" s="11"/>
      <c r="G1162" s="9"/>
      <c r="H1162" s="10"/>
      <c r="I1162" s="10"/>
      <c r="J1162" s="11"/>
      <c r="K1162" s="11"/>
      <c r="L1162" s="11"/>
      <c r="M1162" s="10"/>
      <c r="N1162" s="11"/>
      <c r="O1162" s="10"/>
      <c r="P1162" s="11"/>
      <c r="Q1162" s="11"/>
      <c r="R1162" s="12"/>
    </row>
    <row r="1163" spans="1:18" x14ac:dyDescent="0.25">
      <c r="A1163" s="8"/>
      <c r="B1163" s="9"/>
      <c r="C1163" s="10"/>
      <c r="D1163" s="10"/>
      <c r="E1163" s="9"/>
      <c r="F1163" s="11"/>
      <c r="G1163" s="9"/>
      <c r="H1163" s="10"/>
      <c r="I1163" s="10"/>
      <c r="J1163" s="11"/>
      <c r="K1163" s="11"/>
      <c r="L1163" s="11"/>
      <c r="M1163" s="10"/>
      <c r="N1163" s="11"/>
      <c r="O1163" s="10"/>
      <c r="P1163" s="11"/>
      <c r="Q1163" s="11"/>
      <c r="R1163" s="12"/>
    </row>
    <row r="1164" spans="1:18" x14ac:dyDescent="0.25">
      <c r="A1164" s="8"/>
      <c r="B1164" s="9"/>
      <c r="C1164" s="10"/>
      <c r="D1164" s="10"/>
      <c r="E1164" s="9"/>
      <c r="F1164" s="11"/>
      <c r="G1164" s="9"/>
      <c r="H1164" s="10"/>
      <c r="I1164" s="10"/>
      <c r="J1164" s="11"/>
      <c r="K1164" s="11"/>
      <c r="L1164" s="11"/>
      <c r="M1164" s="10"/>
      <c r="N1164" s="11"/>
      <c r="O1164" s="10"/>
      <c r="P1164" s="11"/>
      <c r="Q1164" s="11"/>
      <c r="R1164" s="12"/>
    </row>
    <row r="1165" spans="1:18" x14ac:dyDescent="0.25">
      <c r="A1165" s="8"/>
      <c r="B1165" s="9"/>
      <c r="C1165" s="10"/>
      <c r="D1165" s="10"/>
      <c r="E1165" s="9"/>
      <c r="F1165" s="11"/>
      <c r="G1165" s="9"/>
      <c r="H1165" s="10"/>
      <c r="I1165" s="10"/>
      <c r="J1165" s="11"/>
      <c r="K1165" s="11"/>
      <c r="L1165" s="11"/>
      <c r="M1165" s="10"/>
      <c r="N1165" s="11"/>
      <c r="O1165" s="10"/>
      <c r="P1165" s="11"/>
      <c r="Q1165" s="11"/>
      <c r="R1165" s="12"/>
    </row>
    <row r="1166" spans="1:18" x14ac:dyDescent="0.25">
      <c r="A1166" s="8"/>
      <c r="B1166" s="9"/>
      <c r="C1166" s="10"/>
      <c r="D1166" s="10"/>
      <c r="E1166" s="9"/>
      <c r="F1166" s="11"/>
      <c r="G1166" s="9"/>
      <c r="H1166" s="10"/>
      <c r="I1166" s="10"/>
      <c r="J1166" s="11"/>
      <c r="K1166" s="11"/>
      <c r="L1166" s="11"/>
      <c r="M1166" s="10"/>
      <c r="N1166" s="11"/>
      <c r="O1166" s="10"/>
      <c r="P1166" s="11"/>
      <c r="Q1166" s="11"/>
      <c r="R1166" s="12"/>
    </row>
    <row r="1167" spans="1:18" x14ac:dyDescent="0.25">
      <c r="A1167" s="8"/>
      <c r="B1167" s="9"/>
      <c r="C1167" s="10"/>
      <c r="D1167" s="10"/>
      <c r="E1167" s="9"/>
      <c r="F1167" s="11"/>
      <c r="G1167" s="9"/>
      <c r="H1167" s="10"/>
      <c r="I1167" s="10"/>
      <c r="J1167" s="11"/>
      <c r="K1167" s="11"/>
      <c r="L1167" s="11"/>
      <c r="M1167" s="10"/>
      <c r="N1167" s="11"/>
      <c r="O1167" s="10"/>
      <c r="P1167" s="11"/>
      <c r="Q1167" s="11"/>
      <c r="R1167" s="12"/>
    </row>
    <row r="1168" spans="1:18" x14ac:dyDescent="0.25">
      <c r="A1168" s="8"/>
      <c r="B1168" s="9"/>
      <c r="C1168" s="10"/>
      <c r="D1168" s="10"/>
      <c r="E1168" s="9"/>
      <c r="F1168" s="11"/>
      <c r="G1168" s="9"/>
      <c r="H1168" s="10"/>
      <c r="I1168" s="10"/>
      <c r="J1168" s="11"/>
      <c r="K1168" s="11"/>
      <c r="L1168" s="11"/>
      <c r="M1168" s="10"/>
      <c r="N1168" s="11"/>
      <c r="O1168" s="10"/>
      <c r="P1168" s="11"/>
      <c r="Q1168" s="11"/>
      <c r="R1168" s="12"/>
    </row>
    <row r="1169" spans="1:18" x14ac:dyDescent="0.25">
      <c r="A1169" s="8"/>
      <c r="B1169" s="9"/>
      <c r="C1169" s="10"/>
      <c r="D1169" s="10"/>
      <c r="E1169" s="9"/>
      <c r="F1169" s="11"/>
      <c r="G1169" s="9"/>
      <c r="H1169" s="10"/>
      <c r="I1169" s="10"/>
      <c r="J1169" s="11"/>
      <c r="K1169" s="11"/>
      <c r="L1169" s="11"/>
      <c r="M1169" s="10"/>
      <c r="N1169" s="11"/>
      <c r="O1169" s="10"/>
      <c r="P1169" s="11"/>
      <c r="Q1169" s="11"/>
      <c r="R1169" s="12"/>
    </row>
    <row r="1170" spans="1:18" x14ac:dyDescent="0.25">
      <c r="A1170" s="8"/>
      <c r="B1170" s="9"/>
      <c r="C1170" s="10"/>
      <c r="D1170" s="10"/>
      <c r="E1170" s="9"/>
      <c r="F1170" s="11"/>
      <c r="G1170" s="9"/>
      <c r="H1170" s="10"/>
      <c r="I1170" s="10"/>
      <c r="J1170" s="11"/>
      <c r="K1170" s="11"/>
      <c r="L1170" s="11"/>
      <c r="M1170" s="10"/>
      <c r="N1170" s="11"/>
      <c r="O1170" s="10"/>
      <c r="P1170" s="11"/>
      <c r="Q1170" s="11"/>
      <c r="R1170" s="12"/>
    </row>
    <row r="1171" spans="1:18" x14ac:dyDescent="0.25">
      <c r="A1171" s="8"/>
      <c r="B1171" s="9"/>
      <c r="C1171" s="10"/>
      <c r="D1171" s="10"/>
      <c r="E1171" s="9"/>
      <c r="F1171" s="11"/>
      <c r="G1171" s="9"/>
      <c r="H1171" s="10"/>
      <c r="I1171" s="10"/>
      <c r="J1171" s="11"/>
      <c r="K1171" s="11"/>
      <c r="L1171" s="11"/>
      <c r="M1171" s="10"/>
      <c r="N1171" s="11"/>
      <c r="O1171" s="10"/>
      <c r="P1171" s="11"/>
      <c r="Q1171" s="11"/>
      <c r="R1171" s="12"/>
    </row>
    <row r="1172" spans="1:18" x14ac:dyDescent="0.25">
      <c r="A1172" s="8"/>
      <c r="B1172" s="9"/>
      <c r="C1172" s="10"/>
      <c r="D1172" s="10"/>
      <c r="E1172" s="9"/>
      <c r="F1172" s="11"/>
      <c r="G1172" s="9"/>
      <c r="H1172" s="10"/>
      <c r="I1172" s="10"/>
      <c r="J1172" s="11"/>
      <c r="K1172" s="11"/>
      <c r="L1172" s="11"/>
      <c r="M1172" s="10"/>
      <c r="N1172" s="11"/>
      <c r="O1172" s="10"/>
      <c r="P1172" s="11"/>
      <c r="Q1172" s="11"/>
      <c r="R1172" s="12"/>
    </row>
    <row r="1173" spans="1:18" x14ac:dyDescent="0.25">
      <c r="A1173" s="8"/>
      <c r="B1173" s="9"/>
      <c r="C1173" s="10"/>
      <c r="D1173" s="10"/>
      <c r="E1173" s="9"/>
      <c r="F1173" s="11"/>
      <c r="G1173" s="9"/>
      <c r="H1173" s="10"/>
      <c r="I1173" s="10"/>
      <c r="J1173" s="11"/>
      <c r="K1173" s="11"/>
      <c r="L1173" s="11"/>
      <c r="M1173" s="10"/>
      <c r="N1173" s="11"/>
      <c r="O1173" s="10"/>
      <c r="P1173" s="11"/>
      <c r="Q1173" s="11"/>
      <c r="R1173" s="12"/>
    </row>
    <row r="1174" spans="1:18" x14ac:dyDescent="0.25">
      <c r="A1174" s="8"/>
      <c r="B1174" s="9"/>
      <c r="C1174" s="10"/>
      <c r="D1174" s="10"/>
      <c r="E1174" s="9"/>
      <c r="F1174" s="11"/>
      <c r="G1174" s="9"/>
      <c r="H1174" s="10"/>
      <c r="I1174" s="10"/>
      <c r="J1174" s="11"/>
      <c r="K1174" s="11"/>
      <c r="L1174" s="11"/>
      <c r="M1174" s="10"/>
      <c r="N1174" s="11"/>
      <c r="O1174" s="10"/>
      <c r="P1174" s="11"/>
      <c r="Q1174" s="11"/>
      <c r="R1174" s="12"/>
    </row>
    <row r="1175" spans="1:18" x14ac:dyDescent="0.25">
      <c r="A1175" s="8"/>
      <c r="B1175" s="9"/>
      <c r="C1175" s="10"/>
      <c r="D1175" s="10"/>
      <c r="E1175" s="9"/>
      <c r="F1175" s="11"/>
      <c r="G1175" s="9"/>
      <c r="H1175" s="10"/>
      <c r="I1175" s="10"/>
      <c r="J1175" s="11"/>
      <c r="K1175" s="11"/>
      <c r="L1175" s="11"/>
      <c r="M1175" s="10"/>
      <c r="N1175" s="11"/>
      <c r="O1175" s="10"/>
      <c r="P1175" s="11"/>
      <c r="Q1175" s="11"/>
      <c r="R1175" s="12"/>
    </row>
    <row r="1176" spans="1:18" x14ac:dyDescent="0.25">
      <c r="A1176" s="8"/>
      <c r="B1176" s="9"/>
      <c r="C1176" s="10"/>
      <c r="D1176" s="10"/>
      <c r="E1176" s="9"/>
      <c r="F1176" s="11"/>
      <c r="G1176" s="9"/>
      <c r="H1176" s="10"/>
      <c r="I1176" s="10"/>
      <c r="J1176" s="11"/>
      <c r="K1176" s="11"/>
      <c r="L1176" s="11"/>
      <c r="M1176" s="10"/>
      <c r="N1176" s="11"/>
      <c r="O1176" s="10"/>
      <c r="P1176" s="11"/>
      <c r="Q1176" s="11"/>
      <c r="R1176" s="12"/>
    </row>
    <row r="1177" spans="1:18" x14ac:dyDescent="0.25">
      <c r="A1177" s="8"/>
      <c r="B1177" s="9"/>
      <c r="C1177" s="10"/>
      <c r="D1177" s="10"/>
      <c r="E1177" s="9"/>
      <c r="F1177" s="11"/>
      <c r="G1177" s="9"/>
      <c r="H1177" s="10"/>
      <c r="I1177" s="10"/>
      <c r="J1177" s="11"/>
      <c r="K1177" s="11"/>
      <c r="L1177" s="11"/>
      <c r="M1177" s="10"/>
      <c r="N1177" s="11"/>
      <c r="O1177" s="10"/>
      <c r="P1177" s="11"/>
      <c r="Q1177" s="11"/>
      <c r="R1177" s="12"/>
    </row>
    <row r="1178" spans="1:18" x14ac:dyDescent="0.25">
      <c r="A1178" s="8"/>
      <c r="B1178" s="9"/>
      <c r="C1178" s="10"/>
      <c r="D1178" s="10"/>
      <c r="E1178" s="9"/>
      <c r="F1178" s="11"/>
      <c r="G1178" s="9"/>
      <c r="H1178" s="10"/>
      <c r="I1178" s="10"/>
      <c r="J1178" s="11"/>
      <c r="K1178" s="11"/>
      <c r="L1178" s="11"/>
      <c r="M1178" s="10"/>
      <c r="N1178" s="11"/>
      <c r="O1178" s="10"/>
      <c r="P1178" s="11"/>
      <c r="Q1178" s="11"/>
      <c r="R1178" s="12"/>
    </row>
    <row r="1179" spans="1:18" x14ac:dyDescent="0.25">
      <c r="A1179" s="8"/>
      <c r="B1179" s="9"/>
      <c r="C1179" s="10"/>
      <c r="D1179" s="10"/>
      <c r="E1179" s="9"/>
      <c r="F1179" s="11"/>
      <c r="G1179" s="9"/>
      <c r="H1179" s="10"/>
      <c r="I1179" s="10"/>
      <c r="J1179" s="11"/>
      <c r="K1179" s="11"/>
      <c r="L1179" s="11"/>
      <c r="M1179" s="10"/>
      <c r="N1179" s="11"/>
      <c r="O1179" s="10"/>
      <c r="P1179" s="11"/>
      <c r="Q1179" s="11"/>
      <c r="R1179" s="12"/>
    </row>
    <row r="1180" spans="1:18" x14ac:dyDescent="0.25">
      <c r="A1180" s="8"/>
      <c r="B1180" s="9"/>
      <c r="C1180" s="10"/>
      <c r="D1180" s="10"/>
      <c r="E1180" s="9"/>
      <c r="F1180" s="11"/>
      <c r="G1180" s="9"/>
      <c r="H1180" s="10"/>
      <c r="I1180" s="10"/>
      <c r="J1180" s="11"/>
      <c r="K1180" s="11"/>
      <c r="L1180" s="11"/>
      <c r="M1180" s="10"/>
      <c r="N1180" s="11"/>
      <c r="O1180" s="10"/>
      <c r="P1180" s="11"/>
      <c r="Q1180" s="11"/>
      <c r="R1180" s="12"/>
    </row>
    <row r="1181" spans="1:18" x14ac:dyDescent="0.25">
      <c r="A1181" s="8"/>
      <c r="B1181" s="9"/>
      <c r="C1181" s="10"/>
      <c r="D1181" s="10"/>
      <c r="E1181" s="9"/>
      <c r="F1181" s="11"/>
      <c r="G1181" s="9"/>
      <c r="H1181" s="10"/>
      <c r="I1181" s="10"/>
      <c r="J1181" s="11"/>
      <c r="K1181" s="11"/>
      <c r="L1181" s="11"/>
      <c r="M1181" s="10"/>
      <c r="N1181" s="11"/>
      <c r="O1181" s="10"/>
      <c r="P1181" s="11"/>
      <c r="Q1181" s="11"/>
      <c r="R1181" s="12"/>
    </row>
    <row r="1182" spans="1:18" x14ac:dyDescent="0.25">
      <c r="A1182" s="8"/>
      <c r="B1182" s="9"/>
      <c r="C1182" s="10"/>
      <c r="D1182" s="10"/>
      <c r="E1182" s="9"/>
      <c r="F1182" s="11"/>
      <c r="G1182" s="9"/>
      <c r="H1182" s="10"/>
      <c r="I1182" s="10"/>
      <c r="J1182" s="11"/>
      <c r="K1182" s="11"/>
      <c r="L1182" s="11"/>
      <c r="M1182" s="10"/>
      <c r="N1182" s="11"/>
      <c r="O1182" s="10"/>
      <c r="P1182" s="11"/>
      <c r="Q1182" s="11"/>
      <c r="R1182" s="12"/>
    </row>
    <row r="1183" spans="1:18" x14ac:dyDescent="0.25">
      <c r="A1183" s="8"/>
      <c r="B1183" s="9"/>
      <c r="C1183" s="10"/>
      <c r="D1183" s="10"/>
      <c r="E1183" s="9"/>
      <c r="F1183" s="11"/>
      <c r="G1183" s="9"/>
      <c r="H1183" s="10"/>
      <c r="I1183" s="10"/>
      <c r="J1183" s="11"/>
      <c r="K1183" s="11"/>
      <c r="L1183" s="11"/>
      <c r="M1183" s="10"/>
      <c r="N1183" s="11"/>
      <c r="O1183" s="10"/>
      <c r="P1183" s="11"/>
      <c r="Q1183" s="11"/>
      <c r="R1183" s="12"/>
    </row>
    <row r="1184" spans="1:18" x14ac:dyDescent="0.25">
      <c r="A1184" s="8"/>
      <c r="B1184" s="9"/>
      <c r="C1184" s="10"/>
      <c r="D1184" s="10"/>
      <c r="E1184" s="9"/>
      <c r="F1184" s="11"/>
      <c r="G1184" s="9"/>
      <c r="H1184" s="10"/>
      <c r="I1184" s="10"/>
      <c r="J1184" s="11"/>
      <c r="K1184" s="11"/>
      <c r="L1184" s="11"/>
      <c r="M1184" s="10"/>
      <c r="N1184" s="11"/>
      <c r="O1184" s="10"/>
      <c r="P1184" s="11"/>
      <c r="Q1184" s="11"/>
      <c r="R1184" s="12"/>
    </row>
    <row r="1185" spans="1:18" x14ac:dyDescent="0.25">
      <c r="A1185" s="8"/>
      <c r="B1185" s="9"/>
      <c r="C1185" s="10"/>
      <c r="D1185" s="10"/>
      <c r="E1185" s="9"/>
      <c r="F1185" s="11"/>
      <c r="G1185" s="9"/>
      <c r="H1185" s="10"/>
      <c r="I1185" s="10"/>
      <c r="J1185" s="11"/>
      <c r="K1185" s="11"/>
      <c r="L1185" s="11"/>
      <c r="M1185" s="10"/>
      <c r="N1185" s="11"/>
      <c r="O1185" s="10"/>
      <c r="P1185" s="11"/>
      <c r="Q1185" s="11"/>
      <c r="R1185" s="12"/>
    </row>
    <row r="1186" spans="1:18" x14ac:dyDescent="0.25">
      <c r="A1186" s="8"/>
      <c r="B1186" s="9"/>
      <c r="C1186" s="10"/>
      <c r="D1186" s="10"/>
      <c r="E1186" s="9"/>
      <c r="F1186" s="11"/>
      <c r="G1186" s="9"/>
      <c r="H1186" s="10"/>
      <c r="I1186" s="10"/>
      <c r="J1186" s="11"/>
      <c r="K1186" s="11"/>
      <c r="L1186" s="11"/>
      <c r="M1186" s="10"/>
      <c r="N1186" s="11"/>
      <c r="O1186" s="10"/>
      <c r="P1186" s="11"/>
      <c r="Q1186" s="11"/>
      <c r="R1186" s="12"/>
    </row>
    <row r="1187" spans="1:18" x14ac:dyDescent="0.25">
      <c r="A1187" s="8"/>
      <c r="B1187" s="9"/>
      <c r="C1187" s="10"/>
      <c r="D1187" s="10"/>
      <c r="E1187" s="9"/>
      <c r="F1187" s="11"/>
      <c r="G1187" s="9"/>
      <c r="H1187" s="10"/>
      <c r="I1187" s="10"/>
      <c r="J1187" s="11"/>
      <c r="K1187" s="11"/>
      <c r="L1187" s="11"/>
      <c r="M1187" s="10"/>
      <c r="N1187" s="11"/>
      <c r="O1187" s="10"/>
      <c r="P1187" s="11"/>
      <c r="Q1187" s="11"/>
      <c r="R1187" s="12"/>
    </row>
    <row r="1188" spans="1:18" x14ac:dyDescent="0.25">
      <c r="A1188" s="8"/>
      <c r="B1188" s="9"/>
      <c r="C1188" s="10"/>
      <c r="D1188" s="10"/>
      <c r="E1188" s="9"/>
      <c r="F1188" s="11"/>
      <c r="G1188" s="9"/>
      <c r="H1188" s="10"/>
      <c r="I1188" s="10"/>
      <c r="J1188" s="11"/>
      <c r="K1188" s="11"/>
      <c r="L1188" s="11"/>
      <c r="M1188" s="10"/>
      <c r="N1188" s="11"/>
      <c r="O1188" s="10"/>
      <c r="P1188" s="11"/>
      <c r="Q1188" s="11"/>
      <c r="R1188" s="12"/>
    </row>
    <row r="1189" spans="1:18" x14ac:dyDescent="0.25">
      <c r="A1189" s="8"/>
      <c r="B1189" s="9"/>
      <c r="C1189" s="10"/>
      <c r="D1189" s="10"/>
      <c r="E1189" s="9"/>
      <c r="F1189" s="11"/>
      <c r="G1189" s="9"/>
      <c r="H1189" s="10"/>
      <c r="I1189" s="10"/>
      <c r="J1189" s="11"/>
      <c r="K1189" s="11"/>
      <c r="L1189" s="11"/>
      <c r="M1189" s="10"/>
      <c r="N1189" s="11"/>
      <c r="O1189" s="10"/>
      <c r="P1189" s="11"/>
      <c r="Q1189" s="11"/>
      <c r="R1189" s="12"/>
    </row>
    <row r="1190" spans="1:18" x14ac:dyDescent="0.25">
      <c r="A1190" s="8"/>
      <c r="B1190" s="9"/>
      <c r="C1190" s="10"/>
      <c r="D1190" s="10"/>
      <c r="E1190" s="9"/>
      <c r="F1190" s="11"/>
      <c r="G1190" s="9"/>
      <c r="H1190" s="10"/>
      <c r="I1190" s="10"/>
      <c r="J1190" s="11"/>
      <c r="K1190" s="11"/>
      <c r="L1190" s="11"/>
      <c r="M1190" s="10"/>
      <c r="N1190" s="11"/>
      <c r="O1190" s="10"/>
      <c r="P1190" s="11"/>
      <c r="Q1190" s="11"/>
      <c r="R1190" s="12"/>
    </row>
    <row r="1191" spans="1:18" x14ac:dyDescent="0.25">
      <c r="A1191" s="8"/>
      <c r="B1191" s="9"/>
      <c r="C1191" s="10"/>
      <c r="D1191" s="10"/>
      <c r="E1191" s="9"/>
      <c r="F1191" s="11"/>
      <c r="G1191" s="9"/>
      <c r="H1191" s="10"/>
      <c r="I1191" s="10"/>
      <c r="J1191" s="11"/>
      <c r="K1191" s="11"/>
      <c r="L1191" s="11"/>
      <c r="M1191" s="10"/>
      <c r="N1191" s="11"/>
      <c r="O1191" s="10"/>
      <c r="P1191" s="11"/>
      <c r="Q1191" s="11"/>
      <c r="R1191" s="12"/>
    </row>
    <row r="1192" spans="1:18" x14ac:dyDescent="0.25">
      <c r="A1192" s="8"/>
      <c r="B1192" s="9"/>
      <c r="C1192" s="10"/>
      <c r="D1192" s="10"/>
      <c r="E1192" s="9"/>
      <c r="F1192" s="11"/>
      <c r="G1192" s="9"/>
      <c r="H1192" s="10"/>
      <c r="I1192" s="10"/>
      <c r="J1192" s="11"/>
      <c r="K1192" s="11"/>
      <c r="L1192" s="11"/>
      <c r="M1192" s="10"/>
      <c r="N1192" s="11"/>
      <c r="O1192" s="10"/>
      <c r="P1192" s="11"/>
      <c r="Q1192" s="11"/>
      <c r="R1192" s="12"/>
    </row>
    <row r="1193" spans="1:18" x14ac:dyDescent="0.25">
      <c r="A1193" s="8"/>
      <c r="B1193" s="9"/>
      <c r="C1193" s="10"/>
      <c r="D1193" s="10"/>
      <c r="E1193" s="9"/>
      <c r="F1193" s="11"/>
      <c r="G1193" s="9"/>
      <c r="H1193" s="10"/>
      <c r="I1193" s="10"/>
      <c r="J1193" s="11"/>
      <c r="K1193" s="11"/>
      <c r="L1193" s="11"/>
      <c r="M1193" s="10"/>
      <c r="N1193" s="11"/>
      <c r="O1193" s="10"/>
      <c r="P1193" s="11"/>
      <c r="Q1193" s="11"/>
      <c r="R1193" s="12"/>
    </row>
    <row r="1194" spans="1:18" x14ac:dyDescent="0.25">
      <c r="A1194" s="8"/>
      <c r="B1194" s="9"/>
      <c r="C1194" s="10"/>
      <c r="D1194" s="10"/>
      <c r="E1194" s="9"/>
      <c r="F1194" s="11"/>
      <c r="G1194" s="9"/>
      <c r="H1194" s="10"/>
      <c r="I1194" s="10"/>
      <c r="J1194" s="11"/>
      <c r="K1194" s="11"/>
      <c r="L1194" s="11"/>
      <c r="M1194" s="10"/>
      <c r="N1194" s="11"/>
      <c r="O1194" s="10"/>
      <c r="P1194" s="11"/>
      <c r="Q1194" s="11"/>
      <c r="R1194" s="12"/>
    </row>
    <row r="1195" spans="1:18" x14ac:dyDescent="0.25">
      <c r="A1195" s="8"/>
      <c r="B1195" s="9"/>
      <c r="C1195" s="10"/>
      <c r="D1195" s="10"/>
      <c r="E1195" s="9"/>
      <c r="F1195" s="11"/>
      <c r="G1195" s="9"/>
      <c r="H1195" s="10"/>
      <c r="I1195" s="10"/>
      <c r="J1195" s="11"/>
      <c r="K1195" s="11"/>
      <c r="L1195" s="11"/>
      <c r="M1195" s="10"/>
      <c r="N1195" s="11"/>
      <c r="O1195" s="10"/>
      <c r="P1195" s="11"/>
      <c r="Q1195" s="11"/>
      <c r="R1195" s="12"/>
    </row>
    <row r="1196" spans="1:18" x14ac:dyDescent="0.25">
      <c r="A1196" s="8"/>
      <c r="B1196" s="9"/>
      <c r="C1196" s="10"/>
      <c r="D1196" s="10"/>
      <c r="E1196" s="9"/>
      <c r="F1196" s="11"/>
      <c r="G1196" s="9"/>
      <c r="H1196" s="10"/>
      <c r="I1196" s="10"/>
      <c r="J1196" s="11"/>
      <c r="K1196" s="11"/>
      <c r="L1196" s="11"/>
      <c r="M1196" s="10"/>
      <c r="N1196" s="11"/>
      <c r="O1196" s="10"/>
      <c r="P1196" s="11"/>
      <c r="Q1196" s="11"/>
      <c r="R1196" s="12"/>
    </row>
    <row r="1197" spans="1:18" x14ac:dyDescent="0.25">
      <c r="A1197" s="8"/>
      <c r="B1197" s="9"/>
      <c r="C1197" s="10"/>
      <c r="D1197" s="10"/>
      <c r="E1197" s="9"/>
      <c r="F1197" s="11"/>
      <c r="G1197" s="9"/>
      <c r="H1197" s="10"/>
      <c r="I1197" s="10"/>
      <c r="J1197" s="11"/>
      <c r="K1197" s="11"/>
      <c r="L1197" s="11"/>
      <c r="M1197" s="10"/>
      <c r="N1197" s="11"/>
      <c r="O1197" s="10"/>
      <c r="P1197" s="11"/>
      <c r="Q1197" s="11"/>
      <c r="R1197" s="12"/>
    </row>
    <row r="1198" spans="1:18" x14ac:dyDescent="0.25">
      <c r="A1198" s="8"/>
      <c r="B1198" s="9"/>
      <c r="C1198" s="10"/>
      <c r="D1198" s="10"/>
      <c r="E1198" s="9"/>
      <c r="F1198" s="11"/>
      <c r="G1198" s="9"/>
      <c r="H1198" s="10"/>
      <c r="I1198" s="10"/>
      <c r="J1198" s="11"/>
      <c r="K1198" s="11"/>
      <c r="L1198" s="11"/>
      <c r="M1198" s="10"/>
      <c r="N1198" s="11"/>
      <c r="O1198" s="10"/>
      <c r="P1198" s="11"/>
      <c r="Q1198" s="11"/>
      <c r="R1198" s="12"/>
    </row>
    <row r="1199" spans="1:18" x14ac:dyDescent="0.25">
      <c r="A1199" s="8"/>
      <c r="B1199" s="9"/>
      <c r="C1199" s="10"/>
      <c r="D1199" s="10"/>
      <c r="E1199" s="9"/>
      <c r="F1199" s="11"/>
      <c r="G1199" s="9"/>
      <c r="H1199" s="10"/>
      <c r="I1199" s="10"/>
      <c r="J1199" s="11"/>
      <c r="K1199" s="11"/>
      <c r="L1199" s="11"/>
      <c r="M1199" s="10"/>
      <c r="N1199" s="11"/>
      <c r="O1199" s="10"/>
      <c r="P1199" s="11"/>
      <c r="Q1199" s="11"/>
      <c r="R1199" s="12"/>
    </row>
    <row r="1200" spans="1:18" x14ac:dyDescent="0.25">
      <c r="A1200" s="8"/>
      <c r="B1200" s="9"/>
      <c r="C1200" s="10"/>
      <c r="D1200" s="10"/>
      <c r="E1200" s="9"/>
      <c r="F1200" s="11"/>
      <c r="G1200" s="9"/>
      <c r="H1200" s="10"/>
      <c r="I1200" s="10"/>
      <c r="J1200" s="11"/>
      <c r="K1200" s="11"/>
      <c r="L1200" s="11"/>
      <c r="M1200" s="10"/>
      <c r="N1200" s="11"/>
      <c r="O1200" s="10"/>
      <c r="P1200" s="11"/>
      <c r="Q1200" s="11"/>
      <c r="R1200" s="12"/>
    </row>
    <row r="1201" spans="1:18" x14ac:dyDescent="0.25">
      <c r="A1201" s="8"/>
      <c r="B1201" s="9"/>
      <c r="C1201" s="10"/>
      <c r="D1201" s="10"/>
      <c r="E1201" s="9"/>
      <c r="F1201" s="11"/>
      <c r="G1201" s="9"/>
      <c r="H1201" s="10"/>
      <c r="I1201" s="10"/>
      <c r="J1201" s="11"/>
      <c r="K1201" s="11"/>
      <c r="L1201" s="11"/>
      <c r="M1201" s="10"/>
      <c r="N1201" s="11"/>
      <c r="O1201" s="10"/>
      <c r="P1201" s="11"/>
      <c r="Q1201" s="11"/>
      <c r="R1201" s="12"/>
    </row>
    <row r="1202" spans="1:18" x14ac:dyDescent="0.25">
      <c r="A1202" s="8"/>
      <c r="B1202" s="9"/>
      <c r="C1202" s="10"/>
      <c r="D1202" s="10"/>
      <c r="E1202" s="9"/>
      <c r="F1202" s="11"/>
      <c r="G1202" s="9"/>
      <c r="H1202" s="10"/>
      <c r="I1202" s="10"/>
      <c r="J1202" s="11"/>
      <c r="K1202" s="11"/>
      <c r="L1202" s="11"/>
      <c r="M1202" s="10"/>
      <c r="N1202" s="11"/>
      <c r="O1202" s="10"/>
      <c r="P1202" s="11"/>
      <c r="Q1202" s="11"/>
      <c r="R1202" s="12"/>
    </row>
    <row r="1203" spans="1:18" x14ac:dyDescent="0.25">
      <c r="A1203" s="8"/>
      <c r="B1203" s="9"/>
      <c r="C1203" s="10"/>
      <c r="D1203" s="10"/>
      <c r="E1203" s="9"/>
      <c r="F1203" s="11"/>
      <c r="G1203" s="9"/>
      <c r="H1203" s="10"/>
      <c r="I1203" s="10"/>
      <c r="J1203" s="11"/>
      <c r="K1203" s="11"/>
      <c r="L1203" s="11"/>
      <c r="M1203" s="10"/>
      <c r="N1203" s="11"/>
      <c r="O1203" s="10"/>
      <c r="P1203" s="11"/>
      <c r="Q1203" s="11"/>
      <c r="R1203" s="12"/>
    </row>
    <row r="1204" spans="1:18" x14ac:dyDescent="0.25">
      <c r="A1204" s="8"/>
      <c r="B1204" s="9"/>
      <c r="C1204" s="10"/>
      <c r="D1204" s="10"/>
      <c r="E1204" s="9"/>
      <c r="F1204" s="11"/>
      <c r="G1204" s="9"/>
      <c r="H1204" s="10"/>
      <c r="I1204" s="10"/>
      <c r="J1204" s="11"/>
      <c r="K1204" s="11"/>
      <c r="L1204" s="11"/>
      <c r="M1204" s="10"/>
      <c r="N1204" s="11"/>
      <c r="O1204" s="10"/>
      <c r="P1204" s="11"/>
      <c r="Q1204" s="11"/>
      <c r="R1204" s="12"/>
    </row>
    <row r="1205" spans="1:18" x14ac:dyDescent="0.25">
      <c r="A1205" s="8"/>
      <c r="B1205" s="9"/>
      <c r="C1205" s="10"/>
      <c r="D1205" s="10"/>
      <c r="E1205" s="9"/>
      <c r="F1205" s="11"/>
      <c r="G1205" s="9"/>
      <c r="H1205" s="10"/>
      <c r="I1205" s="10"/>
      <c r="J1205" s="11"/>
      <c r="K1205" s="11"/>
      <c r="L1205" s="11"/>
      <c r="M1205" s="10"/>
      <c r="N1205" s="11"/>
      <c r="O1205" s="10"/>
      <c r="P1205" s="11"/>
      <c r="Q1205" s="11"/>
      <c r="R1205" s="12"/>
    </row>
    <row r="1206" spans="1:18" x14ac:dyDescent="0.25">
      <c r="A1206" s="8"/>
      <c r="B1206" s="9"/>
      <c r="C1206" s="10"/>
      <c r="D1206" s="10"/>
      <c r="E1206" s="9"/>
      <c r="F1206" s="11"/>
      <c r="G1206" s="9"/>
      <c r="H1206" s="10"/>
      <c r="I1206" s="10"/>
      <c r="J1206" s="11"/>
      <c r="K1206" s="11"/>
      <c r="L1206" s="11"/>
      <c r="M1206" s="10"/>
      <c r="N1206" s="11"/>
      <c r="O1206" s="10"/>
      <c r="P1206" s="11"/>
      <c r="Q1206" s="11"/>
      <c r="R1206" s="12"/>
    </row>
    <row r="1207" spans="1:18" x14ac:dyDescent="0.25">
      <c r="A1207" s="8"/>
      <c r="B1207" s="9"/>
      <c r="C1207" s="10"/>
      <c r="D1207" s="10"/>
      <c r="E1207" s="9"/>
      <c r="F1207" s="11"/>
      <c r="G1207" s="9"/>
      <c r="H1207" s="10"/>
      <c r="I1207" s="10"/>
      <c r="J1207" s="11"/>
      <c r="K1207" s="11"/>
      <c r="L1207" s="11"/>
      <c r="M1207" s="10"/>
      <c r="N1207" s="11"/>
      <c r="O1207" s="10"/>
      <c r="P1207" s="11"/>
      <c r="Q1207" s="11"/>
      <c r="R1207" s="12"/>
    </row>
    <row r="1208" spans="1:18" x14ac:dyDescent="0.25">
      <c r="A1208" s="8"/>
      <c r="B1208" s="9"/>
      <c r="C1208" s="10"/>
      <c r="D1208" s="10"/>
      <c r="E1208" s="9"/>
      <c r="F1208" s="11"/>
      <c r="G1208" s="9"/>
      <c r="H1208" s="10"/>
      <c r="I1208" s="10"/>
      <c r="J1208" s="11"/>
      <c r="K1208" s="11"/>
      <c r="L1208" s="11"/>
      <c r="M1208" s="10"/>
      <c r="N1208" s="11"/>
      <c r="O1208" s="10"/>
      <c r="P1208" s="11"/>
      <c r="Q1208" s="11"/>
      <c r="R1208" s="12"/>
    </row>
    <row r="1209" spans="1:18" x14ac:dyDescent="0.25">
      <c r="A1209" s="8"/>
      <c r="B1209" s="9"/>
      <c r="C1209" s="10"/>
      <c r="D1209" s="10"/>
      <c r="E1209" s="9"/>
      <c r="F1209" s="11"/>
      <c r="G1209" s="9"/>
      <c r="H1209" s="10"/>
      <c r="I1209" s="10"/>
      <c r="J1209" s="11"/>
      <c r="K1209" s="11"/>
      <c r="L1209" s="11"/>
      <c r="M1209" s="10"/>
      <c r="N1209" s="11"/>
      <c r="O1209" s="10"/>
      <c r="P1209" s="11"/>
      <c r="Q1209" s="11"/>
      <c r="R1209" s="12"/>
    </row>
    <row r="1210" spans="1:18" x14ac:dyDescent="0.25">
      <c r="A1210" s="8"/>
      <c r="B1210" s="9"/>
      <c r="C1210" s="10"/>
      <c r="D1210" s="10"/>
      <c r="E1210" s="9"/>
      <c r="F1210" s="11"/>
      <c r="G1210" s="9"/>
      <c r="H1210" s="10"/>
      <c r="I1210" s="10"/>
      <c r="J1210" s="11"/>
      <c r="K1210" s="11"/>
      <c r="L1210" s="11"/>
      <c r="M1210" s="10"/>
      <c r="N1210" s="11"/>
      <c r="O1210" s="10"/>
      <c r="P1210" s="11"/>
      <c r="Q1210" s="11"/>
      <c r="R1210" s="12"/>
    </row>
    <row r="1211" spans="1:18" x14ac:dyDescent="0.25">
      <c r="A1211" s="8"/>
      <c r="B1211" s="9"/>
      <c r="C1211" s="10"/>
      <c r="D1211" s="10"/>
      <c r="E1211" s="9"/>
      <c r="F1211" s="11"/>
      <c r="G1211" s="9"/>
      <c r="H1211" s="10"/>
      <c r="I1211" s="10"/>
      <c r="J1211" s="11"/>
      <c r="K1211" s="11"/>
      <c r="L1211" s="11"/>
      <c r="M1211" s="10"/>
      <c r="N1211" s="11"/>
      <c r="O1211" s="10"/>
      <c r="P1211" s="11"/>
      <c r="Q1211" s="11"/>
      <c r="R1211" s="12"/>
    </row>
    <row r="1212" spans="1:18" x14ac:dyDescent="0.25">
      <c r="A1212" s="8"/>
      <c r="B1212" s="9"/>
      <c r="C1212" s="10"/>
      <c r="D1212" s="10"/>
      <c r="E1212" s="9"/>
      <c r="F1212" s="11"/>
      <c r="G1212" s="9"/>
      <c r="H1212" s="10"/>
      <c r="I1212" s="10"/>
      <c r="J1212" s="11"/>
      <c r="K1212" s="11"/>
      <c r="L1212" s="11"/>
      <c r="M1212" s="10"/>
      <c r="N1212" s="11"/>
      <c r="O1212" s="10"/>
      <c r="P1212" s="11"/>
      <c r="Q1212" s="11"/>
      <c r="R1212" s="12"/>
    </row>
    <row r="1213" spans="1:18" x14ac:dyDescent="0.25">
      <c r="A1213" s="8"/>
      <c r="B1213" s="9"/>
      <c r="C1213" s="10"/>
      <c r="D1213" s="10"/>
      <c r="E1213" s="9"/>
      <c r="F1213" s="11"/>
      <c r="G1213" s="9"/>
      <c r="H1213" s="10"/>
      <c r="I1213" s="10"/>
      <c r="J1213" s="11"/>
      <c r="K1213" s="11"/>
      <c r="L1213" s="11"/>
      <c r="M1213" s="10"/>
      <c r="N1213" s="11"/>
      <c r="O1213" s="10"/>
      <c r="P1213" s="11"/>
      <c r="Q1213" s="11"/>
      <c r="R1213" s="12"/>
    </row>
    <row r="1214" spans="1:18" x14ac:dyDescent="0.25">
      <c r="A1214" s="8"/>
      <c r="B1214" s="9"/>
      <c r="C1214" s="10"/>
      <c r="D1214" s="10"/>
      <c r="E1214" s="9"/>
      <c r="F1214" s="11"/>
      <c r="G1214" s="9"/>
      <c r="H1214" s="10"/>
      <c r="I1214" s="10"/>
      <c r="J1214" s="11"/>
      <c r="K1214" s="11"/>
      <c r="L1214" s="11"/>
      <c r="M1214" s="10"/>
      <c r="N1214" s="11"/>
      <c r="O1214" s="10"/>
      <c r="P1214" s="11"/>
      <c r="Q1214" s="11"/>
      <c r="R1214" s="12"/>
    </row>
    <row r="1215" spans="1:18" x14ac:dyDescent="0.25">
      <c r="A1215" s="8"/>
      <c r="B1215" s="9"/>
      <c r="C1215" s="10"/>
      <c r="D1215" s="10"/>
      <c r="E1215" s="9"/>
      <c r="F1215" s="11"/>
      <c r="G1215" s="9"/>
      <c r="H1215" s="10"/>
      <c r="I1215" s="10"/>
      <c r="J1215" s="11"/>
      <c r="K1215" s="11"/>
      <c r="L1215" s="11"/>
      <c r="M1215" s="10"/>
      <c r="N1215" s="11"/>
      <c r="O1215" s="10"/>
      <c r="P1215" s="11"/>
      <c r="Q1215" s="11"/>
      <c r="R1215" s="12"/>
    </row>
    <row r="1216" spans="1:18" x14ac:dyDescent="0.25">
      <c r="A1216" s="8"/>
      <c r="B1216" s="9"/>
      <c r="C1216" s="10"/>
      <c r="D1216" s="10"/>
      <c r="E1216" s="9"/>
      <c r="F1216" s="11"/>
      <c r="G1216" s="9"/>
      <c r="H1216" s="10"/>
      <c r="I1216" s="10"/>
      <c r="J1216" s="11"/>
      <c r="K1216" s="11"/>
      <c r="L1216" s="11"/>
      <c r="M1216" s="10"/>
      <c r="N1216" s="11"/>
      <c r="O1216" s="10"/>
      <c r="P1216" s="11"/>
      <c r="Q1216" s="11"/>
      <c r="R1216" s="12"/>
    </row>
    <row r="1217" spans="1:18" x14ac:dyDescent="0.25">
      <c r="A1217" s="8"/>
      <c r="B1217" s="9"/>
      <c r="C1217" s="10"/>
      <c r="D1217" s="10"/>
      <c r="E1217" s="9"/>
      <c r="F1217" s="11"/>
      <c r="G1217" s="9"/>
      <c r="H1217" s="10"/>
      <c r="I1217" s="10"/>
      <c r="J1217" s="11"/>
      <c r="K1217" s="11"/>
      <c r="L1217" s="11"/>
      <c r="M1217" s="10"/>
      <c r="N1217" s="11"/>
      <c r="O1217" s="10"/>
      <c r="P1217" s="11"/>
      <c r="Q1217" s="11"/>
      <c r="R1217" s="12"/>
    </row>
    <row r="1218" spans="1:18" x14ac:dyDescent="0.25">
      <c r="A1218" s="8"/>
      <c r="B1218" s="9"/>
      <c r="C1218" s="10"/>
      <c r="D1218" s="10"/>
      <c r="E1218" s="9"/>
      <c r="F1218" s="11"/>
      <c r="G1218" s="9"/>
      <c r="H1218" s="10"/>
      <c r="I1218" s="10"/>
      <c r="J1218" s="11"/>
      <c r="K1218" s="11"/>
      <c r="L1218" s="11"/>
      <c r="M1218" s="10"/>
      <c r="N1218" s="11"/>
      <c r="O1218" s="10"/>
      <c r="P1218" s="11"/>
      <c r="Q1218" s="11"/>
      <c r="R1218" s="12"/>
    </row>
    <row r="1219" spans="1:18" x14ac:dyDescent="0.25">
      <c r="A1219" s="8"/>
      <c r="B1219" s="9"/>
      <c r="C1219" s="10"/>
      <c r="D1219" s="10"/>
      <c r="E1219" s="9"/>
      <c r="F1219" s="11"/>
      <c r="G1219" s="9"/>
      <c r="H1219" s="10"/>
      <c r="I1219" s="10"/>
      <c r="J1219" s="11"/>
      <c r="K1219" s="11"/>
      <c r="L1219" s="11"/>
      <c r="M1219" s="10"/>
      <c r="N1219" s="11"/>
      <c r="O1219" s="10"/>
      <c r="P1219" s="11"/>
      <c r="Q1219" s="11"/>
      <c r="R1219" s="12"/>
    </row>
    <row r="1220" spans="1:18" x14ac:dyDescent="0.25">
      <c r="A1220" s="8"/>
      <c r="B1220" s="9"/>
      <c r="C1220" s="10"/>
      <c r="D1220" s="10"/>
      <c r="E1220" s="9"/>
      <c r="F1220" s="11"/>
      <c r="G1220" s="9"/>
      <c r="H1220" s="10"/>
      <c r="I1220" s="10"/>
      <c r="J1220" s="11"/>
      <c r="K1220" s="11"/>
      <c r="L1220" s="11"/>
      <c r="M1220" s="10"/>
      <c r="N1220" s="11"/>
      <c r="O1220" s="10"/>
      <c r="P1220" s="11"/>
      <c r="Q1220" s="11"/>
      <c r="R1220" s="12"/>
    </row>
    <row r="1221" spans="1:18" x14ac:dyDescent="0.25">
      <c r="A1221" s="8"/>
      <c r="B1221" s="9"/>
      <c r="C1221" s="10"/>
      <c r="D1221" s="10"/>
      <c r="E1221" s="9"/>
      <c r="F1221" s="11"/>
      <c r="G1221" s="9"/>
      <c r="H1221" s="10"/>
      <c r="I1221" s="10"/>
      <c r="J1221" s="11"/>
      <c r="K1221" s="11"/>
      <c r="L1221" s="11"/>
      <c r="M1221" s="10"/>
      <c r="N1221" s="11"/>
      <c r="O1221" s="10"/>
      <c r="P1221" s="11"/>
      <c r="Q1221" s="11"/>
      <c r="R1221" s="12"/>
    </row>
    <row r="1222" spans="1:18" x14ac:dyDescent="0.25">
      <c r="A1222" s="8"/>
      <c r="B1222" s="9"/>
      <c r="C1222" s="10"/>
      <c r="D1222" s="10"/>
      <c r="E1222" s="9"/>
      <c r="F1222" s="11"/>
      <c r="G1222" s="9"/>
      <c r="H1222" s="10"/>
      <c r="I1222" s="10"/>
      <c r="J1222" s="11"/>
      <c r="K1222" s="11"/>
      <c r="L1222" s="11"/>
      <c r="M1222" s="10"/>
      <c r="N1222" s="11"/>
      <c r="O1222" s="10"/>
      <c r="P1222" s="11"/>
      <c r="Q1222" s="11"/>
      <c r="R1222" s="12"/>
    </row>
    <row r="1223" spans="1:18" x14ac:dyDescent="0.25">
      <c r="A1223" s="8"/>
      <c r="B1223" s="9"/>
      <c r="C1223" s="10"/>
      <c r="D1223" s="10"/>
      <c r="E1223" s="9"/>
      <c r="F1223" s="11"/>
      <c r="G1223" s="9"/>
      <c r="H1223" s="10"/>
      <c r="I1223" s="10"/>
      <c r="J1223" s="11"/>
      <c r="K1223" s="11"/>
      <c r="L1223" s="11"/>
      <c r="M1223" s="10"/>
      <c r="N1223" s="11"/>
      <c r="O1223" s="10"/>
      <c r="P1223" s="11"/>
      <c r="Q1223" s="11"/>
      <c r="R1223" s="12"/>
    </row>
    <row r="1224" spans="1:18" x14ac:dyDescent="0.25">
      <c r="A1224" s="8"/>
      <c r="B1224" s="9"/>
      <c r="C1224" s="10"/>
      <c r="D1224" s="10"/>
      <c r="E1224" s="9"/>
      <c r="F1224" s="11"/>
      <c r="G1224" s="9"/>
      <c r="H1224" s="10"/>
      <c r="I1224" s="10"/>
      <c r="J1224" s="11"/>
      <c r="K1224" s="11"/>
      <c r="L1224" s="11"/>
      <c r="M1224" s="10"/>
      <c r="N1224" s="11"/>
      <c r="O1224" s="10"/>
      <c r="P1224" s="11"/>
      <c r="Q1224" s="11"/>
      <c r="R1224" s="12"/>
    </row>
    <row r="1225" spans="1:18" x14ac:dyDescent="0.25">
      <c r="A1225" s="8"/>
      <c r="B1225" s="9"/>
      <c r="C1225" s="10"/>
      <c r="D1225" s="10"/>
      <c r="E1225" s="9"/>
      <c r="F1225" s="11"/>
      <c r="G1225" s="9"/>
      <c r="H1225" s="10"/>
      <c r="I1225" s="10"/>
      <c r="J1225" s="11"/>
      <c r="K1225" s="11"/>
      <c r="L1225" s="11"/>
      <c r="M1225" s="10"/>
      <c r="N1225" s="11"/>
      <c r="O1225" s="10"/>
      <c r="P1225" s="11"/>
      <c r="Q1225" s="11"/>
      <c r="R1225" s="12"/>
    </row>
    <row r="1226" spans="1:18" x14ac:dyDescent="0.25">
      <c r="A1226" s="8"/>
      <c r="B1226" s="9"/>
      <c r="C1226" s="10"/>
      <c r="D1226" s="10"/>
      <c r="E1226" s="9"/>
      <c r="F1226" s="11"/>
      <c r="G1226" s="9"/>
      <c r="H1226" s="10"/>
      <c r="I1226" s="10"/>
      <c r="J1226" s="11"/>
      <c r="K1226" s="11"/>
      <c r="L1226" s="11"/>
      <c r="M1226" s="10"/>
      <c r="N1226" s="11"/>
      <c r="O1226" s="10"/>
      <c r="P1226" s="11"/>
      <c r="Q1226" s="11"/>
      <c r="R1226" s="12"/>
    </row>
    <row r="1227" spans="1:18" x14ac:dyDescent="0.25">
      <c r="A1227" s="8"/>
      <c r="B1227" s="9"/>
      <c r="C1227" s="10"/>
      <c r="D1227" s="10"/>
      <c r="E1227" s="9"/>
      <c r="F1227" s="11"/>
      <c r="G1227" s="9"/>
      <c r="H1227" s="10"/>
      <c r="I1227" s="10"/>
      <c r="J1227" s="11"/>
      <c r="K1227" s="11"/>
      <c r="L1227" s="11"/>
      <c r="M1227" s="10"/>
      <c r="N1227" s="11"/>
      <c r="O1227" s="10"/>
      <c r="P1227" s="11"/>
      <c r="Q1227" s="11"/>
      <c r="R1227" s="12"/>
    </row>
    <row r="1228" spans="1:18" x14ac:dyDescent="0.25">
      <c r="A1228" s="8"/>
      <c r="B1228" s="9"/>
      <c r="C1228" s="10"/>
      <c r="D1228" s="10"/>
      <c r="E1228" s="9"/>
      <c r="F1228" s="11"/>
      <c r="G1228" s="9"/>
      <c r="H1228" s="10"/>
      <c r="I1228" s="10"/>
      <c r="J1228" s="11"/>
      <c r="K1228" s="11"/>
      <c r="L1228" s="11"/>
      <c r="M1228" s="10"/>
      <c r="N1228" s="11"/>
      <c r="O1228" s="10"/>
      <c r="P1228" s="11"/>
      <c r="Q1228" s="11"/>
      <c r="R1228" s="12"/>
    </row>
    <row r="1229" spans="1:18" x14ac:dyDescent="0.25">
      <c r="A1229" s="8"/>
      <c r="B1229" s="9"/>
      <c r="C1229" s="10"/>
      <c r="D1229" s="10"/>
      <c r="E1229" s="9"/>
      <c r="F1229" s="11"/>
      <c r="G1229" s="9"/>
      <c r="H1229" s="10"/>
      <c r="I1229" s="10"/>
      <c r="J1229" s="11"/>
      <c r="K1229" s="11"/>
      <c r="L1229" s="11"/>
      <c r="M1229" s="10"/>
      <c r="N1229" s="11"/>
      <c r="O1229" s="10"/>
      <c r="P1229" s="11"/>
      <c r="Q1229" s="11"/>
      <c r="R1229" s="12"/>
    </row>
    <row r="1230" spans="1:18" x14ac:dyDescent="0.25">
      <c r="A1230" s="8"/>
      <c r="B1230" s="9"/>
      <c r="C1230" s="10"/>
      <c r="D1230" s="10"/>
      <c r="E1230" s="9"/>
      <c r="F1230" s="11"/>
      <c r="G1230" s="9"/>
      <c r="H1230" s="10"/>
      <c r="I1230" s="10"/>
      <c r="J1230" s="11"/>
      <c r="K1230" s="11"/>
      <c r="L1230" s="11"/>
      <c r="M1230" s="10"/>
      <c r="N1230" s="11"/>
      <c r="O1230" s="10"/>
      <c r="P1230" s="11"/>
      <c r="Q1230" s="11"/>
      <c r="R1230" s="12"/>
    </row>
    <row r="1231" spans="1:18" x14ac:dyDescent="0.25">
      <c r="A1231" s="8"/>
      <c r="B1231" s="9"/>
      <c r="C1231" s="10"/>
      <c r="D1231" s="10"/>
      <c r="E1231" s="9"/>
      <c r="F1231" s="11"/>
      <c r="G1231" s="9"/>
      <c r="H1231" s="10"/>
      <c r="I1231" s="10"/>
      <c r="J1231" s="11"/>
      <c r="K1231" s="11"/>
      <c r="L1231" s="11"/>
      <c r="M1231" s="10"/>
      <c r="N1231" s="11"/>
      <c r="O1231" s="10"/>
      <c r="P1231" s="11"/>
      <c r="Q1231" s="11"/>
      <c r="R1231" s="12"/>
    </row>
    <row r="1232" spans="1:18" x14ac:dyDescent="0.25">
      <c r="A1232" s="8"/>
      <c r="B1232" s="9"/>
      <c r="C1232" s="10"/>
      <c r="D1232" s="10"/>
      <c r="E1232" s="9"/>
      <c r="F1232" s="11"/>
      <c r="G1232" s="9"/>
      <c r="H1232" s="10"/>
      <c r="I1232" s="10"/>
      <c r="J1232" s="11"/>
      <c r="K1232" s="11"/>
      <c r="L1232" s="11"/>
      <c r="M1232" s="10"/>
      <c r="N1232" s="11"/>
      <c r="O1232" s="10"/>
      <c r="P1232" s="11"/>
      <c r="Q1232" s="11"/>
      <c r="R1232" s="12"/>
    </row>
    <row r="1233" spans="1:18" x14ac:dyDescent="0.25">
      <c r="A1233" s="8"/>
      <c r="B1233" s="9"/>
      <c r="C1233" s="10"/>
      <c r="D1233" s="10"/>
      <c r="E1233" s="9"/>
      <c r="F1233" s="11"/>
      <c r="G1233" s="9"/>
      <c r="H1233" s="10"/>
      <c r="I1233" s="10"/>
      <c r="J1233" s="11"/>
      <c r="K1233" s="11"/>
      <c r="L1233" s="11"/>
      <c r="M1233" s="10"/>
      <c r="N1233" s="11"/>
      <c r="O1233" s="10"/>
      <c r="P1233" s="11"/>
      <c r="Q1233" s="11"/>
      <c r="R1233" s="12"/>
    </row>
    <row r="1234" spans="1:18" x14ac:dyDescent="0.25">
      <c r="A1234" s="8"/>
      <c r="B1234" s="9"/>
      <c r="C1234" s="10"/>
      <c r="D1234" s="10"/>
      <c r="E1234" s="9"/>
      <c r="F1234" s="11"/>
      <c r="G1234" s="9"/>
      <c r="H1234" s="10"/>
      <c r="I1234" s="10"/>
      <c r="J1234" s="11"/>
      <c r="K1234" s="11"/>
      <c r="L1234" s="11"/>
      <c r="M1234" s="10"/>
      <c r="N1234" s="11"/>
      <c r="O1234" s="10"/>
      <c r="P1234" s="11"/>
      <c r="Q1234" s="11"/>
      <c r="R1234" s="12"/>
    </row>
    <row r="1235" spans="1:18" x14ac:dyDescent="0.25">
      <c r="A1235" s="8"/>
      <c r="B1235" s="9"/>
      <c r="C1235" s="10"/>
      <c r="D1235" s="10"/>
      <c r="E1235" s="9"/>
      <c r="F1235" s="11"/>
      <c r="G1235" s="9"/>
      <c r="H1235" s="10"/>
      <c r="I1235" s="10"/>
      <c r="J1235" s="11"/>
      <c r="K1235" s="11"/>
      <c r="L1235" s="11"/>
      <c r="M1235" s="10"/>
      <c r="N1235" s="11"/>
      <c r="O1235" s="10"/>
      <c r="P1235" s="11"/>
      <c r="Q1235" s="11"/>
      <c r="R1235" s="12"/>
    </row>
    <row r="1236" spans="1:18" x14ac:dyDescent="0.25">
      <c r="A1236" s="8"/>
      <c r="B1236" s="9"/>
      <c r="C1236" s="10"/>
      <c r="D1236" s="10"/>
      <c r="E1236" s="9"/>
      <c r="F1236" s="11"/>
      <c r="G1236" s="9"/>
      <c r="H1236" s="10"/>
      <c r="I1236" s="10"/>
      <c r="J1236" s="11"/>
      <c r="K1236" s="11"/>
      <c r="L1236" s="11"/>
      <c r="M1236" s="10"/>
      <c r="N1236" s="11"/>
      <c r="O1236" s="10"/>
      <c r="P1236" s="11"/>
      <c r="Q1236" s="11"/>
      <c r="R1236" s="12"/>
    </row>
    <row r="1237" spans="1:18" x14ac:dyDescent="0.25">
      <c r="A1237" s="8"/>
      <c r="B1237" s="9"/>
      <c r="C1237" s="10"/>
      <c r="D1237" s="10"/>
      <c r="E1237" s="9"/>
      <c r="F1237" s="11"/>
      <c r="G1237" s="9"/>
      <c r="H1237" s="10"/>
      <c r="I1237" s="10"/>
      <c r="J1237" s="11"/>
      <c r="K1237" s="11"/>
      <c r="L1237" s="11"/>
      <c r="M1237" s="10"/>
      <c r="N1237" s="11"/>
      <c r="O1237" s="10"/>
      <c r="P1237" s="11"/>
      <c r="Q1237" s="11"/>
      <c r="R1237" s="12"/>
    </row>
    <row r="1238" spans="1:18" x14ac:dyDescent="0.25">
      <c r="A1238" s="8"/>
      <c r="B1238" s="9"/>
      <c r="C1238" s="10"/>
      <c r="D1238" s="10"/>
      <c r="E1238" s="9"/>
      <c r="F1238" s="11"/>
      <c r="G1238" s="9"/>
      <c r="H1238" s="10"/>
      <c r="I1238" s="10"/>
      <c r="J1238" s="11"/>
      <c r="K1238" s="11"/>
      <c r="L1238" s="11"/>
      <c r="M1238" s="10"/>
      <c r="N1238" s="11"/>
      <c r="O1238" s="10"/>
      <c r="P1238" s="11"/>
      <c r="Q1238" s="11"/>
      <c r="R1238" s="12"/>
    </row>
    <row r="1239" spans="1:18" x14ac:dyDescent="0.25">
      <c r="A1239" s="8"/>
      <c r="B1239" s="9"/>
      <c r="C1239" s="10"/>
      <c r="D1239" s="10"/>
      <c r="E1239" s="9"/>
      <c r="F1239" s="11"/>
      <c r="G1239" s="9"/>
      <c r="H1239" s="10"/>
      <c r="I1239" s="10"/>
      <c r="J1239" s="11"/>
      <c r="K1239" s="11"/>
      <c r="L1239" s="11"/>
      <c r="M1239" s="10"/>
      <c r="N1239" s="11"/>
      <c r="O1239" s="10"/>
      <c r="P1239" s="11"/>
      <c r="Q1239" s="11"/>
      <c r="R1239" s="12"/>
    </row>
    <row r="1240" spans="1:18" x14ac:dyDescent="0.25">
      <c r="A1240" s="8"/>
      <c r="B1240" s="9"/>
      <c r="C1240" s="10"/>
      <c r="D1240" s="10"/>
      <c r="E1240" s="9"/>
      <c r="F1240" s="11"/>
      <c r="G1240" s="9"/>
      <c r="H1240" s="10"/>
      <c r="I1240" s="10"/>
      <c r="J1240" s="11"/>
      <c r="K1240" s="11"/>
      <c r="L1240" s="11"/>
      <c r="M1240" s="10"/>
      <c r="N1240" s="11"/>
      <c r="O1240" s="10"/>
      <c r="P1240" s="11"/>
      <c r="Q1240" s="11"/>
      <c r="R1240" s="12"/>
    </row>
    <row r="1241" spans="1:18" x14ac:dyDescent="0.25">
      <c r="A1241" s="8"/>
      <c r="B1241" s="9"/>
      <c r="C1241" s="10"/>
      <c r="D1241" s="10"/>
      <c r="E1241" s="9"/>
      <c r="F1241" s="11"/>
      <c r="G1241" s="9"/>
      <c r="H1241" s="10"/>
      <c r="I1241" s="10"/>
      <c r="J1241" s="11"/>
      <c r="K1241" s="11"/>
      <c r="L1241" s="11"/>
      <c r="M1241" s="10"/>
      <c r="N1241" s="11"/>
      <c r="O1241" s="10"/>
      <c r="P1241" s="11"/>
      <c r="Q1241" s="11"/>
      <c r="R1241" s="12"/>
    </row>
    <row r="1242" spans="1:18" x14ac:dyDescent="0.25">
      <c r="A1242" s="8"/>
      <c r="B1242" s="9"/>
      <c r="C1242" s="10"/>
      <c r="D1242" s="10"/>
      <c r="E1242" s="9"/>
      <c r="F1242" s="11"/>
      <c r="G1242" s="9"/>
      <c r="H1242" s="10"/>
      <c r="I1242" s="10"/>
      <c r="J1242" s="11"/>
      <c r="K1242" s="11"/>
      <c r="L1242" s="11"/>
      <c r="M1242" s="10"/>
      <c r="N1242" s="11"/>
      <c r="O1242" s="10"/>
      <c r="P1242" s="11"/>
      <c r="Q1242" s="11"/>
      <c r="R1242" s="12"/>
    </row>
    <row r="1243" spans="1:18" x14ac:dyDescent="0.25">
      <c r="A1243" s="8"/>
      <c r="B1243" s="9"/>
      <c r="C1243" s="10"/>
      <c r="D1243" s="10"/>
      <c r="E1243" s="9"/>
      <c r="F1243" s="11"/>
      <c r="G1243" s="9"/>
      <c r="H1243" s="10"/>
      <c r="I1243" s="10"/>
      <c r="J1243" s="11"/>
      <c r="K1243" s="11"/>
      <c r="L1243" s="11"/>
      <c r="M1243" s="10"/>
      <c r="N1243" s="11"/>
      <c r="O1243" s="10"/>
      <c r="P1243" s="11"/>
      <c r="Q1243" s="11"/>
      <c r="R1243" s="12"/>
    </row>
    <row r="1244" spans="1:18" x14ac:dyDescent="0.25">
      <c r="A1244" s="8"/>
      <c r="B1244" s="9"/>
      <c r="C1244" s="10"/>
      <c r="D1244" s="10"/>
      <c r="E1244" s="9"/>
      <c r="F1244" s="11"/>
      <c r="G1244" s="9"/>
      <c r="H1244" s="10"/>
      <c r="I1244" s="10"/>
      <c r="J1244" s="11"/>
      <c r="K1244" s="11"/>
      <c r="L1244" s="11"/>
      <c r="M1244" s="10"/>
      <c r="N1244" s="11"/>
      <c r="O1244" s="10"/>
      <c r="P1244" s="11"/>
      <c r="Q1244" s="11"/>
      <c r="R1244" s="12"/>
    </row>
    <row r="1245" spans="1:18" x14ac:dyDescent="0.25">
      <c r="A1245" s="8"/>
      <c r="B1245" s="9"/>
      <c r="C1245" s="10"/>
      <c r="D1245" s="10"/>
      <c r="E1245" s="9"/>
      <c r="F1245" s="11"/>
      <c r="G1245" s="9"/>
      <c r="H1245" s="10"/>
      <c r="I1245" s="10"/>
      <c r="J1245" s="11"/>
      <c r="K1245" s="11"/>
      <c r="L1245" s="11"/>
      <c r="M1245" s="10"/>
      <c r="N1245" s="11"/>
      <c r="O1245" s="10"/>
      <c r="P1245" s="11"/>
      <c r="Q1245" s="11"/>
      <c r="R1245" s="12"/>
    </row>
    <row r="1246" spans="1:18" x14ac:dyDescent="0.25">
      <c r="A1246" s="8"/>
      <c r="B1246" s="9"/>
      <c r="C1246" s="10"/>
      <c r="D1246" s="10"/>
      <c r="E1246" s="9"/>
      <c r="F1246" s="11"/>
      <c r="G1246" s="9"/>
      <c r="H1246" s="10"/>
      <c r="I1246" s="10"/>
      <c r="J1246" s="11"/>
      <c r="K1246" s="11"/>
      <c r="L1246" s="11"/>
      <c r="M1246" s="10"/>
      <c r="N1246" s="11"/>
      <c r="O1246" s="10"/>
      <c r="P1246" s="11"/>
      <c r="Q1246" s="11"/>
      <c r="R1246" s="12"/>
    </row>
    <row r="1247" spans="1:18" x14ac:dyDescent="0.25">
      <c r="A1247" s="8"/>
      <c r="B1247" s="9"/>
      <c r="C1247" s="10"/>
      <c r="D1247" s="10"/>
      <c r="E1247" s="9"/>
      <c r="F1247" s="11"/>
      <c r="G1247" s="9"/>
      <c r="H1247" s="10"/>
      <c r="I1247" s="10"/>
      <c r="J1247" s="11"/>
      <c r="K1247" s="11"/>
      <c r="L1247" s="11"/>
      <c r="M1247" s="10"/>
      <c r="N1247" s="11"/>
      <c r="O1247" s="10"/>
      <c r="P1247" s="11"/>
      <c r="Q1247" s="11"/>
      <c r="R1247" s="12"/>
    </row>
    <row r="1248" spans="1:18" x14ac:dyDescent="0.25">
      <c r="A1248" s="8"/>
      <c r="B1248" s="9"/>
      <c r="C1248" s="10"/>
      <c r="D1248" s="10"/>
      <c r="E1248" s="9"/>
      <c r="F1248" s="11"/>
      <c r="G1248" s="9"/>
      <c r="H1248" s="10"/>
      <c r="I1248" s="10"/>
      <c r="J1248" s="11"/>
      <c r="K1248" s="11"/>
      <c r="L1248" s="11"/>
      <c r="M1248" s="10"/>
      <c r="N1248" s="11"/>
      <c r="O1248" s="10"/>
      <c r="P1248" s="11"/>
      <c r="Q1248" s="11"/>
      <c r="R1248" s="12"/>
    </row>
    <row r="1249" spans="1:18" x14ac:dyDescent="0.25">
      <c r="A1249" s="8"/>
      <c r="B1249" s="9"/>
      <c r="C1249" s="10"/>
      <c r="D1249" s="10"/>
      <c r="E1249" s="9"/>
      <c r="F1249" s="11"/>
      <c r="G1249" s="9"/>
      <c r="H1249" s="10"/>
      <c r="I1249" s="10"/>
      <c r="J1249" s="11"/>
      <c r="K1249" s="11"/>
      <c r="L1249" s="11"/>
      <c r="M1249" s="10"/>
      <c r="N1249" s="11"/>
      <c r="O1249" s="10"/>
      <c r="P1249" s="11"/>
      <c r="Q1249" s="11"/>
      <c r="R1249" s="12"/>
    </row>
    <row r="1250" spans="1:18" x14ac:dyDescent="0.25">
      <c r="A1250" s="8"/>
      <c r="B1250" s="9"/>
      <c r="C1250" s="10"/>
      <c r="D1250" s="10"/>
      <c r="E1250" s="9"/>
      <c r="F1250" s="11"/>
      <c r="G1250" s="9"/>
      <c r="H1250" s="10"/>
      <c r="I1250" s="10"/>
      <c r="J1250" s="11"/>
      <c r="K1250" s="11"/>
      <c r="L1250" s="11"/>
      <c r="M1250" s="10"/>
      <c r="N1250" s="11"/>
      <c r="O1250" s="10"/>
      <c r="P1250" s="11"/>
      <c r="Q1250" s="11"/>
      <c r="R1250" s="12"/>
    </row>
    <row r="1251" spans="1:18" x14ac:dyDescent="0.25">
      <c r="A1251" s="8"/>
      <c r="B1251" s="9"/>
      <c r="C1251" s="10"/>
      <c r="D1251" s="10"/>
      <c r="E1251" s="9"/>
      <c r="F1251" s="11"/>
      <c r="G1251" s="9"/>
      <c r="H1251" s="10"/>
      <c r="I1251" s="10"/>
      <c r="J1251" s="11"/>
      <c r="K1251" s="11"/>
      <c r="L1251" s="11"/>
      <c r="M1251" s="10"/>
      <c r="N1251" s="11"/>
      <c r="O1251" s="10"/>
      <c r="P1251" s="11"/>
      <c r="Q1251" s="11"/>
      <c r="R1251" s="12"/>
    </row>
    <row r="1252" spans="1:18" x14ac:dyDescent="0.25">
      <c r="A1252" s="8"/>
      <c r="B1252" s="9"/>
      <c r="C1252" s="10"/>
      <c r="D1252" s="10"/>
      <c r="E1252" s="9"/>
      <c r="F1252" s="11"/>
      <c r="G1252" s="9"/>
      <c r="H1252" s="10"/>
      <c r="I1252" s="10"/>
      <c r="J1252" s="11"/>
      <c r="K1252" s="11"/>
      <c r="L1252" s="11"/>
      <c r="M1252" s="10"/>
      <c r="N1252" s="11"/>
      <c r="O1252" s="10"/>
      <c r="P1252" s="11"/>
      <c r="Q1252" s="11"/>
      <c r="R1252" s="12"/>
    </row>
    <row r="1253" spans="1:18" x14ac:dyDescent="0.25">
      <c r="A1253" s="8"/>
      <c r="B1253" s="9"/>
      <c r="C1253" s="10"/>
      <c r="D1253" s="10"/>
      <c r="E1253" s="9"/>
      <c r="F1253" s="11"/>
      <c r="G1253" s="9"/>
      <c r="H1253" s="10"/>
      <c r="I1253" s="10"/>
      <c r="J1253" s="11"/>
      <c r="K1253" s="11"/>
      <c r="L1253" s="11"/>
      <c r="M1253" s="10"/>
      <c r="N1253" s="11"/>
      <c r="O1253" s="10"/>
      <c r="P1253" s="11"/>
      <c r="Q1253" s="11"/>
      <c r="R1253" s="12"/>
    </row>
    <row r="1254" spans="1:18" x14ac:dyDescent="0.25">
      <c r="A1254" s="8"/>
      <c r="B1254" s="9"/>
      <c r="C1254" s="10"/>
      <c r="D1254" s="10"/>
      <c r="E1254" s="9"/>
      <c r="F1254" s="11"/>
      <c r="G1254" s="9"/>
      <c r="H1254" s="10"/>
      <c r="I1254" s="10"/>
      <c r="J1254" s="11"/>
      <c r="K1254" s="11"/>
      <c r="L1254" s="11"/>
      <c r="M1254" s="10"/>
      <c r="N1254" s="11"/>
      <c r="O1254" s="10"/>
      <c r="P1254" s="11"/>
      <c r="Q1254" s="11"/>
      <c r="R1254" s="12"/>
    </row>
    <row r="1255" spans="1:18" x14ac:dyDescent="0.25">
      <c r="A1255" s="8"/>
      <c r="B1255" s="9"/>
      <c r="C1255" s="10"/>
      <c r="D1255" s="10"/>
      <c r="E1255" s="9"/>
      <c r="F1255" s="11"/>
      <c r="G1255" s="9"/>
      <c r="H1255" s="10"/>
      <c r="I1255" s="10"/>
      <c r="J1255" s="11"/>
      <c r="K1255" s="11"/>
      <c r="L1255" s="11"/>
      <c r="M1255" s="10"/>
      <c r="N1255" s="11"/>
      <c r="O1255" s="10"/>
      <c r="P1255" s="11"/>
      <c r="Q1255" s="11"/>
      <c r="R1255" s="12"/>
    </row>
    <row r="1256" spans="1:18" x14ac:dyDescent="0.25">
      <c r="A1256" s="8"/>
      <c r="B1256" s="9"/>
      <c r="C1256" s="10"/>
      <c r="D1256" s="10"/>
      <c r="E1256" s="9"/>
      <c r="F1256" s="11"/>
      <c r="G1256" s="9"/>
      <c r="H1256" s="10"/>
      <c r="I1256" s="10"/>
      <c r="J1256" s="11"/>
      <c r="K1256" s="11"/>
      <c r="L1256" s="11"/>
      <c r="M1256" s="10"/>
      <c r="N1256" s="11"/>
      <c r="O1256" s="10"/>
      <c r="P1256" s="11"/>
      <c r="Q1256" s="11"/>
      <c r="R1256" s="12"/>
    </row>
    <row r="1257" spans="1:18" x14ac:dyDescent="0.25">
      <c r="A1257" s="8"/>
      <c r="B1257" s="9"/>
      <c r="C1257" s="10"/>
      <c r="D1257" s="10"/>
      <c r="E1257" s="9"/>
      <c r="F1257" s="11"/>
      <c r="G1257" s="9"/>
      <c r="H1257" s="10"/>
      <c r="I1257" s="10"/>
      <c r="J1257" s="11"/>
      <c r="K1257" s="11"/>
      <c r="L1257" s="11"/>
      <c r="M1257" s="10"/>
      <c r="N1257" s="11"/>
      <c r="O1257" s="10"/>
      <c r="P1257" s="11"/>
      <c r="Q1257" s="11"/>
      <c r="R1257" s="12"/>
    </row>
    <row r="1258" spans="1:18" x14ac:dyDescent="0.25">
      <c r="A1258" s="8"/>
      <c r="B1258" s="9"/>
      <c r="C1258" s="10"/>
      <c r="D1258" s="10"/>
      <c r="E1258" s="9"/>
      <c r="F1258" s="11"/>
      <c r="G1258" s="9"/>
      <c r="H1258" s="10"/>
      <c r="I1258" s="10"/>
      <c r="J1258" s="11"/>
      <c r="K1258" s="11"/>
      <c r="L1258" s="11"/>
      <c r="M1258" s="10"/>
      <c r="N1258" s="11"/>
      <c r="O1258" s="10"/>
      <c r="P1258" s="11"/>
      <c r="Q1258" s="11"/>
      <c r="R1258" s="12"/>
    </row>
    <row r="1259" spans="1:18" x14ac:dyDescent="0.25">
      <c r="A1259" s="8"/>
      <c r="B1259" s="9"/>
      <c r="C1259" s="10"/>
      <c r="D1259" s="10"/>
      <c r="E1259" s="9"/>
      <c r="F1259" s="11"/>
      <c r="G1259" s="9"/>
      <c r="H1259" s="10"/>
      <c r="I1259" s="10"/>
      <c r="J1259" s="11"/>
      <c r="K1259" s="11"/>
      <c r="L1259" s="11"/>
      <c r="M1259" s="10"/>
      <c r="N1259" s="11"/>
      <c r="O1259" s="10"/>
      <c r="P1259" s="11"/>
      <c r="Q1259" s="11"/>
      <c r="R1259" s="12"/>
    </row>
    <row r="1260" spans="1:18" x14ac:dyDescent="0.25">
      <c r="A1260" s="8"/>
      <c r="B1260" s="9"/>
      <c r="C1260" s="10"/>
      <c r="D1260" s="10"/>
      <c r="E1260" s="9"/>
      <c r="F1260" s="11"/>
      <c r="G1260" s="9"/>
      <c r="H1260" s="10"/>
      <c r="I1260" s="10"/>
      <c r="J1260" s="11"/>
      <c r="K1260" s="11"/>
      <c r="L1260" s="11"/>
      <c r="M1260" s="10"/>
      <c r="N1260" s="11"/>
      <c r="O1260" s="10"/>
      <c r="P1260" s="11"/>
      <c r="Q1260" s="11"/>
      <c r="R1260" s="12"/>
    </row>
    <row r="1261" spans="1:18" x14ac:dyDescent="0.25">
      <c r="A1261" s="8"/>
      <c r="B1261" s="9"/>
      <c r="C1261" s="10"/>
      <c r="D1261" s="10"/>
      <c r="E1261" s="9"/>
      <c r="F1261" s="11"/>
      <c r="G1261" s="9"/>
      <c r="H1261" s="10"/>
      <c r="I1261" s="10"/>
      <c r="J1261" s="11"/>
      <c r="K1261" s="11"/>
      <c r="L1261" s="11"/>
      <c r="M1261" s="10"/>
      <c r="N1261" s="11"/>
      <c r="O1261" s="10"/>
      <c r="P1261" s="11"/>
      <c r="Q1261" s="11"/>
      <c r="R1261" s="12"/>
    </row>
    <row r="1262" spans="1:18" x14ac:dyDescent="0.25">
      <c r="A1262" s="8"/>
      <c r="B1262" s="9"/>
      <c r="C1262" s="10"/>
      <c r="D1262" s="10"/>
      <c r="E1262" s="9"/>
      <c r="F1262" s="11"/>
      <c r="G1262" s="9"/>
      <c r="H1262" s="10"/>
      <c r="I1262" s="10"/>
      <c r="J1262" s="11"/>
      <c r="K1262" s="11"/>
      <c r="L1262" s="11"/>
      <c r="M1262" s="10"/>
      <c r="N1262" s="11"/>
      <c r="O1262" s="10"/>
      <c r="P1262" s="11"/>
      <c r="Q1262" s="11"/>
      <c r="R1262" s="12"/>
    </row>
    <row r="1263" spans="1:18" x14ac:dyDescent="0.25">
      <c r="A1263" s="8"/>
      <c r="B1263" s="9"/>
      <c r="C1263" s="10"/>
      <c r="D1263" s="10"/>
      <c r="E1263" s="9"/>
      <c r="F1263" s="11"/>
      <c r="G1263" s="9"/>
      <c r="H1263" s="10"/>
      <c r="I1263" s="10"/>
      <c r="J1263" s="11"/>
      <c r="K1263" s="11"/>
      <c r="L1263" s="11"/>
      <c r="M1263" s="10"/>
      <c r="N1263" s="11"/>
      <c r="O1263" s="10"/>
      <c r="P1263" s="11"/>
      <c r="Q1263" s="11"/>
      <c r="R1263" s="12"/>
    </row>
    <row r="1264" spans="1:18" x14ac:dyDescent="0.25">
      <c r="A1264" s="8"/>
      <c r="B1264" s="9"/>
      <c r="C1264" s="10"/>
      <c r="D1264" s="10"/>
      <c r="E1264" s="9"/>
      <c r="F1264" s="11"/>
      <c r="G1264" s="9"/>
      <c r="H1264" s="10"/>
      <c r="I1264" s="10"/>
      <c r="J1264" s="11"/>
      <c r="K1264" s="11"/>
      <c r="L1264" s="11"/>
      <c r="M1264" s="10"/>
      <c r="N1264" s="11"/>
      <c r="O1264" s="10"/>
      <c r="P1264" s="11"/>
      <c r="Q1264" s="11"/>
      <c r="R1264" s="12"/>
    </row>
    <row r="1265" spans="1:18" x14ac:dyDescent="0.25">
      <c r="A1265" s="8"/>
      <c r="B1265" s="9"/>
      <c r="C1265" s="10"/>
      <c r="D1265" s="10"/>
      <c r="E1265" s="9"/>
      <c r="F1265" s="11"/>
      <c r="G1265" s="9"/>
      <c r="H1265" s="10"/>
      <c r="I1265" s="10"/>
      <c r="J1265" s="11"/>
      <c r="K1265" s="11"/>
      <c r="L1265" s="11"/>
      <c r="M1265" s="10"/>
      <c r="N1265" s="11"/>
      <c r="O1265" s="10"/>
      <c r="P1265" s="11"/>
      <c r="Q1265" s="11"/>
      <c r="R1265" s="12"/>
    </row>
    <row r="1266" spans="1:18" x14ac:dyDescent="0.25">
      <c r="A1266" s="8"/>
      <c r="B1266" s="9"/>
      <c r="C1266" s="10"/>
      <c r="D1266" s="10"/>
      <c r="E1266" s="9"/>
      <c r="F1266" s="11"/>
      <c r="G1266" s="9"/>
      <c r="H1266" s="10"/>
      <c r="I1266" s="10"/>
      <c r="J1266" s="11"/>
      <c r="K1266" s="11"/>
      <c r="L1266" s="11"/>
      <c r="M1266" s="10"/>
      <c r="N1266" s="11"/>
      <c r="O1266" s="10"/>
      <c r="P1266" s="11"/>
      <c r="Q1266" s="11"/>
      <c r="R1266" s="12"/>
    </row>
    <row r="1267" spans="1:18" x14ac:dyDescent="0.25">
      <c r="A1267" s="8"/>
      <c r="B1267" s="9"/>
      <c r="C1267" s="10"/>
      <c r="D1267" s="10"/>
      <c r="E1267" s="9"/>
      <c r="F1267" s="11"/>
      <c r="G1267" s="9"/>
      <c r="H1267" s="10"/>
      <c r="I1267" s="10"/>
      <c r="J1267" s="11"/>
      <c r="K1267" s="11"/>
      <c r="L1267" s="11"/>
      <c r="M1267" s="10"/>
      <c r="N1267" s="11"/>
      <c r="O1267" s="10"/>
      <c r="P1267" s="11"/>
      <c r="Q1267" s="11"/>
      <c r="R1267" s="12"/>
    </row>
    <row r="1268" spans="1:18" x14ac:dyDescent="0.25">
      <c r="A1268" s="8"/>
      <c r="B1268" s="9"/>
      <c r="C1268" s="10"/>
      <c r="D1268" s="10"/>
      <c r="E1268" s="9"/>
      <c r="F1268" s="11"/>
      <c r="G1268" s="9"/>
      <c r="H1268" s="10"/>
      <c r="I1268" s="10"/>
      <c r="J1268" s="11"/>
      <c r="K1268" s="11"/>
      <c r="L1268" s="11"/>
      <c r="M1268" s="10"/>
      <c r="N1268" s="11"/>
      <c r="O1268" s="10"/>
      <c r="P1268" s="11"/>
      <c r="Q1268" s="11"/>
      <c r="R1268" s="12"/>
    </row>
    <row r="1269" spans="1:18" x14ac:dyDescent="0.25">
      <c r="A1269" s="8"/>
      <c r="B1269" s="9"/>
      <c r="C1269" s="10"/>
      <c r="D1269" s="10"/>
      <c r="E1269" s="9"/>
      <c r="F1269" s="11"/>
      <c r="G1269" s="9"/>
      <c r="H1269" s="10"/>
      <c r="I1269" s="10"/>
      <c r="J1269" s="11"/>
      <c r="K1269" s="11"/>
      <c r="L1269" s="11"/>
      <c r="M1269" s="10"/>
      <c r="N1269" s="11"/>
      <c r="O1269" s="10"/>
      <c r="P1269" s="11"/>
      <c r="Q1269" s="11"/>
      <c r="R1269" s="12"/>
    </row>
    <row r="1270" spans="1:18" x14ac:dyDescent="0.25">
      <c r="A1270" s="8"/>
      <c r="B1270" s="9"/>
      <c r="C1270" s="10"/>
      <c r="D1270" s="10"/>
      <c r="E1270" s="9"/>
      <c r="F1270" s="11"/>
      <c r="G1270" s="9"/>
      <c r="H1270" s="10"/>
      <c r="I1270" s="10"/>
      <c r="J1270" s="11"/>
      <c r="K1270" s="11"/>
      <c r="L1270" s="11"/>
      <c r="M1270" s="10"/>
      <c r="N1270" s="11"/>
      <c r="O1270" s="10"/>
      <c r="P1270" s="11"/>
      <c r="Q1270" s="11"/>
      <c r="R1270" s="12"/>
    </row>
    <row r="1271" spans="1:18" x14ac:dyDescent="0.25">
      <c r="A1271" s="8"/>
      <c r="B1271" s="9"/>
      <c r="C1271" s="10"/>
      <c r="D1271" s="10"/>
      <c r="E1271" s="9"/>
      <c r="F1271" s="11"/>
      <c r="G1271" s="9"/>
      <c r="H1271" s="10"/>
      <c r="I1271" s="10"/>
      <c r="J1271" s="11"/>
      <c r="K1271" s="11"/>
      <c r="L1271" s="11"/>
      <c r="M1271" s="10"/>
      <c r="N1271" s="11"/>
      <c r="O1271" s="10"/>
      <c r="P1271" s="11"/>
      <c r="Q1271" s="11"/>
      <c r="R1271" s="12"/>
    </row>
    <row r="1272" spans="1:18" x14ac:dyDescent="0.25">
      <c r="A1272" s="8"/>
      <c r="B1272" s="9"/>
      <c r="C1272" s="10"/>
      <c r="D1272" s="10"/>
      <c r="E1272" s="9"/>
      <c r="F1272" s="11"/>
      <c r="G1272" s="9"/>
      <c r="H1272" s="10"/>
      <c r="I1272" s="10"/>
      <c r="J1272" s="11"/>
      <c r="K1272" s="11"/>
      <c r="L1272" s="11"/>
      <c r="M1272" s="10"/>
      <c r="N1272" s="11"/>
      <c r="O1272" s="10"/>
      <c r="P1272" s="11"/>
      <c r="Q1272" s="11"/>
      <c r="R1272" s="12"/>
    </row>
    <row r="1273" spans="1:18" x14ac:dyDescent="0.25">
      <c r="A1273" s="8"/>
      <c r="B1273" s="9"/>
      <c r="C1273" s="10"/>
      <c r="D1273" s="10"/>
      <c r="E1273" s="9"/>
      <c r="F1273" s="11"/>
      <c r="G1273" s="9"/>
      <c r="H1273" s="10"/>
      <c r="I1273" s="10"/>
      <c r="J1273" s="11"/>
      <c r="K1273" s="11"/>
      <c r="L1273" s="11"/>
      <c r="M1273" s="10"/>
      <c r="N1273" s="11"/>
      <c r="O1273" s="10"/>
      <c r="P1273" s="11"/>
      <c r="Q1273" s="11"/>
      <c r="R1273" s="12"/>
    </row>
    <row r="1274" spans="1:18" x14ac:dyDescent="0.25">
      <c r="A1274" s="8"/>
      <c r="B1274" s="9"/>
      <c r="C1274" s="10"/>
      <c r="D1274" s="10"/>
      <c r="E1274" s="9"/>
      <c r="F1274" s="11"/>
      <c r="G1274" s="9"/>
      <c r="H1274" s="10"/>
      <c r="I1274" s="10"/>
      <c r="J1274" s="11"/>
      <c r="K1274" s="11"/>
      <c r="L1274" s="11"/>
      <c r="M1274" s="10"/>
      <c r="N1274" s="11"/>
      <c r="O1274" s="10"/>
      <c r="P1274" s="11"/>
      <c r="Q1274" s="11"/>
      <c r="R1274" s="12"/>
    </row>
    <row r="1275" spans="1:18" x14ac:dyDescent="0.25">
      <c r="A1275" s="8"/>
      <c r="B1275" s="9"/>
      <c r="C1275" s="10"/>
      <c r="D1275" s="10"/>
      <c r="E1275" s="9"/>
      <c r="F1275" s="11"/>
      <c r="G1275" s="9"/>
      <c r="H1275" s="10"/>
      <c r="I1275" s="10"/>
      <c r="J1275" s="11"/>
      <c r="K1275" s="11"/>
      <c r="L1275" s="11"/>
      <c r="M1275" s="10"/>
      <c r="N1275" s="11"/>
      <c r="O1275" s="10"/>
      <c r="P1275" s="11"/>
      <c r="Q1275" s="11"/>
      <c r="R1275" s="12"/>
    </row>
    <row r="1276" spans="1:18" x14ac:dyDescent="0.25">
      <c r="A1276" s="8"/>
      <c r="B1276" s="9"/>
      <c r="C1276" s="10"/>
      <c r="D1276" s="10"/>
      <c r="E1276" s="9"/>
      <c r="F1276" s="11"/>
      <c r="G1276" s="9"/>
      <c r="H1276" s="10"/>
      <c r="I1276" s="10"/>
      <c r="J1276" s="11"/>
      <c r="K1276" s="11"/>
      <c r="L1276" s="11"/>
      <c r="M1276" s="10"/>
      <c r="N1276" s="11"/>
      <c r="O1276" s="10"/>
      <c r="P1276" s="11"/>
      <c r="Q1276" s="11"/>
      <c r="R1276" s="12"/>
    </row>
    <row r="1277" spans="1:18" x14ac:dyDescent="0.25">
      <c r="A1277" s="8"/>
      <c r="B1277" s="9"/>
      <c r="C1277" s="10"/>
      <c r="D1277" s="10"/>
      <c r="E1277" s="9"/>
      <c r="F1277" s="11"/>
      <c r="G1277" s="9"/>
      <c r="H1277" s="10"/>
      <c r="I1277" s="10"/>
      <c r="J1277" s="11"/>
      <c r="K1277" s="11"/>
      <c r="L1277" s="11"/>
      <c r="M1277" s="10"/>
      <c r="N1277" s="11"/>
      <c r="O1277" s="10"/>
      <c r="P1277" s="11"/>
      <c r="Q1277" s="11"/>
      <c r="R1277" s="12"/>
    </row>
    <row r="1278" spans="1:18" x14ac:dyDescent="0.25">
      <c r="A1278" s="8"/>
      <c r="B1278" s="9"/>
      <c r="C1278" s="10"/>
      <c r="D1278" s="10"/>
      <c r="E1278" s="9"/>
      <c r="F1278" s="11"/>
      <c r="G1278" s="9"/>
      <c r="H1278" s="10"/>
      <c r="I1278" s="10"/>
      <c r="J1278" s="11"/>
      <c r="K1278" s="11"/>
      <c r="L1278" s="11"/>
      <c r="M1278" s="10"/>
      <c r="N1278" s="11"/>
      <c r="O1278" s="10"/>
      <c r="P1278" s="11"/>
      <c r="Q1278" s="11"/>
      <c r="R1278" s="12"/>
    </row>
    <row r="1279" spans="1:18" x14ac:dyDescent="0.25">
      <c r="A1279" s="8"/>
      <c r="B1279" s="9"/>
      <c r="C1279" s="10"/>
      <c r="D1279" s="10"/>
      <c r="E1279" s="9"/>
      <c r="F1279" s="11"/>
      <c r="G1279" s="9"/>
      <c r="H1279" s="10"/>
      <c r="I1279" s="10"/>
      <c r="J1279" s="11"/>
      <c r="K1279" s="11"/>
      <c r="L1279" s="11"/>
      <c r="M1279" s="10"/>
      <c r="N1279" s="11"/>
      <c r="O1279" s="10"/>
      <c r="P1279" s="11"/>
      <c r="Q1279" s="11"/>
      <c r="R1279" s="12"/>
    </row>
    <row r="1280" spans="1:18" x14ac:dyDescent="0.25">
      <c r="A1280" s="8"/>
      <c r="B1280" s="9"/>
      <c r="C1280" s="10"/>
      <c r="D1280" s="10"/>
      <c r="E1280" s="9"/>
      <c r="F1280" s="11"/>
      <c r="G1280" s="9"/>
      <c r="H1280" s="10"/>
      <c r="I1280" s="10"/>
      <c r="J1280" s="11"/>
      <c r="K1280" s="11"/>
      <c r="L1280" s="11"/>
      <c r="M1280" s="10"/>
      <c r="N1280" s="11"/>
      <c r="O1280" s="10"/>
      <c r="P1280" s="11"/>
      <c r="Q1280" s="11"/>
      <c r="R1280" s="12"/>
    </row>
    <row r="1281" spans="1:18" x14ac:dyDescent="0.25">
      <c r="A1281" s="8"/>
      <c r="B1281" s="9"/>
      <c r="C1281" s="10"/>
      <c r="D1281" s="10"/>
      <c r="E1281" s="9"/>
      <c r="F1281" s="11"/>
      <c r="G1281" s="9"/>
      <c r="H1281" s="10"/>
      <c r="I1281" s="10"/>
      <c r="J1281" s="11"/>
      <c r="K1281" s="11"/>
      <c r="L1281" s="11"/>
      <c r="M1281" s="10"/>
      <c r="N1281" s="11"/>
      <c r="O1281" s="10"/>
      <c r="P1281" s="11"/>
      <c r="Q1281" s="11"/>
      <c r="R1281" s="12"/>
    </row>
    <row r="1282" spans="1:18" x14ac:dyDescent="0.25">
      <c r="A1282" s="8"/>
      <c r="B1282" s="9"/>
      <c r="C1282" s="10"/>
      <c r="D1282" s="10"/>
      <c r="E1282" s="9"/>
      <c r="F1282" s="11"/>
      <c r="G1282" s="9"/>
      <c r="H1282" s="10"/>
      <c r="I1282" s="10"/>
      <c r="J1282" s="11"/>
      <c r="K1282" s="11"/>
      <c r="L1282" s="11"/>
      <c r="M1282" s="10"/>
      <c r="N1282" s="11"/>
      <c r="O1282" s="10"/>
      <c r="P1282" s="11"/>
      <c r="Q1282" s="11"/>
      <c r="R1282" s="12"/>
    </row>
    <row r="1283" spans="1:18" x14ac:dyDescent="0.25">
      <c r="A1283" s="8"/>
      <c r="B1283" s="9"/>
      <c r="C1283" s="10"/>
      <c r="D1283" s="10"/>
      <c r="E1283" s="9"/>
      <c r="F1283" s="11"/>
      <c r="G1283" s="9"/>
      <c r="H1283" s="10"/>
      <c r="I1283" s="10"/>
      <c r="J1283" s="11"/>
      <c r="K1283" s="11"/>
      <c r="L1283" s="11"/>
      <c r="M1283" s="10"/>
      <c r="N1283" s="11"/>
      <c r="O1283" s="10"/>
      <c r="P1283" s="11"/>
      <c r="Q1283" s="11"/>
      <c r="R1283" s="12"/>
    </row>
    <row r="1284" spans="1:18" x14ac:dyDescent="0.25">
      <c r="A1284" s="8"/>
      <c r="B1284" s="9"/>
      <c r="C1284" s="10"/>
      <c r="D1284" s="10"/>
      <c r="E1284" s="9"/>
      <c r="F1284" s="11"/>
      <c r="G1284" s="9"/>
      <c r="H1284" s="10"/>
      <c r="I1284" s="10"/>
      <c r="J1284" s="11"/>
      <c r="K1284" s="11"/>
      <c r="L1284" s="11"/>
      <c r="M1284" s="10"/>
      <c r="N1284" s="11"/>
      <c r="O1284" s="10"/>
      <c r="P1284" s="11"/>
      <c r="Q1284" s="11"/>
      <c r="R1284" s="12"/>
    </row>
    <row r="1285" spans="1:18" x14ac:dyDescent="0.25">
      <c r="A1285" s="8"/>
      <c r="B1285" s="9"/>
      <c r="C1285" s="10"/>
      <c r="D1285" s="10"/>
      <c r="E1285" s="9"/>
      <c r="F1285" s="11"/>
      <c r="G1285" s="9"/>
      <c r="H1285" s="10"/>
      <c r="I1285" s="10"/>
      <c r="J1285" s="11"/>
      <c r="K1285" s="11"/>
      <c r="L1285" s="11"/>
      <c r="M1285" s="10"/>
      <c r="N1285" s="11"/>
      <c r="O1285" s="10"/>
      <c r="P1285" s="11"/>
      <c r="Q1285" s="11"/>
      <c r="R1285" s="12"/>
    </row>
    <row r="1286" spans="1:18" x14ac:dyDescent="0.25">
      <c r="A1286" s="8"/>
      <c r="B1286" s="9"/>
      <c r="C1286" s="10"/>
      <c r="D1286" s="10"/>
      <c r="E1286" s="9"/>
      <c r="F1286" s="11"/>
      <c r="G1286" s="9"/>
      <c r="H1286" s="10"/>
      <c r="I1286" s="10"/>
      <c r="J1286" s="11"/>
      <c r="K1286" s="11"/>
      <c r="L1286" s="11"/>
      <c r="M1286" s="10"/>
      <c r="N1286" s="11"/>
      <c r="O1286" s="10"/>
      <c r="P1286" s="11"/>
      <c r="Q1286" s="11"/>
      <c r="R1286" s="12"/>
    </row>
    <row r="1287" spans="1:18" x14ac:dyDescent="0.25">
      <c r="A1287" s="8"/>
      <c r="B1287" s="9"/>
      <c r="C1287" s="10"/>
      <c r="D1287" s="10"/>
      <c r="E1287" s="9"/>
      <c r="F1287" s="11"/>
      <c r="G1287" s="9"/>
      <c r="H1287" s="10"/>
      <c r="I1287" s="10"/>
      <c r="J1287" s="11"/>
      <c r="K1287" s="11"/>
      <c r="L1287" s="11"/>
      <c r="M1287" s="10"/>
      <c r="N1287" s="11"/>
      <c r="O1287" s="10"/>
      <c r="P1287" s="11"/>
      <c r="Q1287" s="11"/>
      <c r="R1287" s="12"/>
    </row>
    <row r="1288" spans="1:18" x14ac:dyDescent="0.25">
      <c r="A1288" s="8"/>
      <c r="B1288" s="9"/>
      <c r="C1288" s="10"/>
      <c r="D1288" s="10"/>
      <c r="E1288" s="9"/>
      <c r="F1288" s="11"/>
      <c r="G1288" s="9"/>
      <c r="H1288" s="10"/>
      <c r="I1288" s="10"/>
      <c r="J1288" s="11"/>
      <c r="K1288" s="11"/>
      <c r="L1288" s="11"/>
      <c r="M1288" s="10"/>
      <c r="N1288" s="11"/>
      <c r="O1288" s="10"/>
      <c r="P1288" s="11"/>
      <c r="Q1288" s="11"/>
      <c r="R1288" s="12"/>
    </row>
    <row r="1289" spans="1:18" x14ac:dyDescent="0.25">
      <c r="A1289" s="8"/>
      <c r="B1289" s="9"/>
      <c r="C1289" s="10"/>
      <c r="D1289" s="10"/>
      <c r="E1289" s="9"/>
      <c r="F1289" s="11"/>
      <c r="G1289" s="9"/>
      <c r="H1289" s="10"/>
      <c r="I1289" s="10"/>
      <c r="J1289" s="11"/>
      <c r="K1289" s="11"/>
      <c r="L1289" s="11"/>
      <c r="M1289" s="10"/>
      <c r="N1289" s="11"/>
      <c r="O1289" s="10"/>
      <c r="P1289" s="11"/>
      <c r="Q1289" s="11"/>
      <c r="R1289" s="12"/>
    </row>
    <row r="1290" spans="1:18" x14ac:dyDescent="0.25">
      <c r="A1290" s="8"/>
      <c r="B1290" s="9"/>
      <c r="C1290" s="10"/>
      <c r="D1290" s="10"/>
      <c r="E1290" s="9"/>
      <c r="F1290" s="11"/>
      <c r="G1290" s="9"/>
      <c r="H1290" s="10"/>
      <c r="I1290" s="10"/>
      <c r="J1290" s="11"/>
      <c r="K1290" s="11"/>
      <c r="L1290" s="11"/>
      <c r="M1290" s="10"/>
      <c r="N1290" s="11"/>
      <c r="O1290" s="10"/>
      <c r="P1290" s="11"/>
      <c r="Q1290" s="11"/>
      <c r="R1290" s="12"/>
    </row>
    <row r="1291" spans="1:18" x14ac:dyDescent="0.25">
      <c r="A1291" s="8"/>
      <c r="B1291" s="9"/>
      <c r="C1291" s="10"/>
      <c r="D1291" s="10"/>
      <c r="E1291" s="9"/>
      <c r="F1291" s="11"/>
      <c r="G1291" s="9"/>
      <c r="H1291" s="10"/>
      <c r="I1291" s="10"/>
      <c r="J1291" s="11"/>
      <c r="K1291" s="11"/>
      <c r="L1291" s="11"/>
      <c r="M1291" s="10"/>
      <c r="N1291" s="11"/>
      <c r="O1291" s="10"/>
      <c r="P1291" s="11"/>
      <c r="Q1291" s="11"/>
      <c r="R1291" s="12"/>
    </row>
    <row r="1292" spans="1:18" x14ac:dyDescent="0.25">
      <c r="A1292" s="8"/>
      <c r="B1292" s="9"/>
      <c r="C1292" s="10"/>
      <c r="D1292" s="10"/>
      <c r="E1292" s="9"/>
      <c r="F1292" s="11"/>
      <c r="G1292" s="9"/>
      <c r="H1292" s="10"/>
      <c r="I1292" s="10"/>
      <c r="J1292" s="11"/>
      <c r="K1292" s="11"/>
      <c r="L1292" s="11"/>
      <c r="M1292" s="10"/>
      <c r="N1292" s="11"/>
      <c r="O1292" s="10"/>
      <c r="P1292" s="11"/>
      <c r="Q1292" s="11"/>
      <c r="R1292" s="12"/>
    </row>
    <row r="1293" spans="1:18" x14ac:dyDescent="0.25">
      <c r="A1293" s="8"/>
      <c r="B1293" s="9"/>
      <c r="C1293" s="10"/>
      <c r="D1293" s="10"/>
      <c r="E1293" s="9"/>
      <c r="F1293" s="11"/>
      <c r="G1293" s="9"/>
      <c r="H1293" s="10"/>
      <c r="I1293" s="10"/>
      <c r="J1293" s="11"/>
      <c r="K1293" s="11"/>
      <c r="L1293" s="11"/>
      <c r="M1293" s="10"/>
      <c r="N1293" s="11"/>
      <c r="O1293" s="10"/>
      <c r="P1293" s="11"/>
      <c r="Q1293" s="11"/>
      <c r="R1293" s="12"/>
    </row>
    <row r="1294" spans="1:18" x14ac:dyDescent="0.25">
      <c r="A1294" s="8"/>
      <c r="B1294" s="9"/>
      <c r="C1294" s="10"/>
      <c r="D1294" s="10"/>
      <c r="E1294" s="9"/>
      <c r="F1294" s="11"/>
      <c r="G1294" s="9"/>
      <c r="H1294" s="10"/>
      <c r="I1294" s="10"/>
      <c r="J1294" s="11"/>
      <c r="K1294" s="11"/>
      <c r="L1294" s="11"/>
      <c r="M1294" s="10"/>
      <c r="N1294" s="11"/>
      <c r="O1294" s="10"/>
      <c r="P1294" s="11"/>
      <c r="Q1294" s="11"/>
      <c r="R1294" s="12"/>
    </row>
    <row r="1295" spans="1:18" x14ac:dyDescent="0.25">
      <c r="A1295" s="8"/>
      <c r="B1295" s="9"/>
      <c r="C1295" s="10"/>
      <c r="D1295" s="10"/>
      <c r="E1295" s="9"/>
      <c r="F1295" s="11"/>
      <c r="G1295" s="9"/>
      <c r="H1295" s="10"/>
      <c r="I1295" s="10"/>
      <c r="J1295" s="11"/>
      <c r="K1295" s="11"/>
      <c r="L1295" s="11"/>
      <c r="M1295" s="10"/>
      <c r="N1295" s="11"/>
      <c r="O1295" s="10"/>
      <c r="P1295" s="11"/>
      <c r="Q1295" s="11"/>
      <c r="R1295" s="12"/>
    </row>
    <row r="1296" spans="1:18" x14ac:dyDescent="0.25">
      <c r="A1296" s="8"/>
      <c r="B1296" s="9"/>
      <c r="C1296" s="10"/>
      <c r="D1296" s="10"/>
      <c r="E1296" s="9"/>
      <c r="F1296" s="11"/>
      <c r="G1296" s="9"/>
      <c r="H1296" s="10"/>
      <c r="I1296" s="10"/>
      <c r="J1296" s="11"/>
      <c r="K1296" s="11"/>
      <c r="L1296" s="11"/>
      <c r="M1296" s="10"/>
      <c r="N1296" s="11"/>
      <c r="O1296" s="10"/>
      <c r="P1296" s="11"/>
      <c r="Q1296" s="11"/>
      <c r="R1296" s="12"/>
    </row>
    <row r="1297" spans="1:18" x14ac:dyDescent="0.25">
      <c r="A1297" s="8"/>
      <c r="B1297" s="9"/>
      <c r="C1297" s="10"/>
      <c r="D1297" s="10"/>
      <c r="E1297" s="9"/>
      <c r="F1297" s="11"/>
      <c r="G1297" s="9"/>
      <c r="H1297" s="10"/>
      <c r="I1297" s="10"/>
      <c r="J1297" s="11"/>
      <c r="K1297" s="11"/>
      <c r="L1297" s="11"/>
      <c r="M1297" s="10"/>
      <c r="N1297" s="11"/>
      <c r="O1297" s="10"/>
      <c r="P1297" s="11"/>
      <c r="Q1297" s="11"/>
      <c r="R1297" s="12"/>
    </row>
    <row r="1298" spans="1:18" x14ac:dyDescent="0.25">
      <c r="A1298" s="8"/>
      <c r="B1298" s="9"/>
      <c r="C1298" s="10"/>
      <c r="D1298" s="10"/>
      <c r="E1298" s="9"/>
      <c r="F1298" s="11"/>
      <c r="G1298" s="9"/>
      <c r="H1298" s="10"/>
      <c r="I1298" s="10"/>
      <c r="J1298" s="11"/>
      <c r="K1298" s="11"/>
      <c r="L1298" s="11"/>
      <c r="M1298" s="10"/>
      <c r="N1298" s="11"/>
      <c r="O1298" s="10"/>
      <c r="P1298" s="11"/>
      <c r="Q1298" s="11"/>
      <c r="R1298" s="12"/>
    </row>
    <row r="1299" spans="1:18" x14ac:dyDescent="0.25">
      <c r="A1299" s="8"/>
      <c r="B1299" s="9"/>
      <c r="C1299" s="10"/>
      <c r="D1299" s="10"/>
      <c r="E1299" s="9"/>
      <c r="F1299" s="11"/>
      <c r="G1299" s="9"/>
      <c r="H1299" s="10"/>
      <c r="I1299" s="10"/>
      <c r="J1299" s="11"/>
      <c r="K1299" s="11"/>
      <c r="L1299" s="11"/>
      <c r="M1299" s="10"/>
      <c r="N1299" s="11"/>
      <c r="O1299" s="10"/>
      <c r="P1299" s="11"/>
      <c r="Q1299" s="11"/>
      <c r="R1299" s="12"/>
    </row>
    <row r="1300" spans="1:18" x14ac:dyDescent="0.25">
      <c r="A1300" s="8"/>
      <c r="B1300" s="9"/>
      <c r="C1300" s="10"/>
      <c r="D1300" s="10"/>
      <c r="E1300" s="9"/>
      <c r="F1300" s="11"/>
      <c r="G1300" s="9"/>
      <c r="H1300" s="10"/>
      <c r="I1300" s="10"/>
      <c r="J1300" s="11"/>
      <c r="K1300" s="11"/>
      <c r="L1300" s="11"/>
      <c r="M1300" s="10"/>
      <c r="N1300" s="11"/>
      <c r="O1300" s="10"/>
      <c r="P1300" s="11"/>
      <c r="Q1300" s="11"/>
      <c r="R1300" s="12"/>
    </row>
    <row r="1301" spans="1:18" x14ac:dyDescent="0.25">
      <c r="A1301" s="8"/>
      <c r="B1301" s="9"/>
      <c r="C1301" s="10"/>
      <c r="D1301" s="10"/>
      <c r="E1301" s="9"/>
      <c r="F1301" s="11"/>
      <c r="G1301" s="9"/>
      <c r="H1301" s="10"/>
      <c r="I1301" s="10"/>
      <c r="J1301" s="11"/>
      <c r="K1301" s="11"/>
      <c r="L1301" s="11"/>
      <c r="M1301" s="10"/>
      <c r="N1301" s="11"/>
      <c r="O1301" s="10"/>
      <c r="P1301" s="11"/>
      <c r="Q1301" s="11"/>
      <c r="R1301" s="12"/>
    </row>
    <row r="1302" spans="1:18" x14ac:dyDescent="0.25">
      <c r="A1302" s="8"/>
      <c r="B1302" s="9"/>
      <c r="C1302" s="10"/>
      <c r="D1302" s="10"/>
      <c r="E1302" s="9"/>
      <c r="F1302" s="11"/>
      <c r="G1302" s="9"/>
      <c r="H1302" s="10"/>
      <c r="I1302" s="10"/>
      <c r="J1302" s="11"/>
      <c r="K1302" s="11"/>
      <c r="L1302" s="11"/>
      <c r="M1302" s="10"/>
      <c r="N1302" s="11"/>
      <c r="O1302" s="10"/>
      <c r="P1302" s="11"/>
      <c r="Q1302" s="11"/>
      <c r="R1302" s="12"/>
    </row>
    <row r="1303" spans="1:18" x14ac:dyDescent="0.25">
      <c r="A1303" s="8"/>
      <c r="B1303" s="9"/>
      <c r="C1303" s="10"/>
      <c r="D1303" s="10"/>
      <c r="E1303" s="9"/>
      <c r="F1303" s="11"/>
      <c r="G1303" s="9"/>
      <c r="H1303" s="10"/>
      <c r="I1303" s="10"/>
      <c r="J1303" s="11"/>
      <c r="K1303" s="11"/>
      <c r="L1303" s="11"/>
      <c r="M1303" s="10"/>
      <c r="N1303" s="11"/>
      <c r="O1303" s="10"/>
      <c r="P1303" s="11"/>
      <c r="Q1303" s="11"/>
      <c r="R1303" s="12"/>
    </row>
    <row r="1304" spans="1:18" x14ac:dyDescent="0.25">
      <c r="A1304" s="8"/>
      <c r="B1304" s="9"/>
      <c r="C1304" s="10"/>
      <c r="D1304" s="10"/>
      <c r="E1304" s="9"/>
      <c r="F1304" s="11"/>
      <c r="G1304" s="9"/>
      <c r="H1304" s="10"/>
      <c r="I1304" s="10"/>
      <c r="J1304" s="11"/>
      <c r="K1304" s="11"/>
      <c r="L1304" s="11"/>
      <c r="M1304" s="10"/>
      <c r="N1304" s="11"/>
      <c r="O1304" s="10"/>
      <c r="P1304" s="11"/>
      <c r="Q1304" s="11"/>
      <c r="R1304" s="12"/>
    </row>
    <row r="1305" spans="1:18" x14ac:dyDescent="0.25">
      <c r="A1305" s="8"/>
      <c r="B1305" s="9"/>
      <c r="C1305" s="10"/>
      <c r="D1305" s="10"/>
      <c r="E1305" s="9"/>
      <c r="F1305" s="11"/>
      <c r="G1305" s="9"/>
      <c r="H1305" s="10"/>
      <c r="I1305" s="10"/>
      <c r="J1305" s="11"/>
      <c r="K1305" s="11"/>
      <c r="L1305" s="11"/>
      <c r="M1305" s="10"/>
      <c r="N1305" s="11"/>
      <c r="O1305" s="10"/>
      <c r="P1305" s="11"/>
      <c r="Q1305" s="11"/>
      <c r="R1305" s="12"/>
    </row>
    <row r="1306" spans="1:18" x14ac:dyDescent="0.25">
      <c r="A1306" s="8"/>
      <c r="B1306" s="9"/>
      <c r="C1306" s="10"/>
      <c r="D1306" s="10"/>
      <c r="E1306" s="9"/>
      <c r="F1306" s="11"/>
      <c r="G1306" s="9"/>
      <c r="H1306" s="10"/>
      <c r="I1306" s="10"/>
      <c r="J1306" s="11"/>
      <c r="K1306" s="11"/>
      <c r="L1306" s="11"/>
      <c r="M1306" s="10"/>
      <c r="N1306" s="11"/>
      <c r="O1306" s="10"/>
      <c r="P1306" s="11"/>
      <c r="Q1306" s="11"/>
      <c r="R1306" s="12"/>
    </row>
    <row r="1307" spans="1:18" x14ac:dyDescent="0.25">
      <c r="A1307" s="8"/>
      <c r="B1307" s="9"/>
      <c r="C1307" s="10"/>
      <c r="D1307" s="10"/>
      <c r="E1307" s="9"/>
      <c r="F1307" s="11"/>
      <c r="G1307" s="9"/>
      <c r="H1307" s="10"/>
      <c r="I1307" s="10"/>
      <c r="J1307" s="11"/>
      <c r="K1307" s="11"/>
      <c r="L1307" s="11"/>
      <c r="M1307" s="10"/>
      <c r="N1307" s="11"/>
      <c r="O1307" s="10"/>
      <c r="P1307" s="11"/>
      <c r="Q1307" s="11"/>
      <c r="R1307" s="12"/>
    </row>
    <row r="1308" spans="1:18" x14ac:dyDescent="0.25">
      <c r="A1308" s="8"/>
      <c r="B1308" s="9"/>
      <c r="C1308" s="10"/>
      <c r="D1308" s="10"/>
      <c r="E1308" s="9"/>
      <c r="F1308" s="11"/>
      <c r="G1308" s="9"/>
      <c r="H1308" s="10"/>
      <c r="I1308" s="10"/>
      <c r="J1308" s="11"/>
      <c r="K1308" s="11"/>
      <c r="L1308" s="11"/>
      <c r="M1308" s="10"/>
      <c r="N1308" s="11"/>
      <c r="O1308" s="10"/>
      <c r="P1308" s="11"/>
      <c r="Q1308" s="11"/>
      <c r="R1308" s="12"/>
    </row>
    <row r="1309" spans="1:18" x14ac:dyDescent="0.25">
      <c r="A1309" s="8"/>
      <c r="B1309" s="9"/>
      <c r="C1309" s="10"/>
      <c r="D1309" s="10"/>
      <c r="E1309" s="9"/>
      <c r="F1309" s="11"/>
      <c r="G1309" s="9"/>
      <c r="H1309" s="10"/>
      <c r="I1309" s="10"/>
      <c r="J1309" s="11"/>
      <c r="K1309" s="11"/>
      <c r="L1309" s="11"/>
      <c r="M1309" s="10"/>
      <c r="N1309" s="11"/>
      <c r="O1309" s="10"/>
      <c r="P1309" s="11"/>
      <c r="Q1309" s="11"/>
      <c r="R1309" s="12"/>
    </row>
    <row r="1310" spans="1:18" x14ac:dyDescent="0.25">
      <c r="A1310" s="8"/>
      <c r="B1310" s="9"/>
      <c r="C1310" s="10"/>
      <c r="D1310" s="10"/>
      <c r="E1310" s="9"/>
      <c r="F1310" s="11"/>
      <c r="G1310" s="9"/>
      <c r="H1310" s="10"/>
      <c r="I1310" s="10"/>
      <c r="J1310" s="11"/>
      <c r="K1310" s="11"/>
      <c r="L1310" s="11"/>
      <c r="M1310" s="10"/>
      <c r="N1310" s="11"/>
      <c r="O1310" s="10"/>
      <c r="P1310" s="11"/>
      <c r="Q1310" s="11"/>
      <c r="R1310" s="12"/>
    </row>
    <row r="1311" spans="1:18" x14ac:dyDescent="0.25">
      <c r="A1311" s="8"/>
      <c r="B1311" s="9"/>
      <c r="C1311" s="10"/>
      <c r="D1311" s="10"/>
      <c r="E1311" s="9"/>
      <c r="F1311" s="11"/>
      <c r="G1311" s="9"/>
      <c r="H1311" s="10"/>
      <c r="I1311" s="10"/>
      <c r="J1311" s="11"/>
      <c r="K1311" s="11"/>
      <c r="L1311" s="11"/>
      <c r="M1311" s="10"/>
      <c r="N1311" s="11"/>
      <c r="O1311" s="10"/>
      <c r="P1311" s="11"/>
      <c r="Q1311" s="11"/>
      <c r="R1311" s="12"/>
    </row>
    <row r="1312" spans="1:18" x14ac:dyDescent="0.25">
      <c r="A1312" s="8"/>
      <c r="B1312" s="9"/>
      <c r="C1312" s="10"/>
      <c r="D1312" s="10"/>
      <c r="E1312" s="9"/>
      <c r="F1312" s="11"/>
      <c r="G1312" s="9"/>
      <c r="H1312" s="10"/>
      <c r="I1312" s="10"/>
      <c r="J1312" s="11"/>
      <c r="K1312" s="11"/>
      <c r="L1312" s="11"/>
      <c r="M1312" s="10"/>
      <c r="N1312" s="11"/>
      <c r="O1312" s="10"/>
      <c r="P1312" s="11"/>
      <c r="Q1312" s="11"/>
      <c r="R1312" s="12"/>
    </row>
    <row r="1313" spans="1:18" x14ac:dyDescent="0.25">
      <c r="A1313" s="8"/>
      <c r="B1313" s="9"/>
      <c r="C1313" s="10"/>
      <c r="D1313" s="10"/>
      <c r="E1313" s="9"/>
      <c r="F1313" s="11"/>
      <c r="G1313" s="9"/>
      <c r="H1313" s="10"/>
      <c r="I1313" s="10"/>
      <c r="J1313" s="11"/>
      <c r="K1313" s="11"/>
      <c r="L1313" s="11"/>
      <c r="M1313" s="10"/>
      <c r="N1313" s="11"/>
      <c r="O1313" s="10"/>
      <c r="P1313" s="11"/>
      <c r="Q1313" s="11"/>
      <c r="R1313" s="12"/>
    </row>
    <row r="1314" spans="1:18" x14ac:dyDescent="0.25">
      <c r="A1314" s="8"/>
      <c r="B1314" s="9"/>
      <c r="C1314" s="10"/>
      <c r="D1314" s="10"/>
      <c r="E1314" s="9"/>
      <c r="F1314" s="11"/>
      <c r="G1314" s="9"/>
      <c r="H1314" s="10"/>
      <c r="I1314" s="10"/>
      <c r="J1314" s="11"/>
      <c r="K1314" s="11"/>
      <c r="L1314" s="11"/>
      <c r="M1314" s="10"/>
      <c r="N1314" s="11"/>
      <c r="O1314" s="10"/>
      <c r="P1314" s="11"/>
      <c r="Q1314" s="11"/>
      <c r="R1314" s="12"/>
    </row>
    <row r="1315" spans="1:18" x14ac:dyDescent="0.25">
      <c r="A1315" s="8"/>
      <c r="B1315" s="9"/>
      <c r="C1315" s="10"/>
      <c r="D1315" s="10"/>
      <c r="E1315" s="9"/>
      <c r="F1315" s="11"/>
      <c r="G1315" s="9"/>
      <c r="H1315" s="10"/>
      <c r="I1315" s="10"/>
      <c r="J1315" s="11"/>
      <c r="K1315" s="11"/>
      <c r="L1315" s="11"/>
      <c r="M1315" s="10"/>
      <c r="N1315" s="11"/>
      <c r="O1315" s="10"/>
      <c r="P1315" s="11"/>
      <c r="Q1315" s="11"/>
      <c r="R1315" s="12"/>
    </row>
    <row r="1316" spans="1:18" x14ac:dyDescent="0.25">
      <c r="A1316" s="8"/>
      <c r="B1316" s="9"/>
      <c r="C1316" s="10"/>
      <c r="D1316" s="10"/>
      <c r="E1316" s="9"/>
      <c r="F1316" s="11"/>
      <c r="G1316" s="9"/>
      <c r="H1316" s="10"/>
      <c r="I1316" s="10"/>
      <c r="J1316" s="11"/>
      <c r="K1316" s="11"/>
      <c r="L1316" s="11"/>
      <c r="M1316" s="10"/>
      <c r="N1316" s="11"/>
      <c r="O1316" s="10"/>
      <c r="P1316" s="11"/>
      <c r="Q1316" s="11"/>
      <c r="R1316" s="12"/>
    </row>
    <row r="1317" spans="1:18" x14ac:dyDescent="0.25">
      <c r="A1317" s="8"/>
      <c r="B1317" s="9"/>
      <c r="C1317" s="10"/>
      <c r="D1317" s="10"/>
      <c r="E1317" s="9"/>
      <c r="F1317" s="11"/>
      <c r="G1317" s="9"/>
      <c r="H1317" s="10"/>
      <c r="I1317" s="10"/>
      <c r="J1317" s="11"/>
      <c r="K1317" s="11"/>
      <c r="L1317" s="11"/>
      <c r="M1317" s="10"/>
      <c r="N1317" s="11"/>
      <c r="O1317" s="10"/>
      <c r="P1317" s="11"/>
      <c r="Q1317" s="11"/>
      <c r="R1317" s="12"/>
    </row>
    <row r="1318" spans="1:18" x14ac:dyDescent="0.25">
      <c r="A1318" s="8"/>
      <c r="B1318" s="9"/>
      <c r="C1318" s="10"/>
      <c r="D1318" s="10"/>
      <c r="E1318" s="9"/>
      <c r="F1318" s="11"/>
      <c r="G1318" s="9"/>
      <c r="H1318" s="10"/>
      <c r="I1318" s="10"/>
      <c r="J1318" s="11"/>
      <c r="K1318" s="11"/>
      <c r="L1318" s="11"/>
      <c r="M1318" s="10"/>
      <c r="N1318" s="11"/>
      <c r="O1318" s="10"/>
      <c r="P1318" s="11"/>
      <c r="Q1318" s="11"/>
      <c r="R1318" s="12"/>
    </row>
    <row r="1319" spans="1:18" x14ac:dyDescent="0.25">
      <c r="A1319" s="8"/>
      <c r="B1319" s="9"/>
      <c r="C1319" s="10"/>
      <c r="D1319" s="10"/>
      <c r="E1319" s="9"/>
      <c r="F1319" s="11"/>
      <c r="G1319" s="9"/>
      <c r="H1319" s="10"/>
      <c r="I1319" s="10"/>
      <c r="J1319" s="11"/>
      <c r="K1319" s="11"/>
      <c r="L1319" s="11"/>
      <c r="M1319" s="10"/>
      <c r="N1319" s="11"/>
      <c r="O1319" s="10"/>
      <c r="P1319" s="11"/>
      <c r="Q1319" s="11"/>
      <c r="R1319" s="12"/>
    </row>
    <row r="1320" spans="1:18" x14ac:dyDescent="0.25">
      <c r="A1320" s="8"/>
      <c r="B1320" s="9"/>
      <c r="C1320" s="10"/>
      <c r="D1320" s="10"/>
      <c r="E1320" s="9"/>
      <c r="F1320" s="11"/>
      <c r="G1320" s="9"/>
      <c r="H1320" s="10"/>
      <c r="I1320" s="10"/>
      <c r="J1320" s="11"/>
      <c r="K1320" s="11"/>
      <c r="L1320" s="11"/>
      <c r="M1320" s="10"/>
      <c r="N1320" s="11"/>
      <c r="O1320" s="10"/>
      <c r="P1320" s="11"/>
      <c r="Q1320" s="11"/>
      <c r="R1320" s="12"/>
    </row>
    <row r="1321" spans="1:18" x14ac:dyDescent="0.25">
      <c r="A1321" s="8"/>
      <c r="B1321" s="9"/>
      <c r="C1321" s="10"/>
      <c r="D1321" s="10"/>
      <c r="E1321" s="9"/>
      <c r="F1321" s="11"/>
      <c r="G1321" s="9"/>
      <c r="H1321" s="10"/>
      <c r="I1321" s="10"/>
      <c r="J1321" s="11"/>
      <c r="K1321" s="11"/>
      <c r="L1321" s="11"/>
      <c r="M1321" s="10"/>
      <c r="N1321" s="11"/>
      <c r="O1321" s="10"/>
      <c r="P1321" s="11"/>
      <c r="Q1321" s="11"/>
      <c r="R1321" s="12"/>
    </row>
    <row r="1322" spans="1:18" x14ac:dyDescent="0.25">
      <c r="A1322" s="8"/>
      <c r="B1322" s="9"/>
      <c r="C1322" s="10"/>
      <c r="D1322" s="10"/>
      <c r="E1322" s="9"/>
      <c r="F1322" s="11"/>
      <c r="G1322" s="9"/>
      <c r="H1322" s="10"/>
      <c r="I1322" s="10"/>
      <c r="J1322" s="11"/>
      <c r="K1322" s="11"/>
      <c r="L1322" s="11"/>
      <c r="M1322" s="10"/>
      <c r="N1322" s="11"/>
      <c r="O1322" s="10"/>
      <c r="P1322" s="11"/>
      <c r="Q1322" s="11"/>
      <c r="R1322" s="12"/>
    </row>
    <row r="1323" spans="1:18" x14ac:dyDescent="0.25">
      <c r="A1323" s="8"/>
      <c r="B1323" s="9"/>
      <c r="C1323" s="10"/>
      <c r="D1323" s="10"/>
      <c r="E1323" s="9"/>
      <c r="F1323" s="11"/>
      <c r="G1323" s="9"/>
      <c r="H1323" s="10"/>
      <c r="I1323" s="10"/>
      <c r="J1323" s="11"/>
      <c r="K1323" s="11"/>
      <c r="L1323" s="11"/>
      <c r="M1323" s="10"/>
      <c r="N1323" s="11"/>
      <c r="O1323" s="10"/>
      <c r="P1323" s="11"/>
      <c r="Q1323" s="11"/>
      <c r="R1323" s="12"/>
    </row>
    <row r="1324" spans="1:18" x14ac:dyDescent="0.25">
      <c r="A1324" s="8"/>
      <c r="B1324" s="9"/>
      <c r="C1324" s="10"/>
      <c r="D1324" s="10"/>
      <c r="E1324" s="9"/>
      <c r="F1324" s="11"/>
      <c r="G1324" s="9"/>
      <c r="H1324" s="10"/>
      <c r="I1324" s="10"/>
      <c r="J1324" s="11"/>
      <c r="K1324" s="11"/>
      <c r="L1324" s="11"/>
      <c r="M1324" s="10"/>
      <c r="N1324" s="11"/>
      <c r="O1324" s="10"/>
      <c r="P1324" s="11"/>
      <c r="Q1324" s="11"/>
      <c r="R1324" s="12"/>
    </row>
    <row r="1325" spans="1:18" x14ac:dyDescent="0.25">
      <c r="A1325" s="8"/>
      <c r="B1325" s="9"/>
      <c r="C1325" s="10"/>
      <c r="D1325" s="10"/>
      <c r="E1325" s="9"/>
      <c r="F1325" s="11"/>
      <c r="G1325" s="9"/>
      <c r="H1325" s="10"/>
      <c r="I1325" s="10"/>
      <c r="J1325" s="11"/>
      <c r="K1325" s="11"/>
      <c r="L1325" s="11"/>
      <c r="M1325" s="10"/>
      <c r="N1325" s="11"/>
      <c r="O1325" s="10"/>
      <c r="P1325" s="11"/>
      <c r="Q1325" s="11"/>
      <c r="R1325" s="12"/>
    </row>
    <row r="1326" spans="1:18" x14ac:dyDescent="0.25">
      <c r="A1326" s="8"/>
      <c r="B1326" s="9"/>
      <c r="C1326" s="10"/>
      <c r="D1326" s="10"/>
      <c r="E1326" s="9"/>
      <c r="F1326" s="11"/>
      <c r="G1326" s="9"/>
      <c r="H1326" s="10"/>
      <c r="I1326" s="10"/>
      <c r="J1326" s="11"/>
      <c r="K1326" s="11"/>
      <c r="L1326" s="11"/>
      <c r="M1326" s="10"/>
      <c r="N1326" s="11"/>
      <c r="O1326" s="10"/>
      <c r="P1326" s="11"/>
      <c r="Q1326" s="11"/>
      <c r="R1326" s="12"/>
    </row>
    <row r="1327" spans="1:18" x14ac:dyDescent="0.25">
      <c r="A1327" s="8"/>
      <c r="B1327" s="9"/>
      <c r="C1327" s="10"/>
      <c r="D1327" s="10"/>
      <c r="E1327" s="9"/>
      <c r="F1327" s="11"/>
      <c r="G1327" s="9"/>
      <c r="H1327" s="10"/>
      <c r="I1327" s="10"/>
      <c r="J1327" s="11"/>
      <c r="K1327" s="11"/>
      <c r="L1327" s="11"/>
      <c r="M1327" s="10"/>
      <c r="N1327" s="11"/>
      <c r="O1327" s="10"/>
      <c r="P1327" s="11"/>
      <c r="Q1327" s="11"/>
      <c r="R1327" s="12"/>
    </row>
    <row r="1328" spans="1:18" x14ac:dyDescent="0.25">
      <c r="A1328" s="8"/>
      <c r="B1328" s="9"/>
      <c r="C1328" s="10"/>
      <c r="D1328" s="10"/>
      <c r="E1328" s="9"/>
      <c r="F1328" s="11"/>
      <c r="G1328" s="9"/>
      <c r="H1328" s="10"/>
      <c r="I1328" s="10"/>
      <c r="J1328" s="11"/>
      <c r="K1328" s="11"/>
      <c r="L1328" s="11"/>
      <c r="M1328" s="10"/>
      <c r="N1328" s="11"/>
      <c r="O1328" s="10"/>
      <c r="P1328" s="11"/>
      <c r="Q1328" s="11"/>
      <c r="R1328" s="12"/>
    </row>
    <row r="1329" spans="1:18" x14ac:dyDescent="0.25">
      <c r="A1329" s="8"/>
      <c r="B1329" s="9"/>
      <c r="C1329" s="10"/>
      <c r="D1329" s="10"/>
      <c r="E1329" s="9"/>
      <c r="F1329" s="11"/>
      <c r="G1329" s="9"/>
      <c r="H1329" s="10"/>
      <c r="I1329" s="10"/>
      <c r="J1329" s="11"/>
      <c r="K1329" s="11"/>
      <c r="L1329" s="11"/>
      <c r="M1329" s="10"/>
      <c r="N1329" s="11"/>
      <c r="O1329" s="10"/>
      <c r="P1329" s="11"/>
      <c r="Q1329" s="11"/>
      <c r="R1329" s="12"/>
    </row>
    <row r="1330" spans="1:18" x14ac:dyDescent="0.25">
      <c r="A1330" s="8"/>
      <c r="B1330" s="9"/>
      <c r="C1330" s="10"/>
      <c r="D1330" s="10"/>
      <c r="E1330" s="9"/>
      <c r="F1330" s="11"/>
      <c r="G1330" s="9"/>
      <c r="H1330" s="10"/>
      <c r="I1330" s="10"/>
      <c r="J1330" s="11"/>
      <c r="K1330" s="11"/>
      <c r="L1330" s="11"/>
      <c r="M1330" s="10"/>
      <c r="N1330" s="11"/>
      <c r="O1330" s="10"/>
      <c r="P1330" s="11"/>
      <c r="Q1330" s="11"/>
      <c r="R1330" s="12"/>
    </row>
    <row r="1331" spans="1:18" x14ac:dyDescent="0.25">
      <c r="A1331" s="8"/>
      <c r="B1331" s="9"/>
      <c r="C1331" s="10"/>
      <c r="D1331" s="10"/>
      <c r="E1331" s="9"/>
      <c r="F1331" s="11"/>
      <c r="G1331" s="9"/>
      <c r="H1331" s="10"/>
      <c r="I1331" s="10"/>
      <c r="J1331" s="11"/>
      <c r="K1331" s="11"/>
      <c r="L1331" s="11"/>
      <c r="M1331" s="10"/>
      <c r="N1331" s="11"/>
      <c r="O1331" s="10"/>
      <c r="P1331" s="11"/>
      <c r="Q1331" s="11"/>
      <c r="R1331" s="12"/>
    </row>
    <row r="1332" spans="1:18" x14ac:dyDescent="0.25">
      <c r="A1332" s="8"/>
      <c r="B1332" s="9"/>
      <c r="C1332" s="10"/>
      <c r="D1332" s="10"/>
      <c r="E1332" s="9"/>
      <c r="F1332" s="11"/>
      <c r="G1332" s="9"/>
      <c r="H1332" s="10"/>
      <c r="I1332" s="10"/>
      <c r="J1332" s="11"/>
      <c r="K1332" s="11"/>
      <c r="L1332" s="11"/>
      <c r="M1332" s="10"/>
      <c r="N1332" s="11"/>
      <c r="O1332" s="10"/>
      <c r="P1332" s="11"/>
      <c r="Q1332" s="11"/>
      <c r="R1332" s="12"/>
    </row>
    <row r="1333" spans="1:18" x14ac:dyDescent="0.25">
      <c r="A1333" s="8"/>
      <c r="B1333" s="9"/>
      <c r="C1333" s="10"/>
      <c r="D1333" s="10"/>
      <c r="E1333" s="9"/>
      <c r="F1333" s="11"/>
      <c r="G1333" s="9"/>
      <c r="H1333" s="10"/>
      <c r="I1333" s="10"/>
      <c r="J1333" s="11"/>
      <c r="K1333" s="11"/>
      <c r="L1333" s="11"/>
      <c r="M1333" s="10"/>
      <c r="N1333" s="11"/>
      <c r="O1333" s="10"/>
      <c r="P1333" s="11"/>
      <c r="Q1333" s="11"/>
      <c r="R1333" s="12"/>
    </row>
    <row r="1334" spans="1:18" x14ac:dyDescent="0.25">
      <c r="A1334" s="8"/>
      <c r="B1334" s="9"/>
      <c r="C1334" s="10"/>
      <c r="D1334" s="10"/>
      <c r="E1334" s="9"/>
      <c r="F1334" s="11"/>
      <c r="G1334" s="9"/>
      <c r="H1334" s="10"/>
      <c r="I1334" s="10"/>
      <c r="J1334" s="11"/>
      <c r="K1334" s="11"/>
      <c r="L1334" s="11"/>
      <c r="M1334" s="10"/>
      <c r="N1334" s="11"/>
      <c r="O1334" s="10"/>
      <c r="P1334" s="11"/>
      <c r="Q1334" s="11"/>
      <c r="R1334" s="12"/>
    </row>
    <row r="1335" spans="1:18" x14ac:dyDescent="0.25">
      <c r="A1335" s="8"/>
      <c r="B1335" s="9"/>
      <c r="C1335" s="10"/>
      <c r="D1335" s="10"/>
      <c r="E1335" s="9"/>
      <c r="F1335" s="11"/>
      <c r="G1335" s="9"/>
      <c r="H1335" s="10"/>
      <c r="I1335" s="10"/>
      <c r="J1335" s="11"/>
      <c r="K1335" s="11"/>
      <c r="L1335" s="11"/>
      <c r="M1335" s="10"/>
      <c r="N1335" s="11"/>
      <c r="O1335" s="10"/>
      <c r="P1335" s="11"/>
      <c r="Q1335" s="11"/>
      <c r="R1335" s="12"/>
    </row>
    <row r="1336" spans="1:18" x14ac:dyDescent="0.25">
      <c r="A1336" s="8"/>
      <c r="B1336" s="9"/>
      <c r="C1336" s="10"/>
      <c r="D1336" s="10"/>
      <c r="E1336" s="9"/>
      <c r="F1336" s="11"/>
      <c r="G1336" s="9"/>
      <c r="H1336" s="10"/>
      <c r="I1336" s="10"/>
      <c r="J1336" s="11"/>
      <c r="K1336" s="11"/>
      <c r="L1336" s="11"/>
      <c r="M1336" s="10"/>
      <c r="N1336" s="11"/>
      <c r="O1336" s="10"/>
      <c r="P1336" s="11"/>
      <c r="Q1336" s="11"/>
      <c r="R1336" s="12"/>
    </row>
    <row r="1337" spans="1:18" x14ac:dyDescent="0.25">
      <c r="A1337" s="8"/>
      <c r="B1337" s="9"/>
      <c r="C1337" s="10"/>
      <c r="D1337" s="10"/>
      <c r="E1337" s="9"/>
      <c r="F1337" s="11"/>
      <c r="G1337" s="9"/>
      <c r="H1337" s="10"/>
      <c r="I1337" s="10"/>
      <c r="J1337" s="11"/>
      <c r="K1337" s="11"/>
      <c r="L1337" s="11"/>
      <c r="M1337" s="10"/>
      <c r="N1337" s="11"/>
      <c r="O1337" s="10"/>
      <c r="P1337" s="11"/>
      <c r="Q1337" s="11"/>
      <c r="R1337" s="12"/>
    </row>
    <row r="1338" spans="1:18" x14ac:dyDescent="0.25">
      <c r="A1338" s="8"/>
      <c r="B1338" s="9"/>
      <c r="C1338" s="10"/>
      <c r="D1338" s="10"/>
      <c r="E1338" s="9"/>
      <c r="F1338" s="11"/>
      <c r="G1338" s="9"/>
      <c r="H1338" s="10"/>
      <c r="I1338" s="10"/>
      <c r="J1338" s="11"/>
      <c r="K1338" s="11"/>
      <c r="L1338" s="11"/>
      <c r="M1338" s="10"/>
      <c r="N1338" s="11"/>
      <c r="O1338" s="10"/>
      <c r="P1338" s="11"/>
      <c r="Q1338" s="11"/>
      <c r="R1338" s="12"/>
    </row>
    <row r="1339" spans="1:18" x14ac:dyDescent="0.25">
      <c r="A1339" s="8"/>
      <c r="B1339" s="9"/>
      <c r="C1339" s="10"/>
      <c r="D1339" s="10"/>
      <c r="E1339" s="9"/>
      <c r="F1339" s="11"/>
      <c r="G1339" s="9"/>
      <c r="H1339" s="10"/>
      <c r="I1339" s="10"/>
      <c r="J1339" s="11"/>
      <c r="K1339" s="11"/>
      <c r="L1339" s="11"/>
      <c r="M1339" s="10"/>
      <c r="N1339" s="11"/>
      <c r="O1339" s="10"/>
      <c r="P1339" s="11"/>
      <c r="Q1339" s="11"/>
      <c r="R1339" s="12"/>
    </row>
    <row r="1340" spans="1:18" x14ac:dyDescent="0.25">
      <c r="A1340" s="8"/>
      <c r="B1340" s="9"/>
      <c r="C1340" s="10"/>
      <c r="D1340" s="10"/>
      <c r="E1340" s="9"/>
      <c r="F1340" s="11"/>
      <c r="G1340" s="9"/>
      <c r="H1340" s="10"/>
      <c r="I1340" s="10"/>
      <c r="J1340" s="11"/>
      <c r="K1340" s="11"/>
      <c r="L1340" s="11"/>
      <c r="M1340" s="10"/>
      <c r="N1340" s="11"/>
      <c r="O1340" s="10"/>
      <c r="P1340" s="11"/>
      <c r="Q1340" s="11"/>
      <c r="R1340" s="12"/>
    </row>
    <row r="1341" spans="1:18" x14ac:dyDescent="0.25">
      <c r="A1341" s="8"/>
      <c r="B1341" s="9"/>
      <c r="C1341" s="10"/>
      <c r="D1341" s="10"/>
      <c r="E1341" s="9"/>
      <c r="F1341" s="11"/>
      <c r="G1341" s="9"/>
      <c r="H1341" s="10"/>
      <c r="I1341" s="10"/>
      <c r="J1341" s="11"/>
      <c r="K1341" s="11"/>
      <c r="L1341" s="11"/>
      <c r="M1341" s="10"/>
      <c r="N1341" s="11"/>
      <c r="O1341" s="10"/>
      <c r="P1341" s="11"/>
      <c r="Q1341" s="11"/>
      <c r="R1341" s="12"/>
    </row>
    <row r="1342" spans="1:18" x14ac:dyDescent="0.25">
      <c r="A1342" s="8"/>
      <c r="B1342" s="9"/>
      <c r="C1342" s="10"/>
      <c r="D1342" s="10"/>
      <c r="E1342" s="9"/>
      <c r="F1342" s="11"/>
      <c r="G1342" s="9"/>
      <c r="H1342" s="10"/>
      <c r="I1342" s="10"/>
      <c r="J1342" s="11"/>
      <c r="K1342" s="11"/>
      <c r="L1342" s="11"/>
      <c r="M1342" s="10"/>
      <c r="N1342" s="11"/>
      <c r="O1342" s="10"/>
      <c r="P1342" s="11"/>
      <c r="Q1342" s="11"/>
      <c r="R1342" s="12"/>
    </row>
    <row r="1343" spans="1:18" x14ac:dyDescent="0.25">
      <c r="A1343" s="8"/>
      <c r="B1343" s="9"/>
      <c r="C1343" s="10"/>
      <c r="D1343" s="10"/>
      <c r="E1343" s="9"/>
      <c r="F1343" s="11"/>
      <c r="G1343" s="9"/>
      <c r="H1343" s="10"/>
      <c r="I1343" s="10"/>
      <c r="J1343" s="11"/>
      <c r="K1343" s="11"/>
      <c r="L1343" s="11"/>
      <c r="M1343" s="10"/>
      <c r="N1343" s="11"/>
      <c r="O1343" s="10"/>
      <c r="P1343" s="11"/>
      <c r="Q1343" s="11"/>
      <c r="R1343" s="12"/>
    </row>
    <row r="1344" spans="1:18" x14ac:dyDescent="0.25">
      <c r="A1344" s="8"/>
      <c r="B1344" s="9"/>
      <c r="C1344" s="10"/>
      <c r="D1344" s="10"/>
      <c r="E1344" s="9"/>
      <c r="F1344" s="11"/>
      <c r="G1344" s="9"/>
      <c r="H1344" s="10"/>
      <c r="I1344" s="10"/>
      <c r="J1344" s="11"/>
      <c r="K1344" s="11"/>
      <c r="L1344" s="11"/>
      <c r="M1344" s="10"/>
      <c r="N1344" s="11"/>
      <c r="O1344" s="10"/>
      <c r="P1344" s="11"/>
      <c r="Q1344" s="11"/>
      <c r="R1344" s="12"/>
    </row>
    <row r="1345" spans="1:18" x14ac:dyDescent="0.25">
      <c r="A1345" s="8"/>
      <c r="B1345" s="9"/>
      <c r="C1345" s="10"/>
      <c r="D1345" s="10"/>
      <c r="E1345" s="9"/>
      <c r="F1345" s="11"/>
      <c r="G1345" s="9"/>
      <c r="H1345" s="10"/>
      <c r="I1345" s="10"/>
      <c r="J1345" s="11"/>
      <c r="K1345" s="11"/>
      <c r="L1345" s="11"/>
      <c r="M1345" s="10"/>
      <c r="N1345" s="11"/>
      <c r="O1345" s="10"/>
      <c r="P1345" s="11"/>
      <c r="Q1345" s="11"/>
      <c r="R1345" s="12"/>
    </row>
    <row r="1346" spans="1:18" x14ac:dyDescent="0.25">
      <c r="A1346" s="8"/>
      <c r="B1346" s="9"/>
      <c r="C1346" s="10"/>
      <c r="D1346" s="10"/>
      <c r="E1346" s="9"/>
      <c r="F1346" s="11"/>
      <c r="G1346" s="9"/>
      <c r="H1346" s="10"/>
      <c r="I1346" s="10"/>
      <c r="J1346" s="11"/>
      <c r="K1346" s="11"/>
      <c r="L1346" s="11"/>
      <c r="M1346" s="10"/>
      <c r="N1346" s="11"/>
      <c r="O1346" s="10"/>
      <c r="P1346" s="11"/>
      <c r="Q1346" s="11"/>
      <c r="R1346" s="12"/>
    </row>
    <row r="1347" spans="1:18" x14ac:dyDescent="0.25">
      <c r="A1347" s="8"/>
      <c r="B1347" s="9"/>
      <c r="C1347" s="10"/>
      <c r="D1347" s="10"/>
      <c r="E1347" s="9"/>
      <c r="F1347" s="11"/>
      <c r="G1347" s="9"/>
      <c r="H1347" s="10"/>
      <c r="I1347" s="10"/>
      <c r="J1347" s="11"/>
      <c r="K1347" s="11"/>
      <c r="L1347" s="11"/>
      <c r="M1347" s="10"/>
      <c r="N1347" s="11"/>
      <c r="O1347" s="10"/>
      <c r="P1347" s="11"/>
      <c r="Q1347" s="11"/>
      <c r="R1347" s="12"/>
    </row>
    <row r="1348" spans="1:18" x14ac:dyDescent="0.25">
      <c r="A1348" s="8"/>
      <c r="B1348" s="9"/>
      <c r="C1348" s="10"/>
      <c r="D1348" s="10"/>
      <c r="E1348" s="9"/>
      <c r="F1348" s="11"/>
      <c r="G1348" s="9"/>
      <c r="H1348" s="10"/>
      <c r="I1348" s="10"/>
      <c r="J1348" s="11"/>
      <c r="K1348" s="11"/>
      <c r="L1348" s="11"/>
      <c r="M1348" s="10"/>
      <c r="N1348" s="11"/>
      <c r="O1348" s="10"/>
      <c r="P1348" s="11"/>
      <c r="Q1348" s="11"/>
      <c r="R1348" s="12"/>
    </row>
    <row r="1349" spans="1:18" x14ac:dyDescent="0.25">
      <c r="A1349" s="8"/>
      <c r="B1349" s="9"/>
      <c r="C1349" s="10"/>
      <c r="D1349" s="10"/>
      <c r="E1349" s="9"/>
      <c r="F1349" s="11"/>
      <c r="G1349" s="9"/>
      <c r="H1349" s="10"/>
      <c r="I1349" s="10"/>
      <c r="J1349" s="11"/>
      <c r="K1349" s="11"/>
      <c r="L1349" s="11"/>
      <c r="M1349" s="10"/>
      <c r="N1349" s="11"/>
      <c r="O1349" s="10"/>
      <c r="P1349" s="11"/>
      <c r="Q1349" s="11"/>
      <c r="R1349" s="12"/>
    </row>
    <row r="1350" spans="1:18" x14ac:dyDescent="0.25">
      <c r="A1350" s="8"/>
      <c r="B1350" s="9"/>
      <c r="C1350" s="10"/>
      <c r="D1350" s="10"/>
      <c r="E1350" s="9"/>
      <c r="F1350" s="11"/>
      <c r="G1350" s="9"/>
      <c r="H1350" s="10"/>
      <c r="I1350" s="10"/>
      <c r="J1350" s="11"/>
      <c r="K1350" s="11"/>
      <c r="L1350" s="11"/>
      <c r="M1350" s="10"/>
      <c r="N1350" s="11"/>
      <c r="O1350" s="10"/>
      <c r="P1350" s="11"/>
      <c r="Q1350" s="11"/>
      <c r="R1350" s="12"/>
    </row>
    <row r="1351" spans="1:18" x14ac:dyDescent="0.25">
      <c r="A1351" s="8"/>
      <c r="B1351" s="9"/>
      <c r="C1351" s="10"/>
      <c r="D1351" s="10"/>
      <c r="E1351" s="9"/>
      <c r="F1351" s="11"/>
      <c r="G1351" s="9"/>
      <c r="H1351" s="10"/>
      <c r="I1351" s="10"/>
      <c r="J1351" s="11"/>
      <c r="K1351" s="11"/>
      <c r="L1351" s="11"/>
      <c r="M1351" s="10"/>
      <c r="N1351" s="11"/>
      <c r="O1351" s="10"/>
      <c r="P1351" s="11"/>
      <c r="Q1351" s="11"/>
      <c r="R1351" s="12"/>
    </row>
    <row r="1352" spans="1:18" x14ac:dyDescent="0.25">
      <c r="A1352" s="8"/>
      <c r="B1352" s="9"/>
      <c r="C1352" s="10"/>
      <c r="D1352" s="10"/>
      <c r="E1352" s="9"/>
      <c r="F1352" s="11"/>
      <c r="G1352" s="9"/>
      <c r="H1352" s="10"/>
      <c r="I1352" s="10"/>
      <c r="J1352" s="11"/>
      <c r="K1352" s="11"/>
      <c r="L1352" s="11"/>
      <c r="M1352" s="10"/>
      <c r="N1352" s="11"/>
      <c r="O1352" s="10"/>
      <c r="P1352" s="11"/>
      <c r="Q1352" s="11"/>
      <c r="R1352" s="12"/>
    </row>
    <row r="1353" spans="1:18" x14ac:dyDescent="0.25">
      <c r="A1353" s="8"/>
      <c r="B1353" s="9"/>
      <c r="C1353" s="10"/>
      <c r="D1353" s="10"/>
      <c r="E1353" s="9"/>
      <c r="F1353" s="11"/>
      <c r="G1353" s="9"/>
      <c r="H1353" s="10"/>
      <c r="I1353" s="10"/>
      <c r="J1353" s="11"/>
      <c r="K1353" s="11"/>
      <c r="L1353" s="11"/>
      <c r="M1353" s="10"/>
      <c r="N1353" s="11"/>
      <c r="O1353" s="10"/>
      <c r="P1353" s="11"/>
      <c r="Q1353" s="11"/>
      <c r="R1353" s="12"/>
    </row>
    <row r="1354" spans="1:18" x14ac:dyDescent="0.25">
      <c r="A1354" s="8"/>
      <c r="B1354" s="9"/>
      <c r="C1354" s="10"/>
      <c r="D1354" s="10"/>
      <c r="E1354" s="9"/>
      <c r="F1354" s="11"/>
      <c r="G1354" s="9"/>
      <c r="H1354" s="10"/>
      <c r="I1354" s="10"/>
      <c r="J1354" s="11"/>
      <c r="K1354" s="11"/>
      <c r="L1354" s="11"/>
      <c r="M1354" s="10"/>
      <c r="N1354" s="11"/>
      <c r="O1354" s="10"/>
      <c r="P1354" s="11"/>
      <c r="Q1354" s="11"/>
      <c r="R1354" s="12"/>
    </row>
    <row r="1355" spans="1:18" x14ac:dyDescent="0.25">
      <c r="A1355" s="8"/>
      <c r="B1355" s="9"/>
      <c r="C1355" s="10"/>
      <c r="D1355" s="10"/>
      <c r="E1355" s="9"/>
      <c r="F1355" s="11"/>
      <c r="G1355" s="9"/>
      <c r="H1355" s="10"/>
      <c r="I1355" s="10"/>
      <c r="J1355" s="11"/>
      <c r="K1355" s="11"/>
      <c r="L1355" s="11"/>
      <c r="M1355" s="10"/>
      <c r="N1355" s="11"/>
      <c r="O1355" s="10"/>
      <c r="P1355" s="11"/>
      <c r="Q1355" s="11"/>
      <c r="R1355" s="12"/>
    </row>
    <row r="1356" spans="1:18" x14ac:dyDescent="0.25">
      <c r="A1356" s="8"/>
      <c r="B1356" s="9"/>
      <c r="C1356" s="10"/>
      <c r="D1356" s="10"/>
      <c r="E1356" s="9"/>
      <c r="F1356" s="11"/>
      <c r="G1356" s="9"/>
      <c r="H1356" s="10"/>
      <c r="I1356" s="10"/>
      <c r="J1356" s="11"/>
      <c r="K1356" s="11"/>
      <c r="L1356" s="11"/>
      <c r="M1356" s="10"/>
      <c r="N1356" s="11"/>
      <c r="O1356" s="10"/>
      <c r="P1356" s="11"/>
      <c r="Q1356" s="11"/>
      <c r="R1356" s="12"/>
    </row>
    <row r="1357" spans="1:18" x14ac:dyDescent="0.25">
      <c r="A1357" s="8"/>
      <c r="B1357" s="9"/>
      <c r="C1357" s="10"/>
      <c r="D1357" s="10"/>
      <c r="E1357" s="9"/>
      <c r="F1357" s="11"/>
      <c r="G1357" s="9"/>
      <c r="H1357" s="10"/>
      <c r="I1357" s="10"/>
      <c r="J1357" s="11"/>
      <c r="K1357" s="11"/>
      <c r="L1357" s="11"/>
      <c r="M1357" s="10"/>
      <c r="N1357" s="11"/>
      <c r="O1357" s="10"/>
      <c r="P1357" s="11"/>
      <c r="Q1357" s="11"/>
      <c r="R1357" s="12"/>
    </row>
    <row r="1358" spans="1:18" x14ac:dyDescent="0.25">
      <c r="A1358" s="8"/>
      <c r="B1358" s="9"/>
      <c r="C1358" s="10"/>
      <c r="D1358" s="10"/>
      <c r="E1358" s="9"/>
      <c r="F1358" s="11"/>
      <c r="G1358" s="9"/>
      <c r="H1358" s="10"/>
      <c r="I1358" s="10"/>
      <c r="J1358" s="11"/>
      <c r="K1358" s="11"/>
      <c r="L1358" s="11"/>
      <c r="M1358" s="10"/>
      <c r="N1358" s="11"/>
      <c r="O1358" s="10"/>
      <c r="P1358" s="11"/>
      <c r="Q1358" s="11"/>
      <c r="R1358" s="12"/>
    </row>
    <row r="1359" spans="1:18" x14ac:dyDescent="0.25">
      <c r="A1359" s="8"/>
      <c r="B1359" s="9"/>
      <c r="C1359" s="10"/>
      <c r="D1359" s="10"/>
      <c r="E1359" s="9"/>
      <c r="F1359" s="11"/>
      <c r="G1359" s="9"/>
      <c r="H1359" s="10"/>
      <c r="I1359" s="10"/>
      <c r="J1359" s="11"/>
      <c r="K1359" s="11"/>
      <c r="L1359" s="11"/>
      <c r="M1359" s="10"/>
      <c r="N1359" s="11"/>
      <c r="O1359" s="10"/>
      <c r="P1359" s="11"/>
      <c r="Q1359" s="11"/>
      <c r="R1359" s="12"/>
    </row>
    <row r="1360" spans="1:18" x14ac:dyDescent="0.25">
      <c r="A1360" s="8"/>
      <c r="B1360" s="9"/>
      <c r="C1360" s="10"/>
      <c r="D1360" s="10"/>
      <c r="E1360" s="9"/>
      <c r="F1360" s="11"/>
      <c r="G1360" s="9"/>
      <c r="H1360" s="10"/>
      <c r="I1360" s="10"/>
      <c r="J1360" s="11"/>
      <c r="K1360" s="11"/>
      <c r="L1360" s="11"/>
      <c r="M1360" s="10"/>
      <c r="N1360" s="11"/>
      <c r="O1360" s="10"/>
      <c r="P1360" s="11"/>
      <c r="Q1360" s="11"/>
      <c r="R1360" s="12"/>
    </row>
    <row r="1361" spans="1:18" x14ac:dyDescent="0.25">
      <c r="A1361" s="8"/>
      <c r="B1361" s="9"/>
      <c r="C1361" s="10"/>
      <c r="D1361" s="10"/>
      <c r="E1361" s="9"/>
      <c r="F1361" s="11"/>
      <c r="G1361" s="9"/>
      <c r="H1361" s="10"/>
      <c r="I1361" s="10"/>
      <c r="J1361" s="11"/>
      <c r="K1361" s="11"/>
      <c r="L1361" s="11"/>
      <c r="M1361" s="10"/>
      <c r="N1361" s="11"/>
      <c r="O1361" s="10"/>
      <c r="P1361" s="11"/>
      <c r="Q1361" s="11"/>
      <c r="R1361" s="12"/>
    </row>
    <row r="1362" spans="1:18" x14ac:dyDescent="0.25">
      <c r="A1362" s="8"/>
      <c r="B1362" s="9"/>
      <c r="C1362" s="10"/>
      <c r="D1362" s="10"/>
      <c r="E1362" s="9"/>
      <c r="F1362" s="11"/>
      <c r="G1362" s="9"/>
      <c r="H1362" s="10"/>
      <c r="I1362" s="10"/>
      <c r="J1362" s="11"/>
      <c r="K1362" s="11"/>
      <c r="L1362" s="11"/>
      <c r="M1362" s="10"/>
      <c r="N1362" s="11"/>
      <c r="O1362" s="10"/>
      <c r="P1362" s="11"/>
      <c r="Q1362" s="11"/>
      <c r="R1362" s="12"/>
    </row>
    <row r="1363" spans="1:18" x14ac:dyDescent="0.25">
      <c r="A1363" s="8"/>
      <c r="B1363" s="9"/>
      <c r="C1363" s="10"/>
      <c r="D1363" s="10"/>
      <c r="E1363" s="9"/>
      <c r="F1363" s="11"/>
      <c r="G1363" s="9"/>
      <c r="H1363" s="10"/>
      <c r="I1363" s="10"/>
      <c r="J1363" s="11"/>
      <c r="K1363" s="11"/>
      <c r="L1363" s="11"/>
      <c r="M1363" s="10"/>
      <c r="N1363" s="11"/>
      <c r="O1363" s="10"/>
      <c r="P1363" s="11"/>
      <c r="Q1363" s="11"/>
      <c r="R1363" s="12"/>
    </row>
    <row r="1364" spans="1:18" x14ac:dyDescent="0.25">
      <c r="A1364" s="8"/>
      <c r="B1364" s="9"/>
      <c r="C1364" s="10"/>
      <c r="D1364" s="10"/>
      <c r="E1364" s="9"/>
      <c r="F1364" s="11"/>
      <c r="G1364" s="9"/>
      <c r="H1364" s="10"/>
      <c r="I1364" s="10"/>
      <c r="J1364" s="11"/>
      <c r="K1364" s="11"/>
      <c r="L1364" s="11"/>
      <c r="M1364" s="10"/>
      <c r="N1364" s="11"/>
      <c r="O1364" s="10"/>
      <c r="P1364" s="11"/>
      <c r="Q1364" s="11"/>
      <c r="R1364" s="12"/>
    </row>
    <row r="1365" spans="1:18" x14ac:dyDescent="0.25">
      <c r="A1365" s="8"/>
      <c r="B1365" s="9"/>
      <c r="C1365" s="10"/>
      <c r="D1365" s="10"/>
      <c r="E1365" s="9"/>
      <c r="F1365" s="11"/>
      <c r="G1365" s="9"/>
      <c r="H1365" s="10"/>
      <c r="I1365" s="10"/>
      <c r="J1365" s="11"/>
      <c r="K1365" s="11"/>
      <c r="L1365" s="11"/>
      <c r="M1365" s="10"/>
      <c r="N1365" s="11"/>
      <c r="O1365" s="10"/>
      <c r="P1365" s="11"/>
      <c r="Q1365" s="11"/>
      <c r="R1365" s="12"/>
    </row>
    <row r="1366" spans="1:18" x14ac:dyDescent="0.25">
      <c r="A1366" s="8"/>
      <c r="B1366" s="9"/>
      <c r="C1366" s="10"/>
      <c r="D1366" s="10"/>
      <c r="E1366" s="9"/>
      <c r="F1366" s="11"/>
      <c r="G1366" s="9"/>
      <c r="H1366" s="10"/>
      <c r="I1366" s="10"/>
      <c r="J1366" s="11"/>
      <c r="K1366" s="11"/>
      <c r="L1366" s="11"/>
      <c r="M1366" s="10"/>
      <c r="N1366" s="11"/>
      <c r="O1366" s="10"/>
      <c r="P1366" s="11"/>
      <c r="Q1366" s="11"/>
      <c r="R1366" s="12"/>
    </row>
    <row r="1367" spans="1:18" x14ac:dyDescent="0.25">
      <c r="A1367" s="8"/>
      <c r="B1367" s="9"/>
      <c r="C1367" s="10"/>
      <c r="D1367" s="10"/>
      <c r="E1367" s="9"/>
      <c r="F1367" s="11"/>
      <c r="G1367" s="9"/>
      <c r="H1367" s="10"/>
      <c r="I1367" s="10"/>
      <c r="J1367" s="11"/>
      <c r="K1367" s="11"/>
      <c r="L1367" s="11"/>
      <c r="M1367" s="10"/>
      <c r="N1367" s="11"/>
      <c r="O1367" s="10"/>
      <c r="P1367" s="11"/>
      <c r="Q1367" s="11"/>
      <c r="R1367" s="12"/>
    </row>
    <row r="1368" spans="1:18" x14ac:dyDescent="0.25">
      <c r="A1368" s="8"/>
      <c r="B1368" s="9"/>
      <c r="C1368" s="10"/>
      <c r="D1368" s="10"/>
      <c r="E1368" s="9"/>
      <c r="F1368" s="11"/>
      <c r="G1368" s="9"/>
      <c r="H1368" s="10"/>
      <c r="I1368" s="10"/>
      <c r="J1368" s="11"/>
      <c r="K1368" s="11"/>
      <c r="L1368" s="11"/>
      <c r="M1368" s="10"/>
      <c r="N1368" s="11"/>
      <c r="O1368" s="10"/>
      <c r="P1368" s="11"/>
      <c r="Q1368" s="11"/>
      <c r="R1368" s="12"/>
    </row>
    <row r="1369" spans="1:18" x14ac:dyDescent="0.25">
      <c r="A1369" s="8"/>
      <c r="B1369" s="9"/>
      <c r="C1369" s="10"/>
      <c r="D1369" s="10"/>
      <c r="E1369" s="9"/>
      <c r="F1369" s="11"/>
      <c r="G1369" s="9"/>
      <c r="H1369" s="10"/>
      <c r="I1369" s="10"/>
      <c r="J1369" s="11"/>
      <c r="K1369" s="11"/>
      <c r="L1369" s="11"/>
      <c r="M1369" s="10"/>
      <c r="N1369" s="11"/>
      <c r="O1369" s="10"/>
      <c r="P1369" s="11"/>
      <c r="Q1369" s="11"/>
      <c r="R1369" s="12"/>
    </row>
    <row r="1370" spans="1:18" x14ac:dyDescent="0.25">
      <c r="A1370" s="8"/>
      <c r="B1370" s="9"/>
      <c r="C1370" s="10"/>
      <c r="D1370" s="10"/>
      <c r="E1370" s="9"/>
      <c r="F1370" s="11"/>
      <c r="G1370" s="9"/>
      <c r="H1370" s="10"/>
      <c r="I1370" s="10"/>
      <c r="J1370" s="11"/>
      <c r="K1370" s="11"/>
      <c r="L1370" s="11"/>
      <c r="M1370" s="10"/>
      <c r="N1370" s="11"/>
      <c r="O1370" s="10"/>
      <c r="P1370" s="11"/>
      <c r="Q1370" s="11"/>
      <c r="R1370" s="12"/>
    </row>
    <row r="1371" spans="1:18" x14ac:dyDescent="0.25">
      <c r="A1371" s="8"/>
      <c r="B1371" s="9"/>
      <c r="C1371" s="10"/>
      <c r="D1371" s="10"/>
      <c r="E1371" s="9"/>
      <c r="F1371" s="11"/>
      <c r="G1371" s="9"/>
      <c r="H1371" s="10"/>
      <c r="I1371" s="10"/>
      <c r="J1371" s="11"/>
      <c r="K1371" s="11"/>
      <c r="L1371" s="11"/>
      <c r="M1371" s="10"/>
      <c r="N1371" s="11"/>
      <c r="O1371" s="10"/>
      <c r="P1371" s="11"/>
      <c r="Q1371" s="11"/>
      <c r="R1371" s="12"/>
    </row>
    <row r="1372" spans="1:18" x14ac:dyDescent="0.25">
      <c r="A1372" s="8"/>
      <c r="B1372" s="9"/>
      <c r="C1372" s="10"/>
      <c r="D1372" s="10"/>
      <c r="E1372" s="9"/>
      <c r="F1372" s="11"/>
      <c r="G1372" s="9"/>
      <c r="H1372" s="10"/>
      <c r="I1372" s="10"/>
      <c r="J1372" s="11"/>
      <c r="K1372" s="11"/>
      <c r="L1372" s="11"/>
      <c r="M1372" s="10"/>
      <c r="N1372" s="11"/>
      <c r="O1372" s="10"/>
      <c r="P1372" s="11"/>
      <c r="Q1372" s="11"/>
      <c r="R1372" s="12"/>
    </row>
    <row r="1373" spans="1:18" x14ac:dyDescent="0.25">
      <c r="A1373" s="8"/>
      <c r="B1373" s="9"/>
      <c r="C1373" s="10"/>
      <c r="D1373" s="10"/>
      <c r="E1373" s="9"/>
      <c r="F1373" s="11"/>
      <c r="G1373" s="9"/>
      <c r="H1373" s="10"/>
      <c r="I1373" s="10"/>
      <c r="J1373" s="11"/>
      <c r="K1373" s="11"/>
      <c r="L1373" s="11"/>
      <c r="M1373" s="10"/>
      <c r="N1373" s="11"/>
      <c r="O1373" s="10"/>
      <c r="P1373" s="11"/>
      <c r="Q1373" s="11"/>
      <c r="R1373" s="12"/>
    </row>
    <row r="1374" spans="1:18" x14ac:dyDescent="0.25">
      <c r="A1374" s="8"/>
      <c r="B1374" s="9"/>
      <c r="C1374" s="10"/>
      <c r="D1374" s="10"/>
      <c r="E1374" s="9"/>
      <c r="F1374" s="11"/>
      <c r="G1374" s="9"/>
      <c r="H1374" s="10"/>
      <c r="I1374" s="10"/>
      <c r="J1374" s="11"/>
      <c r="K1374" s="11"/>
      <c r="L1374" s="11"/>
      <c r="M1374" s="10"/>
      <c r="N1374" s="11"/>
      <c r="O1374" s="10"/>
      <c r="P1374" s="11"/>
      <c r="Q1374" s="11"/>
      <c r="R1374" s="12"/>
    </row>
    <row r="1375" spans="1:18" x14ac:dyDescent="0.25">
      <c r="A1375" s="8"/>
      <c r="B1375" s="9"/>
      <c r="C1375" s="10"/>
      <c r="D1375" s="10"/>
      <c r="E1375" s="9"/>
      <c r="F1375" s="11"/>
      <c r="G1375" s="9"/>
      <c r="H1375" s="10"/>
      <c r="I1375" s="10"/>
      <c r="J1375" s="11"/>
      <c r="K1375" s="11"/>
      <c r="L1375" s="11"/>
      <c r="M1375" s="10"/>
      <c r="N1375" s="11"/>
      <c r="O1375" s="10"/>
      <c r="P1375" s="11"/>
      <c r="Q1375" s="11"/>
      <c r="R1375" s="12"/>
    </row>
    <row r="1376" spans="1:18" x14ac:dyDescent="0.25">
      <c r="A1376" s="8"/>
      <c r="B1376" s="9"/>
      <c r="C1376" s="10"/>
      <c r="D1376" s="10"/>
      <c r="E1376" s="9"/>
      <c r="F1376" s="11"/>
      <c r="G1376" s="9"/>
      <c r="H1376" s="10"/>
      <c r="I1376" s="10"/>
      <c r="J1376" s="11"/>
      <c r="K1376" s="11"/>
      <c r="L1376" s="11"/>
      <c r="M1376" s="10"/>
      <c r="N1376" s="11"/>
      <c r="O1376" s="10"/>
      <c r="P1376" s="11"/>
      <c r="Q1376" s="11"/>
      <c r="R1376" s="12"/>
    </row>
    <row r="1377" spans="1:18" x14ac:dyDescent="0.25">
      <c r="A1377" s="8"/>
      <c r="B1377" s="9"/>
      <c r="C1377" s="10"/>
      <c r="D1377" s="10"/>
      <c r="E1377" s="9"/>
      <c r="F1377" s="11"/>
      <c r="G1377" s="9"/>
      <c r="H1377" s="10"/>
      <c r="I1377" s="10"/>
      <c r="J1377" s="11"/>
      <c r="K1377" s="11"/>
      <c r="L1377" s="11"/>
      <c r="M1377" s="10"/>
      <c r="N1377" s="11"/>
      <c r="O1377" s="10"/>
      <c r="P1377" s="11"/>
      <c r="Q1377" s="11"/>
      <c r="R1377" s="12"/>
    </row>
    <row r="1378" spans="1:18" x14ac:dyDescent="0.25">
      <c r="A1378" s="8"/>
      <c r="B1378" s="9"/>
      <c r="C1378" s="10"/>
      <c r="D1378" s="10"/>
      <c r="E1378" s="9"/>
      <c r="F1378" s="11"/>
      <c r="G1378" s="9"/>
      <c r="H1378" s="10"/>
      <c r="I1378" s="10"/>
      <c r="J1378" s="11"/>
      <c r="K1378" s="11"/>
      <c r="L1378" s="11"/>
      <c r="M1378" s="10"/>
      <c r="N1378" s="11"/>
      <c r="O1378" s="10"/>
      <c r="P1378" s="11"/>
      <c r="Q1378" s="11"/>
      <c r="R1378" s="12"/>
    </row>
    <row r="1379" spans="1:18" x14ac:dyDescent="0.25">
      <c r="A1379" s="8"/>
      <c r="B1379" s="9"/>
      <c r="C1379" s="10"/>
      <c r="D1379" s="10"/>
      <c r="E1379" s="9"/>
      <c r="F1379" s="11"/>
      <c r="G1379" s="9"/>
      <c r="H1379" s="10"/>
      <c r="I1379" s="10"/>
      <c r="J1379" s="11"/>
      <c r="K1379" s="11"/>
      <c r="L1379" s="11"/>
      <c r="M1379" s="10"/>
      <c r="N1379" s="11"/>
      <c r="O1379" s="10"/>
      <c r="P1379" s="11"/>
      <c r="Q1379" s="11"/>
      <c r="R1379" s="12"/>
    </row>
    <row r="1380" spans="1:18" x14ac:dyDescent="0.25">
      <c r="A1380" s="8"/>
      <c r="B1380" s="9"/>
      <c r="C1380" s="10"/>
      <c r="D1380" s="10"/>
      <c r="E1380" s="9"/>
      <c r="F1380" s="11"/>
      <c r="G1380" s="9"/>
      <c r="H1380" s="10"/>
      <c r="I1380" s="10"/>
      <c r="J1380" s="11"/>
      <c r="K1380" s="11"/>
      <c r="L1380" s="11"/>
      <c r="M1380" s="10"/>
      <c r="N1380" s="11"/>
      <c r="O1380" s="10"/>
      <c r="P1380" s="11"/>
      <c r="Q1380" s="11"/>
      <c r="R1380" s="12"/>
    </row>
    <row r="1381" spans="1:18" x14ac:dyDescent="0.25">
      <c r="A1381" s="8"/>
      <c r="B1381" s="9"/>
      <c r="C1381" s="10"/>
      <c r="D1381" s="10"/>
      <c r="E1381" s="9"/>
      <c r="F1381" s="11"/>
      <c r="G1381" s="9"/>
      <c r="H1381" s="10"/>
      <c r="I1381" s="10"/>
      <c r="J1381" s="11"/>
      <c r="K1381" s="11"/>
      <c r="L1381" s="11"/>
      <c r="M1381" s="10"/>
      <c r="N1381" s="11"/>
      <c r="O1381" s="10"/>
      <c r="P1381" s="11"/>
      <c r="Q1381" s="11"/>
      <c r="R1381" s="12"/>
    </row>
    <row r="1382" spans="1:18" x14ac:dyDescent="0.25">
      <c r="A1382" s="8"/>
      <c r="B1382" s="9"/>
      <c r="C1382" s="10"/>
      <c r="D1382" s="10"/>
      <c r="E1382" s="9"/>
      <c r="F1382" s="11"/>
      <c r="G1382" s="9"/>
      <c r="H1382" s="10"/>
      <c r="I1382" s="10"/>
      <c r="J1382" s="11"/>
      <c r="K1382" s="11"/>
      <c r="L1382" s="11"/>
      <c r="M1382" s="10"/>
      <c r="N1382" s="11"/>
      <c r="O1382" s="10"/>
      <c r="P1382" s="11"/>
      <c r="Q1382" s="11"/>
      <c r="R1382" s="12"/>
    </row>
    <row r="1383" spans="1:18" x14ac:dyDescent="0.25">
      <c r="A1383" s="8"/>
      <c r="B1383" s="9"/>
      <c r="C1383" s="10"/>
      <c r="D1383" s="10"/>
      <c r="E1383" s="9"/>
      <c r="F1383" s="11"/>
      <c r="G1383" s="9"/>
      <c r="H1383" s="10"/>
      <c r="I1383" s="10"/>
      <c r="J1383" s="11"/>
      <c r="K1383" s="11"/>
      <c r="L1383" s="11"/>
      <c r="M1383" s="10"/>
      <c r="N1383" s="11"/>
      <c r="O1383" s="10"/>
      <c r="P1383" s="11"/>
      <c r="Q1383" s="11"/>
      <c r="R1383" s="12"/>
    </row>
    <row r="1384" spans="1:18" x14ac:dyDescent="0.25">
      <c r="A1384" s="8"/>
      <c r="B1384" s="9"/>
      <c r="C1384" s="10"/>
      <c r="D1384" s="10"/>
      <c r="E1384" s="9"/>
      <c r="F1384" s="11"/>
      <c r="G1384" s="9"/>
      <c r="H1384" s="10"/>
      <c r="I1384" s="10"/>
      <c r="J1384" s="11"/>
      <c r="K1384" s="11"/>
      <c r="L1384" s="11"/>
      <c r="M1384" s="10"/>
      <c r="N1384" s="11"/>
      <c r="O1384" s="10"/>
      <c r="P1384" s="11"/>
      <c r="Q1384" s="11"/>
      <c r="R1384" s="12"/>
    </row>
    <row r="1385" spans="1:18" x14ac:dyDescent="0.25">
      <c r="A1385" s="8"/>
      <c r="B1385" s="9"/>
      <c r="C1385" s="10"/>
      <c r="D1385" s="10"/>
      <c r="E1385" s="9"/>
      <c r="F1385" s="11"/>
      <c r="G1385" s="9"/>
      <c r="H1385" s="10"/>
      <c r="I1385" s="10"/>
      <c r="J1385" s="11"/>
      <c r="K1385" s="11"/>
      <c r="L1385" s="11"/>
      <c r="M1385" s="10"/>
      <c r="N1385" s="11"/>
      <c r="O1385" s="10"/>
      <c r="P1385" s="11"/>
      <c r="Q1385" s="11"/>
      <c r="R1385" s="12"/>
    </row>
    <row r="1386" spans="1:18" x14ac:dyDescent="0.25">
      <c r="A1386" s="8"/>
      <c r="B1386" s="9"/>
      <c r="C1386" s="10"/>
      <c r="D1386" s="10"/>
      <c r="E1386" s="9"/>
      <c r="F1386" s="11"/>
      <c r="G1386" s="9"/>
      <c r="H1386" s="10"/>
      <c r="I1386" s="10"/>
      <c r="J1386" s="11"/>
      <c r="K1386" s="11"/>
      <c r="L1386" s="11"/>
      <c r="M1386" s="10"/>
      <c r="N1386" s="11"/>
      <c r="O1386" s="10"/>
      <c r="P1386" s="11"/>
      <c r="Q1386" s="11"/>
      <c r="R1386" s="12"/>
    </row>
    <row r="1387" spans="1:18" x14ac:dyDescent="0.25">
      <c r="A1387" s="8"/>
      <c r="B1387" s="9"/>
      <c r="C1387" s="10"/>
      <c r="D1387" s="10"/>
      <c r="E1387" s="9"/>
      <c r="F1387" s="11"/>
      <c r="G1387" s="9"/>
      <c r="H1387" s="10"/>
      <c r="I1387" s="10"/>
      <c r="J1387" s="11"/>
      <c r="K1387" s="11"/>
      <c r="L1387" s="11"/>
      <c r="M1387" s="10"/>
      <c r="N1387" s="11"/>
      <c r="O1387" s="10"/>
      <c r="P1387" s="11"/>
      <c r="Q1387" s="11"/>
      <c r="R1387" s="12"/>
    </row>
    <row r="1388" spans="1:18" x14ac:dyDescent="0.25">
      <c r="A1388" s="8"/>
      <c r="B1388" s="9"/>
      <c r="C1388" s="10"/>
      <c r="D1388" s="10"/>
      <c r="E1388" s="9"/>
      <c r="F1388" s="11"/>
      <c r="G1388" s="9"/>
      <c r="H1388" s="10"/>
      <c r="I1388" s="10"/>
      <c r="J1388" s="11"/>
      <c r="K1388" s="11"/>
      <c r="L1388" s="11"/>
      <c r="M1388" s="10"/>
      <c r="N1388" s="11"/>
      <c r="O1388" s="10"/>
      <c r="P1388" s="11"/>
      <c r="Q1388" s="11"/>
      <c r="R1388" s="12"/>
    </row>
    <row r="1389" spans="1:18" x14ac:dyDescent="0.25">
      <c r="A1389" s="8"/>
      <c r="B1389" s="9"/>
      <c r="C1389" s="10"/>
      <c r="D1389" s="10"/>
      <c r="E1389" s="9"/>
      <c r="F1389" s="11"/>
      <c r="G1389" s="9"/>
      <c r="H1389" s="10"/>
      <c r="I1389" s="10"/>
      <c r="J1389" s="11"/>
      <c r="K1389" s="11"/>
      <c r="L1389" s="11"/>
      <c r="M1389" s="10"/>
      <c r="N1389" s="11"/>
      <c r="O1389" s="10"/>
      <c r="P1389" s="11"/>
      <c r="Q1389" s="11"/>
      <c r="R1389" s="12"/>
    </row>
    <row r="1390" spans="1:18" x14ac:dyDescent="0.25">
      <c r="A1390" s="8"/>
      <c r="B1390" s="9"/>
      <c r="C1390" s="10"/>
      <c r="D1390" s="10"/>
      <c r="E1390" s="9"/>
      <c r="F1390" s="11"/>
      <c r="G1390" s="9"/>
      <c r="H1390" s="10"/>
      <c r="I1390" s="10"/>
      <c r="J1390" s="11"/>
      <c r="K1390" s="11"/>
      <c r="L1390" s="11"/>
      <c r="M1390" s="10"/>
      <c r="N1390" s="11"/>
      <c r="O1390" s="10"/>
      <c r="P1390" s="11"/>
      <c r="Q1390" s="11"/>
      <c r="R1390" s="12"/>
    </row>
    <row r="1391" spans="1:18" x14ac:dyDescent="0.25">
      <c r="A1391" s="8"/>
      <c r="B1391" s="9"/>
      <c r="C1391" s="10"/>
      <c r="D1391" s="10"/>
      <c r="E1391" s="9"/>
      <c r="F1391" s="11"/>
      <c r="G1391" s="9"/>
      <c r="H1391" s="10"/>
      <c r="I1391" s="10"/>
      <c r="J1391" s="11"/>
      <c r="K1391" s="11"/>
      <c r="L1391" s="11"/>
      <c r="M1391" s="10"/>
      <c r="N1391" s="11"/>
      <c r="O1391" s="10"/>
      <c r="P1391" s="11"/>
      <c r="Q1391" s="11"/>
      <c r="R1391" s="12"/>
    </row>
    <row r="1392" spans="1:18" x14ac:dyDescent="0.25">
      <c r="A1392" s="8"/>
      <c r="B1392" s="9"/>
      <c r="C1392" s="10"/>
      <c r="D1392" s="10"/>
      <c r="E1392" s="9"/>
      <c r="F1392" s="11"/>
      <c r="G1392" s="9"/>
      <c r="H1392" s="10"/>
      <c r="I1392" s="10"/>
      <c r="J1392" s="11"/>
      <c r="K1392" s="11"/>
      <c r="L1392" s="11"/>
      <c r="M1392" s="10"/>
      <c r="N1392" s="11"/>
      <c r="O1392" s="10"/>
      <c r="P1392" s="11"/>
      <c r="Q1392" s="11"/>
      <c r="R1392" s="12"/>
    </row>
    <row r="1393" spans="1:18" x14ac:dyDescent="0.25">
      <c r="A1393" s="8"/>
      <c r="B1393" s="9"/>
      <c r="C1393" s="10"/>
      <c r="D1393" s="10"/>
      <c r="E1393" s="9"/>
      <c r="F1393" s="11"/>
      <c r="G1393" s="9"/>
      <c r="H1393" s="10"/>
      <c r="I1393" s="10"/>
      <c r="J1393" s="11"/>
      <c r="K1393" s="11"/>
      <c r="L1393" s="11"/>
      <c r="M1393" s="10"/>
      <c r="N1393" s="11"/>
      <c r="O1393" s="10"/>
      <c r="P1393" s="11"/>
      <c r="Q1393" s="11"/>
      <c r="R1393" s="12"/>
    </row>
    <row r="1394" spans="1:18" x14ac:dyDescent="0.25">
      <c r="A1394" s="8"/>
      <c r="B1394" s="9"/>
      <c r="C1394" s="10"/>
      <c r="D1394" s="10"/>
      <c r="E1394" s="9"/>
      <c r="F1394" s="11"/>
      <c r="G1394" s="9"/>
      <c r="H1394" s="10"/>
      <c r="I1394" s="10"/>
      <c r="J1394" s="11"/>
      <c r="K1394" s="11"/>
      <c r="L1394" s="11"/>
      <c r="M1394" s="10"/>
      <c r="N1394" s="11"/>
      <c r="O1394" s="10"/>
      <c r="P1394" s="11"/>
      <c r="Q1394" s="11"/>
      <c r="R1394" s="12"/>
    </row>
    <row r="1395" spans="1:18" x14ac:dyDescent="0.25">
      <c r="A1395" s="8"/>
      <c r="B1395" s="9"/>
      <c r="C1395" s="10"/>
      <c r="D1395" s="10"/>
      <c r="E1395" s="9"/>
      <c r="F1395" s="11"/>
      <c r="G1395" s="9"/>
      <c r="H1395" s="10"/>
      <c r="I1395" s="10"/>
      <c r="J1395" s="11"/>
      <c r="K1395" s="11"/>
      <c r="L1395" s="11"/>
      <c r="M1395" s="10"/>
      <c r="N1395" s="11"/>
      <c r="O1395" s="10"/>
      <c r="P1395" s="11"/>
      <c r="Q1395" s="11"/>
      <c r="R1395" s="12"/>
    </row>
    <row r="1396" spans="1:18" x14ac:dyDescent="0.25">
      <c r="A1396" s="8"/>
      <c r="B1396" s="9"/>
      <c r="C1396" s="10"/>
      <c r="D1396" s="10"/>
      <c r="E1396" s="9"/>
      <c r="F1396" s="11"/>
      <c r="G1396" s="9"/>
      <c r="H1396" s="10"/>
      <c r="I1396" s="10"/>
      <c r="J1396" s="11"/>
      <c r="K1396" s="11"/>
      <c r="L1396" s="11"/>
      <c r="M1396" s="10"/>
      <c r="N1396" s="11"/>
      <c r="O1396" s="10"/>
      <c r="P1396" s="11"/>
      <c r="Q1396" s="11"/>
      <c r="R1396" s="12"/>
    </row>
    <row r="1397" spans="1:18" x14ac:dyDescent="0.25">
      <c r="A1397" s="8"/>
      <c r="B1397" s="9"/>
      <c r="C1397" s="10"/>
      <c r="D1397" s="10"/>
      <c r="E1397" s="9"/>
      <c r="F1397" s="11"/>
      <c r="G1397" s="9"/>
      <c r="H1397" s="10"/>
      <c r="I1397" s="10"/>
      <c r="J1397" s="11"/>
      <c r="K1397" s="11"/>
      <c r="L1397" s="11"/>
      <c r="M1397" s="10"/>
      <c r="N1397" s="11"/>
      <c r="O1397" s="10"/>
      <c r="P1397" s="11"/>
      <c r="Q1397" s="11"/>
      <c r="R1397" s="12"/>
    </row>
    <row r="1398" spans="1:18" x14ac:dyDescent="0.25">
      <c r="A1398" s="8"/>
      <c r="B1398" s="9"/>
      <c r="C1398" s="10"/>
      <c r="D1398" s="10"/>
      <c r="E1398" s="9"/>
      <c r="F1398" s="11"/>
      <c r="G1398" s="9"/>
      <c r="H1398" s="10"/>
      <c r="I1398" s="10"/>
      <c r="J1398" s="11"/>
      <c r="K1398" s="11"/>
      <c r="L1398" s="11"/>
      <c r="M1398" s="10"/>
      <c r="N1398" s="11"/>
      <c r="O1398" s="10"/>
      <c r="P1398" s="11"/>
      <c r="Q1398" s="11"/>
      <c r="R1398" s="12"/>
    </row>
    <row r="1399" spans="1:18" x14ac:dyDescent="0.25">
      <c r="A1399" s="8"/>
      <c r="B1399" s="9"/>
      <c r="C1399" s="10"/>
      <c r="D1399" s="10"/>
      <c r="E1399" s="9"/>
      <c r="F1399" s="11"/>
      <c r="G1399" s="9"/>
      <c r="H1399" s="10"/>
      <c r="I1399" s="10"/>
      <c r="J1399" s="11"/>
      <c r="K1399" s="11"/>
      <c r="L1399" s="11"/>
      <c r="M1399" s="10"/>
      <c r="N1399" s="11"/>
      <c r="O1399" s="10"/>
      <c r="P1399" s="11"/>
      <c r="Q1399" s="11"/>
      <c r="R1399" s="12"/>
    </row>
    <row r="1400" spans="1:18" x14ac:dyDescent="0.25">
      <c r="A1400" s="8"/>
      <c r="B1400" s="9"/>
      <c r="C1400" s="10"/>
      <c r="D1400" s="10"/>
      <c r="E1400" s="9"/>
      <c r="F1400" s="11"/>
      <c r="G1400" s="9"/>
      <c r="H1400" s="10"/>
      <c r="I1400" s="10"/>
      <c r="J1400" s="11"/>
      <c r="K1400" s="11"/>
      <c r="L1400" s="11"/>
      <c r="M1400" s="10"/>
      <c r="N1400" s="11"/>
      <c r="O1400" s="10"/>
      <c r="P1400" s="11"/>
      <c r="Q1400" s="11"/>
      <c r="R1400" s="12"/>
    </row>
    <row r="1401" spans="1:18" x14ac:dyDescent="0.25">
      <c r="A1401" s="8"/>
      <c r="B1401" s="9"/>
      <c r="C1401" s="10"/>
      <c r="D1401" s="10"/>
      <c r="E1401" s="9"/>
      <c r="F1401" s="11"/>
      <c r="G1401" s="9"/>
      <c r="H1401" s="10"/>
      <c r="I1401" s="10"/>
      <c r="J1401" s="11"/>
      <c r="K1401" s="11"/>
      <c r="L1401" s="11"/>
      <c r="M1401" s="10"/>
      <c r="N1401" s="11"/>
      <c r="O1401" s="10"/>
      <c r="P1401" s="11"/>
      <c r="Q1401" s="11"/>
      <c r="R1401" s="12"/>
    </row>
    <row r="1402" spans="1:18" x14ac:dyDescent="0.25">
      <c r="A1402" s="8"/>
      <c r="B1402" s="9"/>
      <c r="C1402" s="10"/>
      <c r="D1402" s="10"/>
      <c r="E1402" s="9"/>
      <c r="F1402" s="11"/>
      <c r="G1402" s="9"/>
      <c r="H1402" s="10"/>
      <c r="I1402" s="10"/>
      <c r="J1402" s="11"/>
      <c r="K1402" s="11"/>
      <c r="L1402" s="11"/>
      <c r="M1402" s="10"/>
      <c r="N1402" s="11"/>
      <c r="O1402" s="10"/>
      <c r="P1402" s="11"/>
      <c r="Q1402" s="11"/>
      <c r="R1402" s="12"/>
    </row>
    <row r="1403" spans="1:18" x14ac:dyDescent="0.25">
      <c r="A1403" s="8"/>
      <c r="B1403" s="9"/>
      <c r="C1403" s="10"/>
      <c r="D1403" s="10"/>
      <c r="E1403" s="9"/>
      <c r="F1403" s="11"/>
      <c r="G1403" s="9"/>
      <c r="H1403" s="10"/>
      <c r="I1403" s="10"/>
      <c r="J1403" s="11"/>
      <c r="K1403" s="11"/>
      <c r="L1403" s="11"/>
      <c r="M1403" s="10"/>
      <c r="N1403" s="11"/>
      <c r="O1403" s="10"/>
      <c r="P1403" s="11"/>
      <c r="Q1403" s="11"/>
      <c r="R1403" s="12"/>
    </row>
    <row r="1404" spans="1:18" x14ac:dyDescent="0.25">
      <c r="A1404" s="8"/>
      <c r="B1404" s="9"/>
      <c r="C1404" s="10"/>
      <c r="D1404" s="10"/>
      <c r="E1404" s="9"/>
      <c r="F1404" s="11"/>
      <c r="G1404" s="9"/>
      <c r="H1404" s="10"/>
      <c r="I1404" s="10"/>
      <c r="J1404" s="11"/>
      <c r="K1404" s="11"/>
      <c r="L1404" s="11"/>
      <c r="M1404" s="10"/>
      <c r="N1404" s="11"/>
      <c r="O1404" s="10"/>
      <c r="P1404" s="11"/>
      <c r="Q1404" s="11"/>
      <c r="R1404" s="12"/>
    </row>
    <row r="1405" spans="1:18" x14ac:dyDescent="0.25">
      <c r="A1405" s="8"/>
      <c r="B1405" s="9"/>
      <c r="C1405" s="10"/>
      <c r="D1405" s="10"/>
      <c r="E1405" s="9"/>
      <c r="F1405" s="11"/>
      <c r="G1405" s="9"/>
      <c r="H1405" s="10"/>
      <c r="I1405" s="10"/>
      <c r="J1405" s="11"/>
      <c r="K1405" s="11"/>
      <c r="L1405" s="11"/>
      <c r="M1405" s="10"/>
      <c r="N1405" s="11"/>
      <c r="O1405" s="10"/>
      <c r="P1405" s="11"/>
      <c r="Q1405" s="11"/>
      <c r="R1405" s="12"/>
    </row>
    <row r="1406" spans="1:18" x14ac:dyDescent="0.25">
      <c r="A1406" s="8"/>
      <c r="B1406" s="9"/>
      <c r="C1406" s="10"/>
      <c r="D1406" s="10"/>
      <c r="E1406" s="9"/>
      <c r="F1406" s="11"/>
      <c r="G1406" s="9"/>
      <c r="H1406" s="10"/>
      <c r="I1406" s="10"/>
      <c r="J1406" s="11"/>
      <c r="K1406" s="11"/>
      <c r="L1406" s="11"/>
      <c r="M1406" s="10"/>
      <c r="N1406" s="11"/>
      <c r="O1406" s="10"/>
      <c r="P1406" s="11"/>
      <c r="Q1406" s="11"/>
      <c r="R1406" s="12"/>
    </row>
    <row r="1407" spans="1:18" x14ac:dyDescent="0.25">
      <c r="A1407" s="8"/>
      <c r="B1407" s="9"/>
      <c r="C1407" s="10"/>
      <c r="D1407" s="10"/>
      <c r="E1407" s="9"/>
      <c r="F1407" s="11"/>
      <c r="G1407" s="9"/>
      <c r="H1407" s="10"/>
      <c r="I1407" s="10"/>
      <c r="J1407" s="11"/>
      <c r="K1407" s="11"/>
      <c r="L1407" s="11"/>
      <c r="M1407" s="10"/>
      <c r="N1407" s="11"/>
      <c r="O1407" s="10"/>
      <c r="P1407" s="11"/>
      <c r="Q1407" s="11"/>
      <c r="R1407" s="12"/>
    </row>
    <row r="1408" spans="1:18" x14ac:dyDescent="0.25">
      <c r="A1408" s="8"/>
      <c r="B1408" s="9"/>
      <c r="C1408" s="10"/>
      <c r="D1408" s="10"/>
      <c r="E1408" s="9"/>
      <c r="F1408" s="11"/>
      <c r="G1408" s="9"/>
      <c r="H1408" s="10"/>
      <c r="I1408" s="10"/>
      <c r="J1408" s="11"/>
      <c r="K1408" s="11"/>
      <c r="L1408" s="11"/>
      <c r="M1408" s="10"/>
      <c r="N1408" s="11"/>
      <c r="O1408" s="10"/>
      <c r="P1408" s="11"/>
      <c r="Q1408" s="11"/>
      <c r="R1408" s="12"/>
    </row>
    <row r="1409" spans="1:18" x14ac:dyDescent="0.25">
      <c r="A1409" s="8"/>
      <c r="B1409" s="9"/>
      <c r="C1409" s="10"/>
      <c r="D1409" s="10"/>
      <c r="E1409" s="9"/>
      <c r="F1409" s="11"/>
      <c r="G1409" s="9"/>
      <c r="H1409" s="10"/>
      <c r="I1409" s="10"/>
      <c r="J1409" s="11"/>
      <c r="K1409" s="11"/>
      <c r="L1409" s="11"/>
      <c r="M1409" s="10"/>
      <c r="N1409" s="11"/>
      <c r="O1409" s="10"/>
      <c r="P1409" s="11"/>
      <c r="Q1409" s="11"/>
      <c r="R1409" s="12"/>
    </row>
    <row r="1410" spans="1:18" x14ac:dyDescent="0.25">
      <c r="A1410" s="8"/>
      <c r="B1410" s="9"/>
      <c r="C1410" s="10"/>
      <c r="D1410" s="10"/>
      <c r="E1410" s="9"/>
      <c r="F1410" s="11"/>
      <c r="G1410" s="9"/>
      <c r="H1410" s="10"/>
      <c r="I1410" s="10"/>
      <c r="J1410" s="11"/>
      <c r="K1410" s="11"/>
      <c r="L1410" s="11"/>
      <c r="M1410" s="10"/>
      <c r="N1410" s="11"/>
      <c r="O1410" s="10"/>
      <c r="P1410" s="11"/>
      <c r="Q1410" s="11"/>
      <c r="R1410" s="12"/>
    </row>
    <row r="1411" spans="1:18" x14ac:dyDescent="0.25">
      <c r="A1411" s="8"/>
      <c r="B1411" s="9"/>
      <c r="C1411" s="10"/>
      <c r="D1411" s="10"/>
      <c r="E1411" s="9"/>
      <c r="F1411" s="11"/>
      <c r="G1411" s="9"/>
      <c r="H1411" s="10"/>
      <c r="I1411" s="10"/>
      <c r="J1411" s="11"/>
      <c r="K1411" s="11"/>
      <c r="L1411" s="11"/>
      <c r="M1411" s="10"/>
      <c r="N1411" s="11"/>
      <c r="O1411" s="10"/>
      <c r="P1411" s="11"/>
      <c r="Q1411" s="11"/>
      <c r="R1411" s="12"/>
    </row>
    <row r="1412" spans="1:18" x14ac:dyDescent="0.25">
      <c r="A1412" s="8"/>
      <c r="B1412" s="9"/>
      <c r="C1412" s="10"/>
      <c r="D1412" s="10"/>
      <c r="E1412" s="9"/>
      <c r="F1412" s="11"/>
      <c r="G1412" s="9"/>
      <c r="H1412" s="10"/>
      <c r="I1412" s="10"/>
      <c r="J1412" s="11"/>
      <c r="K1412" s="11"/>
      <c r="L1412" s="11"/>
      <c r="M1412" s="10"/>
      <c r="N1412" s="11"/>
      <c r="O1412" s="10"/>
      <c r="P1412" s="11"/>
      <c r="Q1412" s="11"/>
      <c r="R1412" s="12"/>
    </row>
    <row r="1413" spans="1:18" x14ac:dyDescent="0.25">
      <c r="A1413" s="8"/>
      <c r="B1413" s="9"/>
      <c r="C1413" s="10"/>
      <c r="D1413" s="10"/>
      <c r="E1413" s="9"/>
      <c r="F1413" s="11"/>
      <c r="G1413" s="9"/>
      <c r="H1413" s="10"/>
      <c r="I1413" s="10"/>
      <c r="J1413" s="11"/>
      <c r="K1413" s="11"/>
      <c r="L1413" s="11"/>
      <c r="M1413" s="10"/>
      <c r="N1413" s="11"/>
      <c r="O1413" s="10"/>
      <c r="P1413" s="11"/>
      <c r="Q1413" s="11"/>
      <c r="R1413" s="12"/>
    </row>
    <row r="1414" spans="1:18" x14ac:dyDescent="0.25">
      <c r="A1414" s="8"/>
      <c r="B1414" s="9"/>
      <c r="C1414" s="10"/>
      <c r="D1414" s="10"/>
      <c r="E1414" s="9"/>
      <c r="F1414" s="11"/>
      <c r="G1414" s="9"/>
      <c r="H1414" s="10"/>
      <c r="I1414" s="10"/>
      <c r="J1414" s="11"/>
      <c r="K1414" s="11"/>
      <c r="L1414" s="11"/>
      <c r="M1414" s="10"/>
      <c r="N1414" s="11"/>
      <c r="O1414" s="10"/>
      <c r="P1414" s="11"/>
      <c r="Q1414" s="11"/>
      <c r="R1414" s="12"/>
    </row>
    <row r="1415" spans="1:18" x14ac:dyDescent="0.25">
      <c r="A1415" s="8"/>
      <c r="B1415" s="9"/>
      <c r="C1415" s="10"/>
      <c r="D1415" s="10"/>
      <c r="E1415" s="9"/>
      <c r="F1415" s="11"/>
      <c r="G1415" s="9"/>
      <c r="H1415" s="10"/>
      <c r="I1415" s="10"/>
      <c r="J1415" s="11"/>
      <c r="K1415" s="11"/>
      <c r="L1415" s="11"/>
      <c r="M1415" s="10"/>
      <c r="N1415" s="11"/>
      <c r="O1415" s="10"/>
      <c r="P1415" s="11"/>
      <c r="Q1415" s="11"/>
      <c r="R1415" s="12"/>
    </row>
    <row r="1416" spans="1:18" x14ac:dyDescent="0.25">
      <c r="A1416" s="8"/>
      <c r="B1416" s="9"/>
      <c r="C1416" s="10"/>
      <c r="D1416" s="10"/>
      <c r="E1416" s="9"/>
      <c r="F1416" s="11"/>
      <c r="G1416" s="9"/>
      <c r="H1416" s="10"/>
      <c r="I1416" s="10"/>
      <c r="J1416" s="11"/>
      <c r="K1416" s="11"/>
      <c r="L1416" s="11"/>
      <c r="M1416" s="10"/>
      <c r="N1416" s="11"/>
      <c r="O1416" s="10"/>
      <c r="P1416" s="11"/>
      <c r="Q1416" s="11"/>
      <c r="R1416" s="12"/>
    </row>
    <row r="1417" spans="1:18" x14ac:dyDescent="0.25">
      <c r="A1417" s="8"/>
      <c r="B1417" s="9"/>
      <c r="C1417" s="10"/>
      <c r="D1417" s="10"/>
      <c r="E1417" s="9"/>
      <c r="F1417" s="11"/>
      <c r="G1417" s="9"/>
      <c r="H1417" s="10"/>
      <c r="I1417" s="10"/>
      <c r="J1417" s="11"/>
      <c r="K1417" s="11"/>
      <c r="L1417" s="11"/>
      <c r="M1417" s="10"/>
      <c r="N1417" s="11"/>
      <c r="O1417" s="10"/>
      <c r="P1417" s="11"/>
      <c r="Q1417" s="11"/>
      <c r="R1417" s="12"/>
    </row>
    <row r="1418" spans="1:18" x14ac:dyDescent="0.25">
      <c r="A1418" s="8"/>
      <c r="B1418" s="9"/>
      <c r="C1418" s="10"/>
      <c r="D1418" s="10"/>
      <c r="E1418" s="9"/>
      <c r="F1418" s="11"/>
      <c r="G1418" s="9"/>
      <c r="H1418" s="10"/>
      <c r="I1418" s="10"/>
      <c r="J1418" s="11"/>
      <c r="K1418" s="11"/>
      <c r="L1418" s="11"/>
      <c r="M1418" s="10"/>
      <c r="N1418" s="11"/>
      <c r="O1418" s="10"/>
      <c r="P1418" s="11"/>
      <c r="Q1418" s="11"/>
      <c r="R1418" s="12"/>
    </row>
    <row r="1419" spans="1:18" x14ac:dyDescent="0.25">
      <c r="A1419" s="8"/>
      <c r="B1419" s="9"/>
      <c r="C1419" s="10"/>
      <c r="D1419" s="10"/>
      <c r="E1419" s="9"/>
      <c r="F1419" s="11"/>
      <c r="G1419" s="9"/>
      <c r="H1419" s="10"/>
      <c r="I1419" s="10"/>
      <c r="J1419" s="11"/>
      <c r="K1419" s="11"/>
      <c r="L1419" s="11"/>
      <c r="M1419" s="10"/>
      <c r="N1419" s="11"/>
      <c r="O1419" s="10"/>
      <c r="P1419" s="11"/>
      <c r="Q1419" s="11"/>
      <c r="R1419" s="12"/>
    </row>
    <row r="1420" spans="1:18" x14ac:dyDescent="0.25">
      <c r="A1420" s="8"/>
      <c r="B1420" s="9"/>
      <c r="C1420" s="10"/>
      <c r="D1420" s="10"/>
      <c r="E1420" s="9"/>
      <c r="F1420" s="11"/>
      <c r="G1420" s="9"/>
      <c r="H1420" s="10"/>
      <c r="I1420" s="10"/>
      <c r="J1420" s="11"/>
      <c r="K1420" s="11"/>
      <c r="L1420" s="11"/>
      <c r="M1420" s="10"/>
      <c r="N1420" s="11"/>
      <c r="O1420" s="10"/>
      <c r="P1420" s="11"/>
      <c r="Q1420" s="11"/>
      <c r="R1420" s="12"/>
    </row>
    <row r="1421" spans="1:18" x14ac:dyDescent="0.25">
      <c r="A1421" s="8"/>
      <c r="B1421" s="9"/>
      <c r="C1421" s="10"/>
      <c r="D1421" s="10"/>
      <c r="E1421" s="9"/>
      <c r="F1421" s="11"/>
      <c r="G1421" s="9"/>
      <c r="H1421" s="10"/>
      <c r="I1421" s="10"/>
      <c r="J1421" s="11"/>
      <c r="K1421" s="11"/>
      <c r="L1421" s="11"/>
      <c r="M1421" s="10"/>
      <c r="N1421" s="11"/>
      <c r="O1421" s="10"/>
      <c r="P1421" s="11"/>
      <c r="Q1421" s="11"/>
      <c r="R1421" s="12"/>
    </row>
    <row r="1422" spans="1:18" x14ac:dyDescent="0.25">
      <c r="A1422" s="8"/>
      <c r="B1422" s="9"/>
      <c r="C1422" s="10"/>
      <c r="D1422" s="10"/>
      <c r="E1422" s="9"/>
      <c r="F1422" s="11"/>
      <c r="G1422" s="9"/>
      <c r="H1422" s="10"/>
      <c r="I1422" s="10"/>
      <c r="J1422" s="11"/>
      <c r="K1422" s="11"/>
      <c r="L1422" s="11"/>
      <c r="M1422" s="10"/>
      <c r="N1422" s="11"/>
      <c r="O1422" s="10"/>
      <c r="P1422" s="11"/>
      <c r="Q1422" s="11"/>
      <c r="R1422" s="12"/>
    </row>
    <row r="1423" spans="1:18" x14ac:dyDescent="0.25">
      <c r="A1423" s="8"/>
      <c r="B1423" s="9"/>
      <c r="C1423" s="10"/>
      <c r="D1423" s="10"/>
      <c r="E1423" s="9"/>
      <c r="F1423" s="11"/>
      <c r="G1423" s="9"/>
      <c r="H1423" s="10"/>
      <c r="I1423" s="10"/>
      <c r="J1423" s="11"/>
      <c r="K1423" s="11"/>
      <c r="L1423" s="11"/>
      <c r="M1423" s="10"/>
      <c r="N1423" s="11"/>
      <c r="O1423" s="10"/>
      <c r="P1423" s="11"/>
      <c r="Q1423" s="11"/>
      <c r="R1423" s="12"/>
    </row>
    <row r="1424" spans="1:18" x14ac:dyDescent="0.25">
      <c r="A1424" s="8"/>
      <c r="B1424" s="9"/>
      <c r="C1424" s="10"/>
      <c r="D1424" s="10"/>
      <c r="E1424" s="9"/>
      <c r="F1424" s="11"/>
      <c r="G1424" s="9"/>
      <c r="H1424" s="10"/>
      <c r="I1424" s="10"/>
      <c r="J1424" s="11"/>
      <c r="K1424" s="11"/>
      <c r="L1424" s="11"/>
      <c r="M1424" s="10"/>
      <c r="N1424" s="11"/>
      <c r="O1424" s="10"/>
      <c r="P1424" s="11"/>
      <c r="Q1424" s="11"/>
      <c r="R1424" s="12"/>
    </row>
    <row r="1425" spans="1:18" x14ac:dyDescent="0.25">
      <c r="A1425" s="8"/>
      <c r="B1425" s="9"/>
      <c r="C1425" s="10"/>
      <c r="D1425" s="10"/>
      <c r="E1425" s="9"/>
      <c r="F1425" s="11"/>
      <c r="G1425" s="9"/>
      <c r="H1425" s="10"/>
      <c r="I1425" s="10"/>
      <c r="J1425" s="11"/>
      <c r="K1425" s="11"/>
      <c r="L1425" s="11"/>
      <c r="M1425" s="10"/>
      <c r="N1425" s="11"/>
      <c r="O1425" s="10"/>
      <c r="P1425" s="11"/>
      <c r="Q1425" s="11"/>
      <c r="R1425" s="12"/>
    </row>
    <row r="1426" spans="1:18" x14ac:dyDescent="0.25">
      <c r="A1426" s="8"/>
      <c r="B1426" s="9"/>
      <c r="C1426" s="10"/>
      <c r="D1426" s="10"/>
      <c r="E1426" s="9"/>
      <c r="F1426" s="11"/>
      <c r="G1426" s="9"/>
      <c r="H1426" s="10"/>
      <c r="I1426" s="10"/>
      <c r="J1426" s="11"/>
      <c r="K1426" s="11"/>
      <c r="L1426" s="11"/>
      <c r="M1426" s="10"/>
      <c r="N1426" s="11"/>
      <c r="O1426" s="10"/>
      <c r="P1426" s="11"/>
      <c r="Q1426" s="11"/>
      <c r="R1426" s="12"/>
    </row>
    <row r="1427" spans="1:18" x14ac:dyDescent="0.25">
      <c r="A1427" s="8"/>
      <c r="B1427" s="9"/>
      <c r="C1427" s="10"/>
      <c r="D1427" s="10"/>
      <c r="E1427" s="9"/>
      <c r="F1427" s="11"/>
      <c r="G1427" s="9"/>
      <c r="H1427" s="10"/>
      <c r="I1427" s="10"/>
      <c r="J1427" s="11"/>
      <c r="K1427" s="11"/>
      <c r="L1427" s="11"/>
      <c r="M1427" s="10"/>
      <c r="N1427" s="11"/>
      <c r="O1427" s="10"/>
      <c r="P1427" s="11"/>
      <c r="Q1427" s="11"/>
      <c r="R1427" s="12"/>
    </row>
    <row r="1428" spans="1:18" x14ac:dyDescent="0.25">
      <c r="A1428" s="8"/>
      <c r="B1428" s="9"/>
      <c r="C1428" s="10"/>
      <c r="D1428" s="10"/>
      <c r="E1428" s="9"/>
      <c r="F1428" s="11"/>
      <c r="G1428" s="9"/>
      <c r="H1428" s="10"/>
      <c r="I1428" s="10"/>
      <c r="J1428" s="11"/>
      <c r="K1428" s="11"/>
      <c r="L1428" s="11"/>
      <c r="M1428" s="10"/>
      <c r="N1428" s="11"/>
      <c r="O1428" s="10"/>
      <c r="P1428" s="11"/>
      <c r="Q1428" s="11"/>
      <c r="R1428" s="12"/>
    </row>
    <row r="1429" spans="1:18" x14ac:dyDescent="0.25">
      <c r="A1429" s="8"/>
      <c r="B1429" s="9"/>
      <c r="C1429" s="10"/>
      <c r="D1429" s="10"/>
      <c r="E1429" s="9"/>
      <c r="F1429" s="11"/>
      <c r="G1429" s="9"/>
      <c r="H1429" s="10"/>
      <c r="I1429" s="10"/>
      <c r="J1429" s="11"/>
      <c r="K1429" s="11"/>
      <c r="L1429" s="11"/>
      <c r="M1429" s="10"/>
      <c r="N1429" s="11"/>
      <c r="O1429" s="10"/>
      <c r="P1429" s="11"/>
      <c r="Q1429" s="11"/>
      <c r="R1429" s="12"/>
    </row>
    <row r="1430" spans="1:18" x14ac:dyDescent="0.25">
      <c r="A1430" s="8"/>
      <c r="B1430" s="9"/>
      <c r="C1430" s="10"/>
      <c r="D1430" s="10"/>
      <c r="E1430" s="9"/>
      <c r="F1430" s="11"/>
      <c r="G1430" s="9"/>
      <c r="H1430" s="10"/>
      <c r="I1430" s="10"/>
      <c r="J1430" s="11"/>
      <c r="K1430" s="11"/>
      <c r="L1430" s="11"/>
      <c r="M1430" s="10"/>
      <c r="N1430" s="11"/>
      <c r="O1430" s="10"/>
      <c r="P1430" s="11"/>
      <c r="Q1430" s="11"/>
      <c r="R1430" s="12"/>
    </row>
    <row r="1431" spans="1:18" x14ac:dyDescent="0.25">
      <c r="A1431" s="8"/>
      <c r="B1431" s="9"/>
      <c r="C1431" s="10"/>
      <c r="D1431" s="10"/>
      <c r="E1431" s="9"/>
      <c r="F1431" s="11"/>
      <c r="G1431" s="9"/>
      <c r="H1431" s="10"/>
      <c r="I1431" s="10"/>
      <c r="J1431" s="11"/>
      <c r="K1431" s="11"/>
      <c r="L1431" s="11"/>
      <c r="M1431" s="10"/>
      <c r="N1431" s="11"/>
      <c r="O1431" s="10"/>
      <c r="P1431" s="11"/>
      <c r="Q1431" s="11"/>
      <c r="R1431" s="12"/>
    </row>
    <row r="1432" spans="1:18" x14ac:dyDescent="0.25">
      <c r="A1432" s="8"/>
      <c r="B1432" s="9"/>
      <c r="C1432" s="10"/>
      <c r="D1432" s="10"/>
      <c r="E1432" s="9"/>
      <c r="F1432" s="11"/>
      <c r="G1432" s="9"/>
      <c r="H1432" s="10"/>
      <c r="I1432" s="10"/>
      <c r="J1432" s="11"/>
      <c r="K1432" s="11"/>
      <c r="L1432" s="11"/>
      <c r="M1432" s="10"/>
      <c r="N1432" s="11"/>
      <c r="O1432" s="10"/>
      <c r="P1432" s="11"/>
      <c r="Q1432" s="11"/>
      <c r="R1432" s="12"/>
    </row>
    <row r="1433" spans="1:18" x14ac:dyDescent="0.25">
      <c r="A1433" s="8"/>
      <c r="B1433" s="9"/>
      <c r="C1433" s="10"/>
      <c r="D1433" s="10"/>
      <c r="E1433" s="9"/>
      <c r="F1433" s="11"/>
      <c r="G1433" s="9"/>
      <c r="H1433" s="10"/>
      <c r="I1433" s="10"/>
      <c r="J1433" s="11"/>
      <c r="K1433" s="11"/>
      <c r="L1433" s="11"/>
      <c r="M1433" s="10"/>
      <c r="N1433" s="11"/>
      <c r="O1433" s="10"/>
      <c r="P1433" s="11"/>
      <c r="Q1433" s="11"/>
      <c r="R1433" s="12"/>
    </row>
    <row r="1434" spans="1:18" x14ac:dyDescent="0.25">
      <c r="A1434" s="8"/>
      <c r="B1434" s="9"/>
      <c r="C1434" s="10"/>
      <c r="D1434" s="10"/>
      <c r="E1434" s="9"/>
      <c r="F1434" s="11"/>
      <c r="G1434" s="9"/>
      <c r="H1434" s="10"/>
      <c r="I1434" s="10"/>
      <c r="J1434" s="11"/>
      <c r="K1434" s="11"/>
      <c r="L1434" s="11"/>
      <c r="M1434" s="10"/>
      <c r="N1434" s="11"/>
      <c r="O1434" s="10"/>
      <c r="P1434" s="11"/>
      <c r="Q1434" s="11"/>
      <c r="R1434" s="12"/>
    </row>
    <row r="1435" spans="1:18" x14ac:dyDescent="0.25">
      <c r="A1435" s="8"/>
      <c r="B1435" s="9"/>
      <c r="C1435" s="10"/>
      <c r="D1435" s="10"/>
      <c r="E1435" s="9"/>
      <c r="F1435" s="11"/>
      <c r="G1435" s="9"/>
      <c r="H1435" s="10"/>
      <c r="I1435" s="10"/>
      <c r="J1435" s="11"/>
      <c r="K1435" s="11"/>
      <c r="L1435" s="11"/>
      <c r="M1435" s="10"/>
      <c r="N1435" s="11"/>
      <c r="O1435" s="10"/>
      <c r="P1435" s="11"/>
      <c r="Q1435" s="11"/>
      <c r="R1435" s="12"/>
    </row>
    <row r="1436" spans="1:18" x14ac:dyDescent="0.25">
      <c r="A1436" s="8"/>
      <c r="B1436" s="9"/>
      <c r="C1436" s="10"/>
      <c r="D1436" s="10"/>
      <c r="E1436" s="9"/>
      <c r="F1436" s="11"/>
      <c r="G1436" s="9"/>
      <c r="H1436" s="10"/>
      <c r="I1436" s="10"/>
      <c r="J1436" s="11"/>
      <c r="K1436" s="11"/>
      <c r="L1436" s="11"/>
      <c r="M1436" s="10"/>
      <c r="N1436" s="11"/>
      <c r="O1436" s="10"/>
      <c r="P1436" s="11"/>
      <c r="Q1436" s="11"/>
      <c r="R1436" s="12"/>
    </row>
    <row r="1437" spans="1:18" x14ac:dyDescent="0.25">
      <c r="A1437" s="8"/>
      <c r="B1437" s="9"/>
      <c r="C1437" s="10"/>
      <c r="D1437" s="10"/>
      <c r="E1437" s="9"/>
      <c r="F1437" s="11"/>
      <c r="G1437" s="9"/>
      <c r="H1437" s="10"/>
      <c r="I1437" s="10"/>
      <c r="J1437" s="11"/>
      <c r="K1437" s="11"/>
      <c r="L1437" s="11"/>
      <c r="M1437" s="10"/>
      <c r="N1437" s="11"/>
      <c r="O1437" s="10"/>
      <c r="P1437" s="11"/>
      <c r="Q1437" s="11"/>
      <c r="R1437" s="12"/>
    </row>
    <row r="1438" spans="1:18" x14ac:dyDescent="0.25">
      <c r="A1438" s="8"/>
      <c r="B1438" s="9"/>
      <c r="C1438" s="10"/>
      <c r="D1438" s="10"/>
      <c r="E1438" s="9"/>
      <c r="F1438" s="11"/>
      <c r="G1438" s="9"/>
      <c r="H1438" s="10"/>
      <c r="I1438" s="10"/>
      <c r="J1438" s="11"/>
      <c r="K1438" s="11"/>
      <c r="L1438" s="11"/>
      <c r="M1438" s="10"/>
      <c r="N1438" s="11"/>
      <c r="O1438" s="10"/>
      <c r="P1438" s="11"/>
      <c r="Q1438" s="11"/>
      <c r="R1438" s="12"/>
    </row>
    <row r="1439" spans="1:18" x14ac:dyDescent="0.25">
      <c r="A1439" s="8"/>
      <c r="B1439" s="9"/>
      <c r="C1439" s="10"/>
      <c r="D1439" s="10"/>
      <c r="E1439" s="9"/>
      <c r="F1439" s="11"/>
      <c r="G1439" s="9"/>
      <c r="H1439" s="10"/>
      <c r="I1439" s="10"/>
      <c r="J1439" s="11"/>
      <c r="K1439" s="11"/>
      <c r="L1439" s="11"/>
      <c r="M1439" s="10"/>
      <c r="N1439" s="11"/>
      <c r="O1439" s="10"/>
      <c r="P1439" s="11"/>
      <c r="Q1439" s="11"/>
      <c r="R1439" s="12"/>
    </row>
    <row r="1440" spans="1:18" x14ac:dyDescent="0.25">
      <c r="A1440" s="8"/>
      <c r="B1440" s="9"/>
      <c r="C1440" s="10"/>
      <c r="D1440" s="10"/>
      <c r="E1440" s="9"/>
      <c r="F1440" s="11"/>
      <c r="G1440" s="9"/>
      <c r="H1440" s="10"/>
      <c r="I1440" s="10"/>
      <c r="J1440" s="11"/>
      <c r="K1440" s="11"/>
      <c r="L1440" s="11"/>
      <c r="M1440" s="10"/>
      <c r="N1440" s="11"/>
      <c r="O1440" s="10"/>
      <c r="P1440" s="11"/>
      <c r="Q1440" s="11"/>
      <c r="R1440" s="12"/>
    </row>
    <row r="1441" spans="1:18" x14ac:dyDescent="0.25">
      <c r="A1441" s="8"/>
      <c r="B1441" s="9"/>
      <c r="C1441" s="10"/>
      <c r="D1441" s="10"/>
      <c r="E1441" s="9"/>
      <c r="F1441" s="11"/>
      <c r="G1441" s="9"/>
      <c r="H1441" s="10"/>
      <c r="I1441" s="10"/>
      <c r="J1441" s="11"/>
      <c r="K1441" s="11"/>
      <c r="L1441" s="11"/>
      <c r="M1441" s="10"/>
      <c r="N1441" s="11"/>
      <c r="O1441" s="10"/>
      <c r="P1441" s="11"/>
      <c r="Q1441" s="11"/>
      <c r="R1441" s="12"/>
    </row>
    <row r="1442" spans="1:18" x14ac:dyDescent="0.25">
      <c r="A1442" s="8"/>
      <c r="B1442" s="9"/>
      <c r="C1442" s="10"/>
      <c r="D1442" s="10"/>
      <c r="E1442" s="9"/>
      <c r="F1442" s="11"/>
      <c r="G1442" s="9"/>
      <c r="H1442" s="10"/>
      <c r="I1442" s="10"/>
      <c r="J1442" s="11"/>
      <c r="K1442" s="11"/>
      <c r="L1442" s="11"/>
      <c r="M1442" s="10"/>
      <c r="N1442" s="11"/>
      <c r="O1442" s="10"/>
      <c r="P1442" s="11"/>
      <c r="Q1442" s="11"/>
      <c r="R1442" s="12"/>
    </row>
    <row r="1443" spans="1:18" x14ac:dyDescent="0.25">
      <c r="A1443" s="8"/>
      <c r="B1443" s="9"/>
      <c r="C1443" s="10"/>
      <c r="D1443" s="10"/>
      <c r="E1443" s="9"/>
      <c r="F1443" s="11"/>
      <c r="G1443" s="9"/>
      <c r="H1443" s="10"/>
      <c r="I1443" s="10"/>
      <c r="J1443" s="11"/>
      <c r="K1443" s="11"/>
      <c r="L1443" s="11"/>
      <c r="M1443" s="10"/>
      <c r="N1443" s="11"/>
      <c r="O1443" s="10"/>
      <c r="P1443" s="11"/>
      <c r="Q1443" s="11"/>
      <c r="R1443" s="12"/>
    </row>
    <row r="1444" spans="1:18" x14ac:dyDescent="0.25">
      <c r="A1444" s="8"/>
      <c r="B1444" s="9"/>
      <c r="C1444" s="10"/>
      <c r="D1444" s="10"/>
      <c r="E1444" s="9"/>
      <c r="F1444" s="11"/>
      <c r="G1444" s="9"/>
      <c r="H1444" s="10"/>
      <c r="I1444" s="10"/>
      <c r="J1444" s="11"/>
      <c r="K1444" s="11"/>
      <c r="L1444" s="11"/>
      <c r="M1444" s="10"/>
      <c r="N1444" s="11"/>
      <c r="O1444" s="10"/>
      <c r="P1444" s="11"/>
      <c r="Q1444" s="11"/>
      <c r="R1444" s="12"/>
    </row>
    <row r="1445" spans="1:18" x14ac:dyDescent="0.25">
      <c r="A1445" s="8"/>
      <c r="B1445" s="9"/>
      <c r="C1445" s="10"/>
      <c r="D1445" s="10"/>
      <c r="E1445" s="9"/>
      <c r="F1445" s="11"/>
      <c r="G1445" s="9"/>
      <c r="H1445" s="10"/>
      <c r="I1445" s="10"/>
      <c r="J1445" s="11"/>
      <c r="K1445" s="11"/>
      <c r="L1445" s="11"/>
      <c r="M1445" s="10"/>
      <c r="N1445" s="11"/>
      <c r="O1445" s="10"/>
      <c r="P1445" s="11"/>
      <c r="Q1445" s="11"/>
      <c r="R1445" s="12"/>
    </row>
    <row r="1446" spans="1:18" x14ac:dyDescent="0.25">
      <c r="A1446" s="8"/>
      <c r="B1446" s="9"/>
      <c r="C1446" s="10"/>
      <c r="D1446" s="10"/>
      <c r="E1446" s="9"/>
      <c r="F1446" s="11"/>
      <c r="G1446" s="9"/>
      <c r="H1446" s="10"/>
      <c r="I1446" s="10"/>
      <c r="J1446" s="11"/>
      <c r="K1446" s="11"/>
      <c r="L1446" s="11"/>
      <c r="M1446" s="10"/>
      <c r="N1446" s="11"/>
      <c r="O1446" s="10"/>
      <c r="P1446" s="11"/>
      <c r="Q1446" s="11"/>
      <c r="R1446" s="12"/>
    </row>
    <row r="1447" spans="1:18" x14ac:dyDescent="0.25">
      <c r="A1447" s="8"/>
      <c r="B1447" s="9"/>
      <c r="C1447" s="10"/>
      <c r="D1447" s="10"/>
      <c r="E1447" s="9"/>
      <c r="F1447" s="11"/>
      <c r="G1447" s="9"/>
      <c r="H1447" s="10"/>
      <c r="I1447" s="10"/>
      <c r="J1447" s="11"/>
      <c r="K1447" s="11"/>
      <c r="L1447" s="11"/>
      <c r="M1447" s="10"/>
      <c r="N1447" s="11"/>
      <c r="O1447" s="10"/>
      <c r="P1447" s="11"/>
      <c r="Q1447" s="11"/>
      <c r="R1447" s="12"/>
    </row>
    <row r="1448" spans="1:18" x14ac:dyDescent="0.25">
      <c r="A1448" s="8"/>
      <c r="B1448" s="9"/>
      <c r="C1448" s="10"/>
      <c r="D1448" s="10"/>
      <c r="E1448" s="9"/>
      <c r="F1448" s="11"/>
      <c r="G1448" s="9"/>
      <c r="H1448" s="10"/>
      <c r="I1448" s="10"/>
      <c r="J1448" s="11"/>
      <c r="K1448" s="11"/>
      <c r="L1448" s="11"/>
      <c r="M1448" s="10"/>
      <c r="N1448" s="11"/>
      <c r="O1448" s="10"/>
      <c r="P1448" s="11"/>
      <c r="Q1448" s="11"/>
      <c r="R1448" s="12"/>
    </row>
    <row r="1449" spans="1:18" x14ac:dyDescent="0.25">
      <c r="A1449" s="8"/>
      <c r="B1449" s="9"/>
      <c r="C1449" s="10"/>
      <c r="D1449" s="10"/>
      <c r="E1449" s="9"/>
      <c r="F1449" s="11"/>
      <c r="G1449" s="9"/>
      <c r="H1449" s="10"/>
      <c r="I1449" s="10"/>
      <c r="J1449" s="11"/>
      <c r="K1449" s="11"/>
      <c r="L1449" s="11"/>
      <c r="M1449" s="10"/>
      <c r="N1449" s="11"/>
      <c r="O1449" s="10"/>
      <c r="P1449" s="11"/>
      <c r="Q1449" s="11"/>
      <c r="R1449" s="12"/>
    </row>
    <row r="1450" spans="1:18" x14ac:dyDescent="0.25">
      <c r="A1450" s="8"/>
      <c r="B1450" s="9"/>
      <c r="C1450" s="10"/>
      <c r="D1450" s="10"/>
      <c r="E1450" s="9"/>
      <c r="F1450" s="11"/>
      <c r="G1450" s="9"/>
      <c r="H1450" s="10"/>
      <c r="I1450" s="10"/>
      <c r="J1450" s="11"/>
      <c r="K1450" s="11"/>
      <c r="L1450" s="11"/>
      <c r="M1450" s="10"/>
      <c r="N1450" s="11"/>
      <c r="O1450" s="10"/>
      <c r="P1450" s="11"/>
      <c r="Q1450" s="11"/>
      <c r="R1450" s="12"/>
    </row>
    <row r="1451" spans="1:18" x14ac:dyDescent="0.25">
      <c r="A1451" s="8"/>
      <c r="B1451" s="9"/>
      <c r="C1451" s="10"/>
      <c r="D1451" s="10"/>
      <c r="E1451" s="9"/>
      <c r="F1451" s="11"/>
      <c r="G1451" s="9"/>
      <c r="H1451" s="10"/>
      <c r="I1451" s="10"/>
      <c r="J1451" s="11"/>
      <c r="K1451" s="11"/>
      <c r="L1451" s="11"/>
      <c r="M1451" s="10"/>
      <c r="N1451" s="11"/>
      <c r="O1451" s="10"/>
      <c r="P1451" s="11"/>
      <c r="Q1451" s="11"/>
      <c r="R1451" s="12"/>
    </row>
    <row r="1452" spans="1:18" x14ac:dyDescent="0.25">
      <c r="A1452" s="8"/>
      <c r="B1452" s="9"/>
      <c r="C1452" s="10"/>
      <c r="D1452" s="10"/>
      <c r="E1452" s="9"/>
      <c r="F1452" s="11"/>
      <c r="G1452" s="9"/>
      <c r="H1452" s="10"/>
      <c r="I1452" s="10"/>
      <c r="J1452" s="11"/>
      <c r="K1452" s="11"/>
      <c r="L1452" s="11"/>
      <c r="M1452" s="10"/>
      <c r="N1452" s="11"/>
      <c r="O1452" s="10"/>
      <c r="P1452" s="11"/>
      <c r="Q1452" s="11"/>
      <c r="R1452" s="12"/>
    </row>
    <row r="1453" spans="1:18" x14ac:dyDescent="0.25">
      <c r="A1453" s="8"/>
      <c r="B1453" s="9"/>
      <c r="C1453" s="10"/>
      <c r="D1453" s="10"/>
      <c r="E1453" s="9"/>
      <c r="F1453" s="11"/>
      <c r="G1453" s="9"/>
      <c r="H1453" s="10"/>
      <c r="I1453" s="10"/>
      <c r="J1453" s="11"/>
      <c r="K1453" s="11"/>
      <c r="L1453" s="11"/>
      <c r="M1453" s="10"/>
      <c r="N1453" s="11"/>
      <c r="O1453" s="10"/>
      <c r="P1453" s="11"/>
      <c r="Q1453" s="11"/>
      <c r="R1453" s="12"/>
    </row>
    <row r="1454" spans="1:18" x14ac:dyDescent="0.25">
      <c r="A1454" s="8"/>
      <c r="B1454" s="9"/>
      <c r="C1454" s="10"/>
      <c r="D1454" s="10"/>
      <c r="E1454" s="9"/>
      <c r="F1454" s="11"/>
      <c r="G1454" s="9"/>
      <c r="H1454" s="10"/>
      <c r="I1454" s="10"/>
      <c r="J1454" s="11"/>
      <c r="K1454" s="11"/>
      <c r="L1454" s="11"/>
      <c r="M1454" s="10"/>
      <c r="N1454" s="11"/>
      <c r="O1454" s="10"/>
      <c r="P1454" s="11"/>
      <c r="Q1454" s="11"/>
      <c r="R1454" s="12"/>
    </row>
    <row r="1455" spans="1:18" x14ac:dyDescent="0.25">
      <c r="A1455" s="8"/>
      <c r="B1455" s="9"/>
      <c r="C1455" s="10"/>
      <c r="D1455" s="10"/>
      <c r="E1455" s="9"/>
      <c r="F1455" s="11"/>
      <c r="G1455" s="9"/>
      <c r="H1455" s="10"/>
      <c r="I1455" s="10"/>
      <c r="J1455" s="11"/>
      <c r="K1455" s="11"/>
      <c r="L1455" s="11"/>
      <c r="M1455" s="10"/>
      <c r="N1455" s="11"/>
      <c r="O1455" s="10"/>
      <c r="P1455" s="11"/>
      <c r="Q1455" s="11"/>
      <c r="R1455" s="12"/>
    </row>
    <row r="1456" spans="1:18" x14ac:dyDescent="0.25">
      <c r="A1456" s="8"/>
      <c r="B1456" s="9"/>
      <c r="C1456" s="10"/>
      <c r="D1456" s="10"/>
      <c r="E1456" s="9"/>
      <c r="F1456" s="11"/>
      <c r="G1456" s="9"/>
      <c r="H1456" s="10"/>
      <c r="I1456" s="10"/>
      <c r="J1456" s="11"/>
      <c r="K1456" s="11"/>
      <c r="L1456" s="11"/>
      <c r="M1456" s="10"/>
      <c r="N1456" s="11"/>
      <c r="O1456" s="10"/>
      <c r="P1456" s="11"/>
      <c r="Q1456" s="11"/>
      <c r="R1456" s="12"/>
    </row>
    <row r="1457" spans="1:18" x14ac:dyDescent="0.25">
      <c r="A1457" s="8"/>
      <c r="B1457" s="9"/>
      <c r="C1457" s="10"/>
      <c r="D1457" s="10"/>
      <c r="E1457" s="9"/>
      <c r="F1457" s="11"/>
      <c r="G1457" s="9"/>
      <c r="H1457" s="10"/>
      <c r="I1457" s="10"/>
      <c r="J1457" s="11"/>
      <c r="K1457" s="11"/>
      <c r="L1457" s="11"/>
      <c r="M1457" s="10"/>
      <c r="N1457" s="11"/>
      <c r="O1457" s="10"/>
      <c r="P1457" s="11"/>
      <c r="Q1457" s="11"/>
      <c r="R1457" s="12"/>
    </row>
    <row r="1458" spans="1:18" x14ac:dyDescent="0.25">
      <c r="A1458" s="8"/>
      <c r="B1458" s="9"/>
      <c r="C1458" s="10"/>
      <c r="D1458" s="10"/>
      <c r="E1458" s="9"/>
      <c r="F1458" s="11"/>
      <c r="G1458" s="9"/>
      <c r="H1458" s="10"/>
      <c r="I1458" s="10"/>
      <c r="J1458" s="11"/>
      <c r="K1458" s="11"/>
      <c r="L1458" s="11"/>
      <c r="M1458" s="10"/>
      <c r="N1458" s="11"/>
      <c r="O1458" s="10"/>
      <c r="P1458" s="11"/>
      <c r="Q1458" s="11"/>
      <c r="R1458" s="12"/>
    </row>
    <row r="1459" spans="1:18" x14ac:dyDescent="0.25">
      <c r="A1459" s="8"/>
      <c r="B1459" s="9"/>
      <c r="C1459" s="10"/>
      <c r="D1459" s="10"/>
      <c r="E1459" s="9"/>
      <c r="F1459" s="11"/>
      <c r="G1459" s="9"/>
      <c r="H1459" s="10"/>
      <c r="I1459" s="10"/>
      <c r="J1459" s="11"/>
      <c r="K1459" s="11"/>
      <c r="L1459" s="11"/>
      <c r="M1459" s="10"/>
      <c r="N1459" s="11"/>
      <c r="O1459" s="10"/>
      <c r="P1459" s="11"/>
      <c r="Q1459" s="11"/>
      <c r="R1459" s="12"/>
    </row>
    <row r="1460" spans="1:18" x14ac:dyDescent="0.25">
      <c r="A1460" s="8"/>
      <c r="B1460" s="9"/>
      <c r="C1460" s="10"/>
      <c r="D1460" s="10"/>
      <c r="E1460" s="9"/>
      <c r="F1460" s="11"/>
      <c r="G1460" s="9"/>
      <c r="H1460" s="10"/>
      <c r="I1460" s="10"/>
      <c r="J1460" s="11"/>
      <c r="K1460" s="11"/>
      <c r="L1460" s="11"/>
      <c r="M1460" s="10"/>
      <c r="N1460" s="11"/>
      <c r="O1460" s="10"/>
      <c r="P1460" s="11"/>
      <c r="Q1460" s="11"/>
      <c r="R1460" s="12"/>
    </row>
    <row r="1461" spans="1:18" x14ac:dyDescent="0.25">
      <c r="A1461" s="8"/>
      <c r="B1461" s="9"/>
      <c r="C1461" s="10"/>
      <c r="D1461" s="10"/>
      <c r="E1461" s="9"/>
      <c r="F1461" s="11"/>
      <c r="G1461" s="9"/>
      <c r="H1461" s="10"/>
      <c r="I1461" s="10"/>
      <c r="J1461" s="11"/>
      <c r="K1461" s="11"/>
      <c r="L1461" s="11"/>
      <c r="M1461" s="10"/>
      <c r="N1461" s="11"/>
      <c r="O1461" s="10"/>
      <c r="P1461" s="11"/>
      <c r="Q1461" s="11"/>
      <c r="R1461" s="12"/>
    </row>
    <row r="1462" spans="1:18" x14ac:dyDescent="0.25">
      <c r="A1462" s="8"/>
      <c r="B1462" s="9"/>
      <c r="C1462" s="10"/>
      <c r="D1462" s="10"/>
      <c r="E1462" s="9"/>
      <c r="F1462" s="11"/>
      <c r="G1462" s="9"/>
      <c r="H1462" s="10"/>
      <c r="I1462" s="10"/>
      <c r="J1462" s="11"/>
      <c r="K1462" s="11"/>
      <c r="L1462" s="11"/>
      <c r="M1462" s="10"/>
      <c r="N1462" s="11"/>
      <c r="O1462" s="10"/>
      <c r="P1462" s="11"/>
      <c r="Q1462" s="11"/>
      <c r="R1462" s="12"/>
    </row>
    <row r="1463" spans="1:18" x14ac:dyDescent="0.25">
      <c r="A1463" s="8"/>
      <c r="B1463" s="9"/>
      <c r="C1463" s="10"/>
      <c r="D1463" s="10"/>
      <c r="E1463" s="9"/>
      <c r="F1463" s="11"/>
      <c r="G1463" s="9"/>
      <c r="H1463" s="10"/>
      <c r="I1463" s="10"/>
      <c r="J1463" s="11"/>
      <c r="K1463" s="11"/>
      <c r="L1463" s="11"/>
      <c r="M1463" s="10"/>
      <c r="N1463" s="11"/>
      <c r="O1463" s="10"/>
      <c r="P1463" s="11"/>
      <c r="Q1463" s="11"/>
      <c r="R1463" s="12"/>
    </row>
    <row r="1464" spans="1:18" x14ac:dyDescent="0.25">
      <c r="A1464" s="8"/>
      <c r="B1464" s="9"/>
      <c r="C1464" s="10"/>
      <c r="D1464" s="10"/>
      <c r="E1464" s="9"/>
      <c r="F1464" s="11"/>
      <c r="G1464" s="9"/>
      <c r="H1464" s="10"/>
      <c r="I1464" s="10"/>
      <c r="J1464" s="11"/>
      <c r="K1464" s="11"/>
      <c r="L1464" s="11"/>
      <c r="M1464" s="10"/>
      <c r="N1464" s="11"/>
      <c r="O1464" s="10"/>
      <c r="P1464" s="11"/>
      <c r="Q1464" s="11"/>
      <c r="R1464" s="12"/>
    </row>
    <row r="1465" spans="1:18" x14ac:dyDescent="0.25">
      <c r="A1465" s="8"/>
      <c r="B1465" s="9"/>
      <c r="C1465" s="10"/>
      <c r="D1465" s="10"/>
      <c r="E1465" s="9"/>
      <c r="F1465" s="11"/>
      <c r="G1465" s="9"/>
      <c r="H1465" s="10"/>
      <c r="I1465" s="10"/>
      <c r="J1465" s="11"/>
      <c r="K1465" s="11"/>
      <c r="L1465" s="11"/>
      <c r="M1465" s="10"/>
      <c r="N1465" s="11"/>
      <c r="O1465" s="10"/>
      <c r="P1465" s="11"/>
      <c r="Q1465" s="11"/>
      <c r="R1465" s="12"/>
    </row>
    <row r="1466" spans="1:18" x14ac:dyDescent="0.25">
      <c r="A1466" s="8"/>
      <c r="B1466" s="9"/>
      <c r="C1466" s="10"/>
      <c r="D1466" s="10"/>
      <c r="E1466" s="9"/>
      <c r="F1466" s="11"/>
      <c r="G1466" s="9"/>
      <c r="H1466" s="10"/>
      <c r="I1466" s="10"/>
      <c r="J1466" s="11"/>
      <c r="K1466" s="11"/>
      <c r="L1466" s="11"/>
      <c r="M1466" s="10"/>
      <c r="N1466" s="11"/>
      <c r="O1466" s="10"/>
      <c r="P1466" s="11"/>
      <c r="Q1466" s="11"/>
      <c r="R1466" s="12"/>
    </row>
    <row r="1467" spans="1:18" x14ac:dyDescent="0.25">
      <c r="A1467" s="8"/>
      <c r="B1467" s="9"/>
      <c r="C1467" s="10"/>
      <c r="D1467" s="10"/>
      <c r="E1467" s="9"/>
      <c r="F1467" s="11"/>
      <c r="G1467" s="9"/>
      <c r="H1467" s="10"/>
      <c r="I1467" s="10"/>
      <c r="J1467" s="11"/>
      <c r="K1467" s="11"/>
      <c r="L1467" s="11"/>
      <c r="M1467" s="10"/>
      <c r="N1467" s="11"/>
      <c r="O1467" s="10"/>
      <c r="P1467" s="11"/>
      <c r="Q1467" s="11"/>
      <c r="R1467" s="12"/>
    </row>
    <row r="1468" spans="1:18" x14ac:dyDescent="0.25">
      <c r="A1468" s="8"/>
      <c r="B1468" s="9"/>
      <c r="C1468" s="10"/>
      <c r="D1468" s="10"/>
      <c r="E1468" s="9"/>
      <c r="F1468" s="11"/>
      <c r="G1468" s="9"/>
      <c r="H1468" s="10"/>
      <c r="I1468" s="10"/>
      <c r="J1468" s="11"/>
      <c r="K1468" s="11"/>
      <c r="L1468" s="11"/>
      <c r="M1468" s="10"/>
      <c r="N1468" s="11"/>
      <c r="O1468" s="10"/>
      <c r="P1468" s="11"/>
      <c r="Q1468" s="11"/>
      <c r="R1468" s="12"/>
    </row>
    <row r="1469" spans="1:18" x14ac:dyDescent="0.25">
      <c r="A1469" s="8"/>
      <c r="B1469" s="9"/>
      <c r="C1469" s="10"/>
      <c r="D1469" s="10"/>
      <c r="E1469" s="9"/>
      <c r="F1469" s="11"/>
      <c r="G1469" s="9"/>
      <c r="H1469" s="10"/>
      <c r="I1469" s="10"/>
      <c r="J1469" s="11"/>
      <c r="K1469" s="11"/>
      <c r="L1469" s="11"/>
      <c r="M1469" s="10"/>
      <c r="N1469" s="11"/>
      <c r="O1469" s="10"/>
      <c r="P1469" s="11"/>
      <c r="Q1469" s="11"/>
      <c r="R1469" s="12"/>
    </row>
    <row r="1470" spans="1:18" x14ac:dyDescent="0.25">
      <c r="A1470" s="8"/>
      <c r="B1470" s="9"/>
      <c r="C1470" s="10"/>
      <c r="D1470" s="10"/>
      <c r="E1470" s="9"/>
      <c r="F1470" s="11"/>
      <c r="G1470" s="9"/>
      <c r="H1470" s="10"/>
      <c r="I1470" s="10"/>
      <c r="J1470" s="11"/>
      <c r="K1470" s="11"/>
      <c r="L1470" s="11"/>
      <c r="M1470" s="10"/>
      <c r="N1470" s="11"/>
      <c r="O1470" s="10"/>
      <c r="P1470" s="11"/>
      <c r="Q1470" s="11"/>
      <c r="R1470" s="12"/>
    </row>
    <row r="1471" spans="1:18" x14ac:dyDescent="0.25">
      <c r="A1471" s="8"/>
      <c r="B1471" s="9"/>
      <c r="C1471" s="10"/>
      <c r="D1471" s="10"/>
      <c r="E1471" s="9"/>
      <c r="F1471" s="11"/>
      <c r="G1471" s="9"/>
      <c r="H1471" s="10"/>
      <c r="I1471" s="10"/>
      <c r="J1471" s="11"/>
      <c r="K1471" s="11"/>
      <c r="L1471" s="11"/>
      <c r="M1471" s="10"/>
      <c r="N1471" s="11"/>
      <c r="O1471" s="10"/>
      <c r="P1471" s="11"/>
      <c r="Q1471" s="11"/>
      <c r="R1471" s="12"/>
    </row>
    <row r="1472" spans="1:18" x14ac:dyDescent="0.25">
      <c r="A1472" s="8"/>
      <c r="B1472" s="9"/>
      <c r="C1472" s="10"/>
      <c r="D1472" s="10"/>
      <c r="E1472" s="9"/>
      <c r="F1472" s="11"/>
      <c r="G1472" s="9"/>
      <c r="H1472" s="10"/>
      <c r="I1472" s="10"/>
      <c r="J1472" s="11"/>
      <c r="K1472" s="11"/>
      <c r="L1472" s="11"/>
      <c r="M1472" s="10"/>
      <c r="N1472" s="11"/>
      <c r="O1472" s="10"/>
      <c r="P1472" s="11"/>
      <c r="Q1472" s="11"/>
      <c r="R1472" s="12"/>
    </row>
    <row r="1473" spans="1:18" x14ac:dyDescent="0.25">
      <c r="A1473" s="8"/>
      <c r="B1473" s="9"/>
      <c r="C1473" s="10"/>
      <c r="D1473" s="10"/>
      <c r="E1473" s="9"/>
      <c r="F1473" s="11"/>
      <c r="G1473" s="9"/>
      <c r="H1473" s="10"/>
      <c r="I1473" s="10"/>
      <c r="J1473" s="11"/>
      <c r="K1473" s="11"/>
      <c r="L1473" s="11"/>
      <c r="M1473" s="10"/>
      <c r="N1473" s="11"/>
      <c r="O1473" s="10"/>
      <c r="P1473" s="11"/>
      <c r="Q1473" s="11"/>
      <c r="R1473" s="12"/>
    </row>
    <row r="1474" spans="1:18" x14ac:dyDescent="0.25">
      <c r="A1474" s="8"/>
      <c r="B1474" s="9"/>
      <c r="C1474" s="10"/>
      <c r="D1474" s="10"/>
      <c r="E1474" s="9"/>
      <c r="F1474" s="11"/>
      <c r="G1474" s="9"/>
      <c r="H1474" s="10"/>
      <c r="I1474" s="10"/>
      <c r="J1474" s="11"/>
      <c r="K1474" s="11"/>
      <c r="L1474" s="11"/>
      <c r="M1474" s="10"/>
      <c r="N1474" s="11"/>
      <c r="O1474" s="10"/>
      <c r="P1474" s="11"/>
      <c r="Q1474" s="11"/>
      <c r="R1474" s="12"/>
    </row>
    <row r="1475" spans="1:18" x14ac:dyDescent="0.25">
      <c r="A1475" s="8"/>
      <c r="B1475" s="9"/>
      <c r="C1475" s="10"/>
      <c r="D1475" s="10"/>
      <c r="E1475" s="9"/>
      <c r="F1475" s="11"/>
      <c r="G1475" s="9"/>
      <c r="H1475" s="10"/>
      <c r="I1475" s="10"/>
      <c r="J1475" s="11"/>
      <c r="K1475" s="11"/>
      <c r="L1475" s="11"/>
      <c r="M1475" s="10"/>
      <c r="N1475" s="11"/>
      <c r="O1475" s="10"/>
      <c r="P1475" s="11"/>
      <c r="Q1475" s="11"/>
      <c r="R1475" s="12"/>
    </row>
    <row r="1476" spans="1:18" x14ac:dyDescent="0.25">
      <c r="A1476" s="8"/>
      <c r="B1476" s="9"/>
      <c r="C1476" s="10"/>
      <c r="D1476" s="10"/>
      <c r="E1476" s="9"/>
      <c r="F1476" s="11"/>
      <c r="G1476" s="9"/>
      <c r="H1476" s="10"/>
      <c r="I1476" s="10"/>
      <c r="J1476" s="11"/>
      <c r="K1476" s="11"/>
      <c r="L1476" s="11"/>
      <c r="M1476" s="10"/>
      <c r="N1476" s="11"/>
      <c r="O1476" s="10"/>
      <c r="P1476" s="11"/>
      <c r="Q1476" s="11"/>
      <c r="R1476" s="12"/>
    </row>
    <row r="1477" spans="1:18" x14ac:dyDescent="0.25">
      <c r="A1477" s="8"/>
      <c r="B1477" s="9"/>
      <c r="C1477" s="10"/>
      <c r="D1477" s="10"/>
      <c r="E1477" s="9"/>
      <c r="F1477" s="11"/>
      <c r="G1477" s="9"/>
      <c r="H1477" s="10"/>
      <c r="I1477" s="10"/>
      <c r="J1477" s="11"/>
      <c r="K1477" s="11"/>
      <c r="L1477" s="11"/>
      <c r="M1477" s="10"/>
      <c r="N1477" s="11"/>
      <c r="O1477" s="10"/>
      <c r="P1477" s="11"/>
      <c r="Q1477" s="11"/>
      <c r="R1477" s="12"/>
    </row>
    <row r="1478" spans="1:18" x14ac:dyDescent="0.25">
      <c r="A1478" s="8"/>
      <c r="B1478" s="9"/>
      <c r="C1478" s="10"/>
      <c r="D1478" s="10"/>
      <c r="E1478" s="9"/>
      <c r="F1478" s="11"/>
      <c r="G1478" s="9"/>
      <c r="H1478" s="10"/>
      <c r="I1478" s="10"/>
      <c r="J1478" s="11"/>
      <c r="K1478" s="11"/>
      <c r="L1478" s="11"/>
      <c r="M1478" s="10"/>
      <c r="N1478" s="11"/>
      <c r="O1478" s="10"/>
      <c r="P1478" s="11"/>
      <c r="Q1478" s="11"/>
      <c r="R1478" s="12"/>
    </row>
    <row r="1479" spans="1:18" x14ac:dyDescent="0.25">
      <c r="A1479" s="8"/>
      <c r="B1479" s="9"/>
      <c r="C1479" s="10"/>
      <c r="D1479" s="10"/>
      <c r="E1479" s="9"/>
      <c r="F1479" s="11"/>
      <c r="G1479" s="9"/>
      <c r="H1479" s="10"/>
      <c r="I1479" s="10"/>
      <c r="J1479" s="11"/>
      <c r="K1479" s="11"/>
      <c r="L1479" s="11"/>
      <c r="M1479" s="10"/>
      <c r="N1479" s="11"/>
      <c r="O1479" s="10"/>
      <c r="P1479" s="11"/>
      <c r="Q1479" s="11"/>
      <c r="R1479" s="12"/>
    </row>
    <row r="1480" spans="1:18" x14ac:dyDescent="0.25">
      <c r="A1480" s="8"/>
      <c r="B1480" s="9"/>
      <c r="C1480" s="10"/>
      <c r="D1480" s="10"/>
      <c r="E1480" s="9"/>
      <c r="F1480" s="11"/>
      <c r="G1480" s="9"/>
      <c r="H1480" s="10"/>
      <c r="I1480" s="10"/>
      <c r="J1480" s="11"/>
      <c r="K1480" s="11"/>
      <c r="L1480" s="11"/>
      <c r="M1480" s="10"/>
      <c r="N1480" s="11"/>
      <c r="O1480" s="10"/>
      <c r="P1480" s="11"/>
      <c r="Q1480" s="11"/>
      <c r="R1480" s="12"/>
    </row>
    <row r="1481" spans="1:18" x14ac:dyDescent="0.25">
      <c r="A1481" s="8"/>
      <c r="B1481" s="9"/>
      <c r="C1481" s="10"/>
      <c r="D1481" s="10"/>
      <c r="E1481" s="9"/>
      <c r="F1481" s="11"/>
      <c r="G1481" s="9"/>
      <c r="H1481" s="10"/>
      <c r="I1481" s="10"/>
      <c r="J1481" s="11"/>
      <c r="K1481" s="11"/>
      <c r="L1481" s="11"/>
      <c r="M1481" s="10"/>
      <c r="N1481" s="11"/>
      <c r="O1481" s="10"/>
      <c r="P1481" s="11"/>
      <c r="Q1481" s="11"/>
      <c r="R1481" s="12"/>
    </row>
    <row r="1482" spans="1:18" x14ac:dyDescent="0.25">
      <c r="A1482" s="8"/>
      <c r="B1482" s="9"/>
      <c r="C1482" s="10"/>
      <c r="D1482" s="10"/>
      <c r="E1482" s="9"/>
      <c r="F1482" s="11"/>
      <c r="G1482" s="9"/>
      <c r="H1482" s="10"/>
      <c r="I1482" s="10"/>
      <c r="J1482" s="11"/>
      <c r="K1482" s="11"/>
      <c r="L1482" s="11"/>
      <c r="M1482" s="10"/>
      <c r="N1482" s="11"/>
      <c r="O1482" s="10"/>
      <c r="P1482" s="11"/>
      <c r="Q1482" s="11"/>
      <c r="R1482" s="12"/>
    </row>
    <row r="1483" spans="1:18" x14ac:dyDescent="0.25">
      <c r="A1483" s="8"/>
      <c r="B1483" s="9"/>
      <c r="C1483" s="10"/>
      <c r="D1483" s="10"/>
      <c r="E1483" s="9"/>
      <c r="F1483" s="11"/>
      <c r="G1483" s="9"/>
      <c r="H1483" s="10"/>
      <c r="I1483" s="10"/>
      <c r="J1483" s="11"/>
      <c r="K1483" s="11"/>
      <c r="L1483" s="11"/>
      <c r="M1483" s="10"/>
      <c r="N1483" s="11"/>
      <c r="O1483" s="10"/>
      <c r="P1483" s="11"/>
      <c r="Q1483" s="11"/>
      <c r="R1483" s="12"/>
    </row>
    <row r="1484" spans="1:18" x14ac:dyDescent="0.25">
      <c r="A1484" s="8"/>
      <c r="B1484" s="9"/>
      <c r="C1484" s="10"/>
      <c r="D1484" s="10"/>
      <c r="E1484" s="9"/>
      <c r="F1484" s="11"/>
      <c r="G1484" s="9"/>
      <c r="H1484" s="10"/>
      <c r="I1484" s="10"/>
      <c r="J1484" s="11"/>
      <c r="K1484" s="11"/>
      <c r="L1484" s="11"/>
      <c r="M1484" s="10"/>
      <c r="N1484" s="11"/>
      <c r="O1484" s="10"/>
      <c r="P1484" s="11"/>
      <c r="Q1484" s="11"/>
      <c r="R1484" s="12"/>
    </row>
    <row r="1485" spans="1:18" x14ac:dyDescent="0.25">
      <c r="A1485" s="8"/>
      <c r="B1485" s="9"/>
      <c r="C1485" s="10"/>
      <c r="D1485" s="10"/>
      <c r="E1485" s="9"/>
      <c r="F1485" s="11"/>
      <c r="G1485" s="9"/>
      <c r="H1485" s="10"/>
      <c r="I1485" s="10"/>
      <c r="J1485" s="11"/>
      <c r="K1485" s="11"/>
      <c r="L1485" s="11"/>
      <c r="M1485" s="10"/>
      <c r="N1485" s="11"/>
      <c r="O1485" s="10"/>
      <c r="P1485" s="11"/>
      <c r="Q1485" s="11"/>
      <c r="R1485" s="12"/>
    </row>
    <row r="1486" spans="1:18" x14ac:dyDescent="0.25">
      <c r="A1486" s="8"/>
      <c r="B1486" s="9"/>
      <c r="C1486" s="10"/>
      <c r="D1486" s="10"/>
      <c r="E1486" s="9"/>
      <c r="F1486" s="11"/>
      <c r="G1486" s="9"/>
      <c r="H1486" s="10"/>
      <c r="I1486" s="10"/>
      <c r="J1486" s="11"/>
      <c r="K1486" s="11"/>
      <c r="L1486" s="11"/>
      <c r="M1486" s="10"/>
      <c r="N1486" s="11"/>
      <c r="O1486" s="10"/>
      <c r="P1486" s="11"/>
      <c r="Q1486" s="11"/>
      <c r="R1486" s="12"/>
    </row>
    <row r="1487" spans="1:18" x14ac:dyDescent="0.25">
      <c r="A1487" s="8"/>
      <c r="B1487" s="9"/>
      <c r="C1487" s="10"/>
      <c r="D1487" s="10"/>
      <c r="E1487" s="9"/>
      <c r="F1487" s="11"/>
      <c r="G1487" s="9"/>
      <c r="H1487" s="10"/>
      <c r="I1487" s="10"/>
      <c r="J1487" s="11"/>
      <c r="K1487" s="11"/>
      <c r="L1487" s="11"/>
      <c r="M1487" s="10"/>
      <c r="N1487" s="11"/>
      <c r="O1487" s="10"/>
      <c r="P1487" s="11"/>
      <c r="Q1487" s="11"/>
      <c r="R1487" s="12"/>
    </row>
    <row r="1488" spans="1:18" x14ac:dyDescent="0.25">
      <c r="A1488" s="8"/>
      <c r="B1488" s="9"/>
      <c r="C1488" s="10"/>
      <c r="D1488" s="10"/>
      <c r="E1488" s="9"/>
      <c r="F1488" s="11"/>
      <c r="G1488" s="9"/>
      <c r="H1488" s="10"/>
      <c r="I1488" s="10"/>
      <c r="J1488" s="11"/>
      <c r="K1488" s="11"/>
      <c r="L1488" s="11"/>
      <c r="M1488" s="10"/>
      <c r="N1488" s="11"/>
      <c r="O1488" s="10"/>
      <c r="P1488" s="11"/>
      <c r="Q1488" s="11"/>
      <c r="R1488" s="12"/>
    </row>
    <row r="1489" spans="1:18" x14ac:dyDescent="0.25">
      <c r="A1489" s="8"/>
      <c r="B1489" s="9"/>
      <c r="C1489" s="10"/>
      <c r="D1489" s="10"/>
      <c r="E1489" s="9"/>
      <c r="F1489" s="11"/>
      <c r="G1489" s="9"/>
      <c r="H1489" s="10"/>
      <c r="I1489" s="10"/>
      <c r="J1489" s="11"/>
      <c r="K1489" s="11"/>
      <c r="L1489" s="11"/>
      <c r="M1489" s="10"/>
      <c r="N1489" s="11"/>
      <c r="O1489" s="10"/>
      <c r="P1489" s="11"/>
      <c r="Q1489" s="11"/>
      <c r="R1489" s="12"/>
    </row>
    <row r="1490" spans="1:18" x14ac:dyDescent="0.25">
      <c r="A1490" s="8"/>
      <c r="B1490" s="9"/>
      <c r="C1490" s="10"/>
      <c r="D1490" s="10"/>
      <c r="E1490" s="9"/>
      <c r="F1490" s="11"/>
      <c r="G1490" s="9"/>
      <c r="H1490" s="10"/>
      <c r="I1490" s="10"/>
      <c r="J1490" s="11"/>
      <c r="K1490" s="11"/>
      <c r="L1490" s="11"/>
      <c r="M1490" s="10"/>
      <c r="N1490" s="11"/>
      <c r="O1490" s="10"/>
      <c r="P1490" s="11"/>
      <c r="Q1490" s="11"/>
      <c r="R1490" s="12"/>
    </row>
    <row r="1491" spans="1:18" x14ac:dyDescent="0.25">
      <c r="A1491" s="8"/>
      <c r="B1491" s="9"/>
      <c r="C1491" s="10"/>
      <c r="D1491" s="10"/>
      <c r="E1491" s="9"/>
      <c r="F1491" s="11"/>
      <c r="G1491" s="9"/>
      <c r="H1491" s="10"/>
      <c r="I1491" s="10"/>
      <c r="J1491" s="11"/>
      <c r="K1491" s="11"/>
      <c r="L1491" s="11"/>
      <c r="M1491" s="10"/>
      <c r="N1491" s="11"/>
      <c r="O1491" s="10"/>
      <c r="P1491" s="11"/>
      <c r="Q1491" s="11"/>
      <c r="R1491" s="12"/>
    </row>
    <row r="1492" spans="1:18" x14ac:dyDescent="0.25">
      <c r="A1492" s="8"/>
      <c r="B1492" s="9"/>
      <c r="C1492" s="10"/>
      <c r="D1492" s="10"/>
      <c r="E1492" s="9"/>
      <c r="F1492" s="11"/>
      <c r="G1492" s="9"/>
      <c r="H1492" s="10"/>
      <c r="I1492" s="10"/>
      <c r="J1492" s="11"/>
      <c r="K1492" s="11"/>
      <c r="L1492" s="11"/>
      <c r="M1492" s="10"/>
      <c r="N1492" s="11"/>
      <c r="O1492" s="10"/>
      <c r="P1492" s="11"/>
      <c r="Q1492" s="11"/>
      <c r="R1492" s="12"/>
    </row>
    <row r="1493" spans="1:18" x14ac:dyDescent="0.25">
      <c r="A1493" s="8"/>
      <c r="B1493" s="9"/>
      <c r="C1493" s="10"/>
      <c r="D1493" s="10"/>
      <c r="E1493" s="9"/>
      <c r="F1493" s="11"/>
      <c r="G1493" s="9"/>
      <c r="H1493" s="10"/>
      <c r="I1493" s="10"/>
      <c r="J1493" s="11"/>
      <c r="K1493" s="11"/>
      <c r="L1493" s="11"/>
      <c r="M1493" s="10"/>
      <c r="N1493" s="11"/>
      <c r="O1493" s="10"/>
      <c r="P1493" s="11"/>
      <c r="Q1493" s="11"/>
      <c r="R1493" s="12"/>
    </row>
    <row r="1494" spans="1:18" x14ac:dyDescent="0.25">
      <c r="A1494" s="8"/>
      <c r="B1494" s="9"/>
      <c r="C1494" s="10"/>
      <c r="D1494" s="10"/>
      <c r="E1494" s="9"/>
      <c r="F1494" s="11"/>
      <c r="G1494" s="9"/>
      <c r="H1494" s="10"/>
      <c r="I1494" s="10"/>
      <c r="J1494" s="11"/>
      <c r="K1494" s="11"/>
      <c r="L1494" s="11"/>
      <c r="M1494" s="10"/>
      <c r="N1494" s="11"/>
      <c r="O1494" s="10"/>
      <c r="P1494" s="11"/>
      <c r="Q1494" s="11"/>
      <c r="R1494" s="12"/>
    </row>
    <row r="1495" spans="1:18" x14ac:dyDescent="0.25">
      <c r="A1495" s="8"/>
      <c r="B1495" s="9"/>
      <c r="C1495" s="10"/>
      <c r="D1495" s="10"/>
      <c r="E1495" s="9"/>
      <c r="F1495" s="11"/>
      <c r="G1495" s="9"/>
      <c r="H1495" s="10"/>
      <c r="I1495" s="10"/>
      <c r="J1495" s="11"/>
      <c r="K1495" s="11"/>
      <c r="L1495" s="11"/>
      <c r="M1495" s="10"/>
      <c r="N1495" s="11"/>
      <c r="O1495" s="10"/>
      <c r="P1495" s="11"/>
      <c r="Q1495" s="11"/>
      <c r="R1495" s="12"/>
    </row>
    <row r="1496" spans="1:18" x14ac:dyDescent="0.25">
      <c r="A1496" s="8"/>
      <c r="B1496" s="9"/>
      <c r="C1496" s="10"/>
      <c r="D1496" s="10"/>
      <c r="E1496" s="9"/>
      <c r="F1496" s="11"/>
      <c r="G1496" s="9"/>
      <c r="H1496" s="10"/>
      <c r="I1496" s="10"/>
      <c r="J1496" s="11"/>
      <c r="K1496" s="11"/>
      <c r="L1496" s="11"/>
      <c r="M1496" s="10"/>
      <c r="N1496" s="11"/>
      <c r="O1496" s="10"/>
      <c r="P1496" s="11"/>
      <c r="Q1496" s="11"/>
      <c r="R1496" s="12"/>
    </row>
    <row r="1497" spans="1:18" x14ac:dyDescent="0.25">
      <c r="A1497" s="8"/>
      <c r="B1497" s="9"/>
      <c r="C1497" s="10"/>
      <c r="D1497" s="10"/>
      <c r="E1497" s="9"/>
      <c r="F1497" s="11"/>
      <c r="G1497" s="9"/>
      <c r="H1497" s="10"/>
      <c r="I1497" s="10"/>
      <c r="J1497" s="11"/>
      <c r="K1497" s="11"/>
      <c r="L1497" s="11"/>
      <c r="M1497" s="10"/>
      <c r="N1497" s="11"/>
      <c r="O1497" s="10"/>
      <c r="P1497" s="11"/>
      <c r="Q1497" s="11"/>
      <c r="R1497" s="12"/>
    </row>
    <row r="1498" spans="1:18" x14ac:dyDescent="0.25">
      <c r="A1498" s="8"/>
      <c r="B1498" s="9"/>
      <c r="C1498" s="10"/>
      <c r="D1498" s="10"/>
      <c r="E1498" s="9"/>
      <c r="F1498" s="11"/>
      <c r="G1498" s="9"/>
      <c r="H1498" s="10"/>
      <c r="I1498" s="10"/>
      <c r="J1498" s="11"/>
      <c r="K1498" s="11"/>
      <c r="L1498" s="11"/>
      <c r="M1498" s="10"/>
      <c r="N1498" s="11"/>
      <c r="O1498" s="10"/>
      <c r="P1498" s="11"/>
      <c r="Q1498" s="11"/>
      <c r="R1498" s="12"/>
    </row>
    <row r="1499" spans="1:18" x14ac:dyDescent="0.25">
      <c r="A1499" s="8"/>
      <c r="B1499" s="9"/>
      <c r="C1499" s="10"/>
      <c r="D1499" s="10"/>
      <c r="E1499" s="9"/>
      <c r="F1499" s="11"/>
      <c r="G1499" s="9"/>
      <c r="H1499" s="10"/>
      <c r="I1499" s="10"/>
      <c r="J1499" s="11"/>
      <c r="K1499" s="11"/>
      <c r="L1499" s="11"/>
      <c r="M1499" s="10"/>
      <c r="N1499" s="11"/>
      <c r="O1499" s="10"/>
      <c r="P1499" s="11"/>
      <c r="Q1499" s="11"/>
      <c r="R1499" s="12"/>
    </row>
    <row r="1500" spans="1:18" x14ac:dyDescent="0.25">
      <c r="A1500" s="8"/>
      <c r="B1500" s="9"/>
      <c r="C1500" s="10"/>
      <c r="D1500" s="10"/>
      <c r="E1500" s="9"/>
      <c r="F1500" s="11"/>
      <c r="G1500" s="9"/>
      <c r="H1500" s="10"/>
      <c r="I1500" s="10"/>
      <c r="J1500" s="11"/>
      <c r="K1500" s="11"/>
      <c r="L1500" s="11"/>
      <c r="M1500" s="10"/>
      <c r="N1500" s="11"/>
      <c r="O1500" s="10"/>
      <c r="P1500" s="11"/>
      <c r="Q1500" s="11"/>
      <c r="R1500" s="12"/>
    </row>
    <row r="1501" spans="1:18" x14ac:dyDescent="0.25">
      <c r="A1501" s="8"/>
      <c r="B1501" s="9"/>
      <c r="C1501" s="10"/>
      <c r="D1501" s="10"/>
      <c r="E1501" s="9"/>
      <c r="F1501" s="11"/>
      <c r="G1501" s="9"/>
      <c r="H1501" s="10"/>
      <c r="I1501" s="10"/>
      <c r="J1501" s="11"/>
      <c r="K1501" s="11"/>
      <c r="L1501" s="11"/>
      <c r="M1501" s="10"/>
      <c r="N1501" s="11"/>
      <c r="O1501" s="10"/>
      <c r="P1501" s="11"/>
      <c r="Q1501" s="11"/>
      <c r="R1501" s="12"/>
    </row>
    <row r="1502" spans="1:18" x14ac:dyDescent="0.25">
      <c r="A1502" s="8"/>
      <c r="B1502" s="9"/>
      <c r="C1502" s="10"/>
      <c r="D1502" s="10"/>
      <c r="E1502" s="9"/>
      <c r="F1502" s="11"/>
      <c r="G1502" s="9"/>
      <c r="H1502" s="10"/>
      <c r="I1502" s="10"/>
      <c r="J1502" s="11"/>
      <c r="K1502" s="11"/>
      <c r="L1502" s="11"/>
      <c r="M1502" s="10"/>
      <c r="N1502" s="11"/>
      <c r="O1502" s="10"/>
      <c r="P1502" s="11"/>
      <c r="Q1502" s="11"/>
      <c r="R1502" s="12"/>
    </row>
    <row r="1503" spans="1:18" x14ac:dyDescent="0.25">
      <c r="A1503" s="8"/>
      <c r="B1503" s="9"/>
      <c r="C1503" s="10"/>
      <c r="D1503" s="10"/>
      <c r="E1503" s="9"/>
      <c r="F1503" s="11"/>
      <c r="G1503" s="9"/>
      <c r="H1503" s="10"/>
      <c r="I1503" s="10"/>
      <c r="J1503" s="11"/>
      <c r="K1503" s="11"/>
      <c r="L1503" s="11"/>
      <c r="M1503" s="10"/>
      <c r="N1503" s="11"/>
      <c r="O1503" s="10"/>
      <c r="P1503" s="11"/>
      <c r="Q1503" s="11"/>
      <c r="R1503" s="12"/>
    </row>
    <row r="1504" spans="1:18" x14ac:dyDescent="0.25">
      <c r="A1504" s="8"/>
      <c r="B1504" s="9"/>
      <c r="C1504" s="10"/>
      <c r="D1504" s="10"/>
      <c r="E1504" s="9"/>
      <c r="F1504" s="11"/>
      <c r="G1504" s="9"/>
      <c r="H1504" s="10"/>
      <c r="I1504" s="10"/>
      <c r="J1504" s="11"/>
      <c r="K1504" s="11"/>
      <c r="L1504" s="11"/>
      <c r="M1504" s="10"/>
      <c r="N1504" s="11"/>
      <c r="O1504" s="10"/>
      <c r="P1504" s="11"/>
      <c r="Q1504" s="11"/>
      <c r="R1504" s="12"/>
    </row>
    <row r="1505" spans="1:18" x14ac:dyDescent="0.25">
      <c r="A1505" s="8"/>
      <c r="B1505" s="9"/>
      <c r="C1505" s="10"/>
      <c r="D1505" s="10"/>
      <c r="E1505" s="9"/>
      <c r="F1505" s="11"/>
      <c r="G1505" s="9"/>
      <c r="H1505" s="10"/>
      <c r="I1505" s="10"/>
      <c r="J1505" s="11"/>
      <c r="K1505" s="11"/>
      <c r="L1505" s="11"/>
      <c r="M1505" s="10"/>
      <c r="N1505" s="11"/>
      <c r="O1505" s="10"/>
      <c r="P1505" s="11"/>
      <c r="Q1505" s="11"/>
      <c r="R1505" s="12"/>
    </row>
    <row r="1506" spans="1:18" x14ac:dyDescent="0.25">
      <c r="A1506" s="8"/>
      <c r="B1506" s="9"/>
      <c r="C1506" s="10"/>
      <c r="D1506" s="10"/>
      <c r="E1506" s="9"/>
      <c r="F1506" s="11"/>
      <c r="G1506" s="9"/>
      <c r="H1506" s="10"/>
      <c r="I1506" s="10"/>
      <c r="J1506" s="11"/>
      <c r="K1506" s="11"/>
      <c r="L1506" s="11"/>
      <c r="M1506" s="10"/>
      <c r="N1506" s="11"/>
      <c r="O1506" s="10"/>
      <c r="P1506" s="11"/>
      <c r="Q1506" s="11"/>
      <c r="R1506" s="12"/>
    </row>
    <row r="1507" spans="1:18" x14ac:dyDescent="0.25">
      <c r="A1507" s="8"/>
      <c r="B1507" s="9"/>
      <c r="C1507" s="10"/>
      <c r="D1507" s="10"/>
      <c r="E1507" s="9"/>
      <c r="F1507" s="11"/>
      <c r="G1507" s="9"/>
      <c r="H1507" s="10"/>
      <c r="I1507" s="10"/>
      <c r="J1507" s="11"/>
      <c r="K1507" s="11"/>
      <c r="L1507" s="11"/>
      <c r="M1507" s="10"/>
      <c r="N1507" s="11"/>
      <c r="O1507" s="10"/>
      <c r="P1507" s="11"/>
      <c r="Q1507" s="11"/>
      <c r="R1507" s="12"/>
    </row>
    <row r="1508" spans="1:18" x14ac:dyDescent="0.25">
      <c r="A1508" s="8"/>
      <c r="B1508" s="9"/>
      <c r="C1508" s="10"/>
      <c r="D1508" s="10"/>
      <c r="E1508" s="9"/>
      <c r="F1508" s="11"/>
      <c r="G1508" s="9"/>
      <c r="H1508" s="10"/>
      <c r="I1508" s="10"/>
      <c r="J1508" s="11"/>
      <c r="K1508" s="11"/>
      <c r="L1508" s="11"/>
      <c r="M1508" s="10"/>
      <c r="N1508" s="11"/>
      <c r="O1508" s="10"/>
      <c r="P1508" s="11"/>
      <c r="Q1508" s="11"/>
      <c r="R1508" s="12"/>
    </row>
    <row r="1509" spans="1:18" x14ac:dyDescent="0.25">
      <c r="A1509" s="8"/>
      <c r="B1509" s="9"/>
      <c r="C1509" s="10"/>
      <c r="D1509" s="10"/>
      <c r="E1509" s="9"/>
      <c r="F1509" s="11"/>
      <c r="G1509" s="9"/>
      <c r="H1509" s="10"/>
      <c r="I1509" s="10"/>
      <c r="J1509" s="11"/>
      <c r="K1509" s="11"/>
      <c r="L1509" s="11"/>
      <c r="M1509" s="10"/>
      <c r="N1509" s="11"/>
      <c r="O1509" s="10"/>
      <c r="P1509" s="11"/>
      <c r="Q1509" s="11"/>
      <c r="R1509" s="12"/>
    </row>
    <row r="1510" spans="1:18" x14ac:dyDescent="0.25">
      <c r="A1510" s="8"/>
      <c r="B1510" s="9"/>
      <c r="C1510" s="10"/>
      <c r="D1510" s="10"/>
      <c r="E1510" s="9"/>
      <c r="F1510" s="11"/>
      <c r="G1510" s="9"/>
      <c r="H1510" s="10"/>
      <c r="I1510" s="10"/>
      <c r="J1510" s="11"/>
      <c r="K1510" s="11"/>
      <c r="L1510" s="11"/>
      <c r="M1510" s="10"/>
      <c r="N1510" s="11"/>
      <c r="O1510" s="10"/>
      <c r="P1510" s="11"/>
      <c r="Q1510" s="11"/>
      <c r="R1510" s="12"/>
    </row>
    <row r="1511" spans="1:18" x14ac:dyDescent="0.25">
      <c r="A1511" s="8"/>
      <c r="B1511" s="9"/>
      <c r="C1511" s="10"/>
      <c r="D1511" s="10"/>
      <c r="E1511" s="9"/>
      <c r="F1511" s="11"/>
      <c r="G1511" s="9"/>
      <c r="H1511" s="10"/>
      <c r="I1511" s="10"/>
      <c r="J1511" s="11"/>
      <c r="K1511" s="11"/>
      <c r="L1511" s="11"/>
      <c r="M1511" s="10"/>
      <c r="N1511" s="11"/>
      <c r="O1511" s="10"/>
      <c r="P1511" s="11"/>
      <c r="Q1511" s="11"/>
      <c r="R1511" s="12"/>
    </row>
    <row r="1512" spans="1:18" x14ac:dyDescent="0.25">
      <c r="A1512" s="8"/>
      <c r="B1512" s="9"/>
      <c r="C1512" s="10"/>
      <c r="D1512" s="10"/>
      <c r="E1512" s="9"/>
      <c r="F1512" s="11"/>
      <c r="G1512" s="9"/>
      <c r="H1512" s="10"/>
      <c r="I1512" s="10"/>
      <c r="J1512" s="11"/>
      <c r="K1512" s="11"/>
      <c r="L1512" s="11"/>
      <c r="M1512" s="10"/>
      <c r="N1512" s="11"/>
      <c r="O1512" s="10"/>
      <c r="P1512" s="11"/>
      <c r="Q1512" s="11"/>
      <c r="R1512" s="12"/>
    </row>
    <row r="1513" spans="1:18" x14ac:dyDescent="0.25">
      <c r="A1513" s="8"/>
      <c r="B1513" s="9"/>
      <c r="C1513" s="10"/>
      <c r="D1513" s="10"/>
      <c r="E1513" s="9"/>
      <c r="F1513" s="11"/>
      <c r="G1513" s="9"/>
      <c r="H1513" s="10"/>
      <c r="I1513" s="10"/>
      <c r="J1513" s="11"/>
      <c r="K1513" s="11"/>
      <c r="L1513" s="11"/>
      <c r="M1513" s="10"/>
      <c r="N1513" s="11"/>
      <c r="O1513" s="10"/>
      <c r="P1513" s="11"/>
      <c r="Q1513" s="11"/>
      <c r="R1513" s="12"/>
    </row>
    <row r="1514" spans="1:18" x14ac:dyDescent="0.25">
      <c r="A1514" s="8"/>
      <c r="B1514" s="9"/>
      <c r="C1514" s="10"/>
      <c r="D1514" s="10"/>
      <c r="E1514" s="9"/>
      <c r="F1514" s="11"/>
      <c r="G1514" s="9"/>
      <c r="H1514" s="10"/>
      <c r="I1514" s="10"/>
      <c r="J1514" s="11"/>
      <c r="K1514" s="11"/>
      <c r="L1514" s="11"/>
      <c r="M1514" s="10"/>
      <c r="N1514" s="11"/>
      <c r="O1514" s="10"/>
      <c r="P1514" s="11"/>
      <c r="Q1514" s="11"/>
      <c r="R1514" s="12"/>
    </row>
    <row r="1515" spans="1:18" x14ac:dyDescent="0.25">
      <c r="A1515" s="8"/>
      <c r="B1515" s="9"/>
      <c r="C1515" s="10"/>
      <c r="D1515" s="10"/>
      <c r="E1515" s="9"/>
      <c r="F1515" s="11"/>
      <c r="G1515" s="9"/>
      <c r="H1515" s="10"/>
      <c r="I1515" s="10"/>
      <c r="J1515" s="11"/>
      <c r="K1515" s="11"/>
      <c r="L1515" s="11"/>
      <c r="M1515" s="10"/>
      <c r="N1515" s="11"/>
      <c r="O1515" s="10"/>
      <c r="P1515" s="11"/>
      <c r="Q1515" s="11"/>
      <c r="R1515" s="12"/>
    </row>
    <row r="1516" spans="1:18" x14ac:dyDescent="0.25">
      <c r="A1516" s="8"/>
      <c r="B1516" s="9"/>
      <c r="C1516" s="10"/>
      <c r="D1516" s="10"/>
      <c r="E1516" s="9"/>
      <c r="F1516" s="11"/>
      <c r="G1516" s="9"/>
      <c r="H1516" s="10"/>
      <c r="I1516" s="10"/>
      <c r="J1516" s="11"/>
      <c r="K1516" s="11"/>
      <c r="L1516" s="11"/>
      <c r="M1516" s="10"/>
      <c r="N1516" s="11"/>
      <c r="O1516" s="10"/>
      <c r="P1516" s="11"/>
      <c r="Q1516" s="11"/>
      <c r="R1516" s="12"/>
    </row>
    <row r="1517" spans="1:18" x14ac:dyDescent="0.25">
      <c r="A1517" s="8"/>
      <c r="B1517" s="9"/>
      <c r="C1517" s="10"/>
      <c r="D1517" s="10"/>
      <c r="E1517" s="9"/>
      <c r="F1517" s="11"/>
      <c r="G1517" s="9"/>
      <c r="H1517" s="10"/>
      <c r="I1517" s="10"/>
      <c r="J1517" s="11"/>
      <c r="K1517" s="11"/>
      <c r="L1517" s="11"/>
      <c r="M1517" s="10"/>
      <c r="N1517" s="11"/>
      <c r="O1517" s="10"/>
      <c r="P1517" s="11"/>
      <c r="Q1517" s="11"/>
      <c r="R1517" s="12"/>
    </row>
    <row r="1518" spans="1:18" x14ac:dyDescent="0.25">
      <c r="A1518" s="8"/>
      <c r="B1518" s="9"/>
      <c r="C1518" s="10"/>
      <c r="D1518" s="10"/>
      <c r="E1518" s="9"/>
      <c r="F1518" s="11"/>
      <c r="G1518" s="9"/>
      <c r="H1518" s="10"/>
      <c r="I1518" s="10"/>
      <c r="J1518" s="11"/>
      <c r="K1518" s="11"/>
      <c r="L1518" s="11"/>
      <c r="M1518" s="10"/>
      <c r="N1518" s="11"/>
      <c r="O1518" s="10"/>
      <c r="P1518" s="11"/>
      <c r="Q1518" s="11"/>
      <c r="R1518" s="12"/>
    </row>
    <row r="1519" spans="1:18" x14ac:dyDescent="0.25">
      <c r="A1519" s="8"/>
      <c r="B1519" s="9"/>
      <c r="C1519" s="10"/>
      <c r="D1519" s="10"/>
      <c r="E1519" s="9"/>
      <c r="F1519" s="11"/>
      <c r="G1519" s="9"/>
      <c r="H1519" s="10"/>
      <c r="I1519" s="10"/>
      <c r="J1519" s="11"/>
      <c r="K1519" s="11"/>
      <c r="L1519" s="11"/>
      <c r="M1519" s="10"/>
      <c r="N1519" s="11"/>
      <c r="O1519" s="10"/>
      <c r="P1519" s="11"/>
      <c r="Q1519" s="11"/>
      <c r="R1519" s="12"/>
    </row>
    <row r="1520" spans="1:18" x14ac:dyDescent="0.25">
      <c r="A1520" s="8"/>
      <c r="B1520" s="9"/>
      <c r="C1520" s="10"/>
      <c r="D1520" s="10"/>
      <c r="E1520" s="9"/>
      <c r="F1520" s="11"/>
      <c r="G1520" s="9"/>
      <c r="H1520" s="10"/>
      <c r="I1520" s="10"/>
      <c r="J1520" s="11"/>
      <c r="K1520" s="11"/>
      <c r="L1520" s="11"/>
      <c r="M1520" s="10"/>
      <c r="N1520" s="11"/>
      <c r="O1520" s="10"/>
      <c r="P1520" s="11"/>
      <c r="Q1520" s="11"/>
      <c r="R1520" s="12"/>
    </row>
    <row r="1521" spans="1:18" x14ac:dyDescent="0.25">
      <c r="A1521" s="8"/>
      <c r="B1521" s="9"/>
      <c r="C1521" s="10"/>
      <c r="D1521" s="10"/>
      <c r="E1521" s="9"/>
      <c r="F1521" s="11"/>
      <c r="G1521" s="9"/>
      <c r="H1521" s="10"/>
      <c r="I1521" s="10"/>
      <c r="J1521" s="11"/>
      <c r="K1521" s="11"/>
      <c r="L1521" s="11"/>
      <c r="M1521" s="10"/>
      <c r="N1521" s="11"/>
      <c r="O1521" s="10"/>
      <c r="P1521" s="11"/>
      <c r="Q1521" s="11"/>
      <c r="R1521" s="12"/>
    </row>
    <row r="1522" spans="1:18" x14ac:dyDescent="0.25">
      <c r="A1522" s="8"/>
      <c r="B1522" s="9"/>
      <c r="C1522" s="10"/>
      <c r="D1522" s="10"/>
      <c r="E1522" s="9"/>
      <c r="F1522" s="11"/>
      <c r="G1522" s="9"/>
      <c r="H1522" s="10"/>
      <c r="I1522" s="10"/>
      <c r="J1522" s="11"/>
      <c r="K1522" s="11"/>
      <c r="L1522" s="11"/>
      <c r="M1522" s="10"/>
      <c r="N1522" s="11"/>
      <c r="O1522" s="10"/>
      <c r="P1522" s="11"/>
      <c r="Q1522" s="11"/>
      <c r="R1522" s="12"/>
    </row>
    <row r="1523" spans="1:18" x14ac:dyDescent="0.25">
      <c r="A1523" s="8"/>
      <c r="B1523" s="9"/>
      <c r="C1523" s="10"/>
      <c r="D1523" s="10"/>
      <c r="E1523" s="9"/>
      <c r="F1523" s="11"/>
      <c r="G1523" s="9"/>
      <c r="H1523" s="10"/>
      <c r="I1523" s="10"/>
      <c r="J1523" s="11"/>
      <c r="K1523" s="11"/>
      <c r="L1523" s="11"/>
      <c r="M1523" s="10"/>
      <c r="N1523" s="11"/>
      <c r="O1523" s="10"/>
      <c r="P1523" s="11"/>
      <c r="Q1523" s="11"/>
      <c r="R1523" s="12"/>
    </row>
    <row r="1524" spans="1:18" x14ac:dyDescent="0.25">
      <c r="A1524" s="8"/>
      <c r="B1524" s="9"/>
      <c r="C1524" s="10"/>
      <c r="D1524" s="10"/>
      <c r="E1524" s="9"/>
      <c r="F1524" s="11"/>
      <c r="G1524" s="9"/>
      <c r="H1524" s="10"/>
      <c r="I1524" s="10"/>
      <c r="J1524" s="11"/>
      <c r="K1524" s="11"/>
      <c r="L1524" s="11"/>
      <c r="M1524" s="10"/>
      <c r="N1524" s="11"/>
      <c r="O1524" s="10"/>
      <c r="P1524" s="11"/>
      <c r="Q1524" s="11"/>
      <c r="R1524" s="12"/>
    </row>
    <row r="1525" spans="1:18" x14ac:dyDescent="0.25">
      <c r="A1525" s="8"/>
      <c r="B1525" s="9"/>
      <c r="C1525" s="10"/>
      <c r="D1525" s="10"/>
      <c r="E1525" s="9"/>
      <c r="F1525" s="11"/>
      <c r="G1525" s="9"/>
      <c r="H1525" s="10"/>
      <c r="I1525" s="10"/>
      <c r="J1525" s="11"/>
      <c r="K1525" s="11"/>
      <c r="L1525" s="11"/>
      <c r="M1525" s="10"/>
      <c r="N1525" s="11"/>
      <c r="O1525" s="10"/>
      <c r="P1525" s="11"/>
      <c r="Q1525" s="11"/>
      <c r="R1525" s="12"/>
    </row>
    <row r="1526" spans="1:18" x14ac:dyDescent="0.25">
      <c r="A1526" s="8"/>
      <c r="B1526" s="9"/>
      <c r="C1526" s="10"/>
      <c r="D1526" s="10"/>
      <c r="E1526" s="9"/>
      <c r="F1526" s="11"/>
      <c r="G1526" s="9"/>
      <c r="H1526" s="10"/>
      <c r="I1526" s="10"/>
      <c r="J1526" s="11"/>
      <c r="K1526" s="11"/>
      <c r="L1526" s="11"/>
      <c r="M1526" s="10"/>
      <c r="N1526" s="11"/>
      <c r="O1526" s="10"/>
      <c r="P1526" s="11"/>
      <c r="Q1526" s="11"/>
      <c r="R1526" s="12"/>
    </row>
    <row r="1527" spans="1:18" x14ac:dyDescent="0.25">
      <c r="A1527" s="8"/>
      <c r="B1527" s="9"/>
      <c r="C1527" s="10"/>
      <c r="D1527" s="10"/>
      <c r="E1527" s="9"/>
      <c r="F1527" s="11"/>
      <c r="G1527" s="9"/>
      <c r="H1527" s="10"/>
      <c r="I1527" s="10"/>
      <c r="J1527" s="11"/>
      <c r="K1527" s="11"/>
      <c r="L1527" s="11"/>
      <c r="M1527" s="10"/>
      <c r="N1527" s="11"/>
      <c r="O1527" s="10"/>
      <c r="P1527" s="11"/>
      <c r="Q1527" s="11"/>
      <c r="R1527" s="12"/>
    </row>
    <row r="1528" spans="1:18" x14ac:dyDescent="0.25">
      <c r="A1528" s="8"/>
      <c r="B1528" s="9"/>
      <c r="C1528" s="10"/>
      <c r="D1528" s="10"/>
      <c r="E1528" s="9"/>
      <c r="F1528" s="11"/>
      <c r="G1528" s="9"/>
      <c r="H1528" s="10"/>
      <c r="I1528" s="10"/>
      <c r="J1528" s="11"/>
      <c r="K1528" s="11"/>
      <c r="L1528" s="11"/>
      <c r="M1528" s="10"/>
      <c r="N1528" s="11"/>
      <c r="O1528" s="10"/>
      <c r="P1528" s="11"/>
      <c r="Q1528" s="11"/>
      <c r="R1528" s="12"/>
    </row>
    <row r="1529" spans="1:18" x14ac:dyDescent="0.25">
      <c r="A1529" s="8"/>
      <c r="B1529" s="9"/>
      <c r="C1529" s="10"/>
      <c r="D1529" s="10"/>
      <c r="E1529" s="9"/>
      <c r="F1529" s="11"/>
      <c r="G1529" s="9"/>
      <c r="H1529" s="10"/>
      <c r="I1529" s="10"/>
      <c r="J1529" s="11"/>
      <c r="K1529" s="11"/>
      <c r="L1529" s="11"/>
      <c r="M1529" s="10"/>
      <c r="N1529" s="11"/>
      <c r="O1529" s="10"/>
      <c r="P1529" s="11"/>
      <c r="Q1529" s="11"/>
      <c r="R1529" s="12"/>
    </row>
    <row r="1530" spans="1:18" x14ac:dyDescent="0.25">
      <c r="A1530" s="8"/>
      <c r="B1530" s="9"/>
      <c r="C1530" s="10"/>
      <c r="D1530" s="10"/>
      <c r="E1530" s="9"/>
      <c r="F1530" s="11"/>
      <c r="G1530" s="9"/>
      <c r="H1530" s="10"/>
      <c r="I1530" s="10"/>
      <c r="J1530" s="11"/>
      <c r="K1530" s="11"/>
      <c r="L1530" s="11"/>
      <c r="M1530" s="10"/>
      <c r="N1530" s="11"/>
      <c r="O1530" s="10"/>
      <c r="P1530" s="11"/>
      <c r="Q1530" s="11"/>
      <c r="R1530" s="12"/>
    </row>
    <row r="1531" spans="1:18" x14ac:dyDescent="0.25">
      <c r="A1531" s="8"/>
      <c r="B1531" s="9"/>
      <c r="C1531" s="10"/>
      <c r="D1531" s="10"/>
      <c r="E1531" s="9"/>
      <c r="F1531" s="11"/>
      <c r="G1531" s="9"/>
      <c r="H1531" s="10"/>
      <c r="I1531" s="10"/>
      <c r="J1531" s="11"/>
      <c r="K1531" s="11"/>
      <c r="L1531" s="11"/>
      <c r="M1531" s="10"/>
      <c r="N1531" s="11"/>
      <c r="O1531" s="10"/>
      <c r="P1531" s="11"/>
      <c r="Q1531" s="11"/>
      <c r="R1531" s="12"/>
    </row>
    <row r="1532" spans="1:18" x14ac:dyDescent="0.25">
      <c r="A1532" s="8"/>
      <c r="B1532" s="9"/>
      <c r="C1532" s="10"/>
      <c r="D1532" s="10"/>
      <c r="E1532" s="9"/>
      <c r="F1532" s="11"/>
      <c r="G1532" s="9"/>
      <c r="H1532" s="10"/>
      <c r="I1532" s="10"/>
      <c r="J1532" s="11"/>
      <c r="K1532" s="11"/>
      <c r="L1532" s="11"/>
      <c r="M1532" s="10"/>
      <c r="N1532" s="11"/>
      <c r="O1532" s="10"/>
      <c r="P1532" s="11"/>
      <c r="Q1532" s="11"/>
      <c r="R1532" s="12"/>
    </row>
    <row r="1533" spans="1:18" x14ac:dyDescent="0.25">
      <c r="A1533" s="8"/>
      <c r="B1533" s="9"/>
      <c r="C1533" s="10"/>
      <c r="D1533" s="10"/>
      <c r="E1533" s="9"/>
      <c r="F1533" s="11"/>
      <c r="G1533" s="9"/>
      <c r="H1533" s="10"/>
      <c r="I1533" s="10"/>
      <c r="J1533" s="11"/>
      <c r="K1533" s="11"/>
      <c r="L1533" s="11"/>
      <c r="M1533" s="10"/>
      <c r="N1533" s="11"/>
      <c r="O1533" s="10"/>
      <c r="P1533" s="11"/>
      <c r="Q1533" s="11"/>
      <c r="R1533" s="12"/>
    </row>
    <row r="1534" spans="1:18" x14ac:dyDescent="0.25">
      <c r="A1534" s="8"/>
      <c r="B1534" s="9"/>
      <c r="C1534" s="10"/>
      <c r="D1534" s="10"/>
      <c r="E1534" s="9"/>
      <c r="F1534" s="11"/>
      <c r="G1534" s="9"/>
      <c r="H1534" s="10"/>
      <c r="I1534" s="10"/>
      <c r="J1534" s="11"/>
      <c r="K1534" s="11"/>
      <c r="L1534" s="11"/>
      <c r="M1534" s="10"/>
      <c r="N1534" s="11"/>
      <c r="O1534" s="10"/>
      <c r="P1534" s="11"/>
      <c r="Q1534" s="11"/>
      <c r="R1534" s="12"/>
    </row>
    <row r="1535" spans="1:18" x14ac:dyDescent="0.25">
      <c r="A1535" s="8"/>
      <c r="B1535" s="9"/>
      <c r="C1535" s="10"/>
      <c r="D1535" s="10"/>
      <c r="E1535" s="9"/>
      <c r="F1535" s="11"/>
      <c r="G1535" s="9"/>
      <c r="H1535" s="10"/>
      <c r="I1535" s="10"/>
      <c r="J1535" s="11"/>
      <c r="K1535" s="11"/>
      <c r="L1535" s="11"/>
      <c r="M1535" s="10"/>
      <c r="N1535" s="11"/>
      <c r="O1535" s="10"/>
      <c r="P1535" s="11"/>
      <c r="Q1535" s="11"/>
      <c r="R1535" s="12"/>
    </row>
    <row r="1536" spans="1:18" x14ac:dyDescent="0.25">
      <c r="A1536" s="8"/>
      <c r="B1536" s="9"/>
      <c r="C1536" s="10"/>
      <c r="D1536" s="10"/>
      <c r="E1536" s="9"/>
      <c r="F1536" s="11"/>
      <c r="G1536" s="9"/>
      <c r="H1536" s="10"/>
      <c r="I1536" s="10"/>
      <c r="J1536" s="11"/>
      <c r="K1536" s="11"/>
      <c r="L1536" s="11"/>
      <c r="M1536" s="10"/>
      <c r="N1536" s="11"/>
      <c r="O1536" s="10"/>
      <c r="P1536" s="11"/>
      <c r="Q1536" s="11"/>
      <c r="R1536" s="12"/>
    </row>
    <row r="1537" spans="1:18" x14ac:dyDescent="0.25">
      <c r="A1537" s="8"/>
      <c r="B1537" s="9"/>
      <c r="C1537" s="10"/>
      <c r="D1537" s="10"/>
      <c r="E1537" s="9"/>
      <c r="F1537" s="11"/>
      <c r="G1537" s="9"/>
      <c r="H1537" s="10"/>
      <c r="I1537" s="10"/>
      <c r="J1537" s="11"/>
      <c r="K1537" s="11"/>
      <c r="L1537" s="11"/>
      <c r="M1537" s="10"/>
      <c r="N1537" s="11"/>
      <c r="O1537" s="10"/>
      <c r="P1537" s="11"/>
      <c r="Q1537" s="11"/>
      <c r="R1537" s="12"/>
    </row>
    <row r="1538" spans="1:18" x14ac:dyDescent="0.25">
      <c r="A1538" s="8"/>
      <c r="B1538" s="9"/>
      <c r="C1538" s="10"/>
      <c r="D1538" s="10"/>
      <c r="E1538" s="9"/>
      <c r="F1538" s="11"/>
      <c r="G1538" s="9"/>
      <c r="H1538" s="10"/>
      <c r="I1538" s="10"/>
      <c r="J1538" s="11"/>
      <c r="K1538" s="11"/>
      <c r="L1538" s="11"/>
      <c r="M1538" s="10"/>
      <c r="N1538" s="11"/>
      <c r="O1538" s="10"/>
      <c r="P1538" s="11"/>
      <c r="Q1538" s="11"/>
      <c r="R1538" s="12"/>
    </row>
    <row r="1539" spans="1:18" x14ac:dyDescent="0.25">
      <c r="A1539" s="8"/>
      <c r="B1539" s="9"/>
      <c r="C1539" s="10"/>
      <c r="D1539" s="10"/>
      <c r="E1539" s="9"/>
      <c r="F1539" s="11"/>
      <c r="G1539" s="9"/>
      <c r="H1539" s="10"/>
      <c r="I1539" s="10"/>
      <c r="J1539" s="11"/>
      <c r="K1539" s="11"/>
      <c r="L1539" s="11"/>
      <c r="M1539" s="10"/>
      <c r="N1539" s="11"/>
      <c r="O1539" s="10"/>
      <c r="P1539" s="11"/>
      <c r="Q1539" s="11"/>
      <c r="R1539" s="12"/>
    </row>
    <row r="1540" spans="1:18" x14ac:dyDescent="0.25">
      <c r="A1540" s="8"/>
      <c r="B1540" s="9"/>
      <c r="C1540" s="10"/>
      <c r="D1540" s="10"/>
      <c r="E1540" s="9"/>
      <c r="F1540" s="11"/>
      <c r="G1540" s="9"/>
      <c r="H1540" s="10"/>
      <c r="I1540" s="10"/>
      <c r="J1540" s="11"/>
      <c r="K1540" s="11"/>
      <c r="L1540" s="11"/>
      <c r="M1540" s="10"/>
      <c r="N1540" s="11"/>
      <c r="O1540" s="10"/>
      <c r="P1540" s="11"/>
      <c r="Q1540" s="11"/>
      <c r="R1540" s="12"/>
    </row>
    <row r="1541" spans="1:18" x14ac:dyDescent="0.25">
      <c r="A1541" s="8"/>
      <c r="B1541" s="9"/>
      <c r="C1541" s="10"/>
      <c r="D1541" s="10"/>
      <c r="E1541" s="9"/>
      <c r="F1541" s="11"/>
      <c r="G1541" s="9"/>
      <c r="H1541" s="10"/>
      <c r="I1541" s="10"/>
      <c r="J1541" s="11"/>
      <c r="K1541" s="11"/>
      <c r="L1541" s="11"/>
      <c r="M1541" s="10"/>
      <c r="N1541" s="11"/>
      <c r="O1541" s="10"/>
      <c r="P1541" s="11"/>
      <c r="Q1541" s="11"/>
      <c r="R1541" s="12"/>
    </row>
    <row r="1542" spans="1:18" x14ac:dyDescent="0.25">
      <c r="A1542" s="8"/>
      <c r="B1542" s="9"/>
      <c r="C1542" s="10"/>
      <c r="D1542" s="10"/>
      <c r="E1542" s="9"/>
      <c r="F1542" s="11"/>
      <c r="G1542" s="9"/>
      <c r="H1542" s="10"/>
      <c r="I1542" s="10"/>
      <c r="J1542" s="11"/>
      <c r="K1542" s="11"/>
      <c r="L1542" s="11"/>
      <c r="M1542" s="10"/>
      <c r="N1542" s="11"/>
      <c r="O1542" s="10"/>
      <c r="P1542" s="11"/>
      <c r="Q1542" s="11"/>
      <c r="R1542" s="12"/>
    </row>
    <row r="1543" spans="1:18" x14ac:dyDescent="0.25">
      <c r="A1543" s="8"/>
      <c r="B1543" s="9"/>
      <c r="C1543" s="10"/>
      <c r="D1543" s="10"/>
      <c r="E1543" s="9"/>
      <c r="F1543" s="11"/>
      <c r="G1543" s="9"/>
      <c r="H1543" s="10"/>
      <c r="I1543" s="10"/>
      <c r="J1543" s="11"/>
      <c r="K1543" s="11"/>
      <c r="L1543" s="11"/>
      <c r="M1543" s="10"/>
      <c r="N1543" s="11"/>
      <c r="O1543" s="10"/>
      <c r="P1543" s="11"/>
      <c r="Q1543" s="11"/>
      <c r="R1543" s="12"/>
    </row>
    <row r="1544" spans="1:18" x14ac:dyDescent="0.25">
      <c r="A1544" s="8"/>
      <c r="B1544" s="9"/>
      <c r="C1544" s="10"/>
      <c r="D1544" s="10"/>
      <c r="E1544" s="9"/>
      <c r="F1544" s="11"/>
      <c r="G1544" s="9"/>
      <c r="H1544" s="10"/>
      <c r="I1544" s="10"/>
      <c r="J1544" s="11"/>
      <c r="K1544" s="11"/>
      <c r="L1544" s="11"/>
      <c r="M1544" s="10"/>
      <c r="N1544" s="11"/>
      <c r="O1544" s="10"/>
      <c r="P1544" s="11"/>
      <c r="Q1544" s="11"/>
      <c r="R1544" s="12"/>
    </row>
    <row r="1545" spans="1:18" x14ac:dyDescent="0.25">
      <c r="A1545" s="8"/>
      <c r="B1545" s="9"/>
      <c r="C1545" s="10"/>
      <c r="D1545" s="10"/>
      <c r="E1545" s="9"/>
      <c r="F1545" s="11"/>
      <c r="G1545" s="9"/>
      <c r="H1545" s="10"/>
      <c r="I1545" s="10"/>
      <c r="J1545" s="11"/>
      <c r="K1545" s="11"/>
      <c r="L1545" s="11"/>
      <c r="M1545" s="10"/>
      <c r="N1545" s="11"/>
      <c r="O1545" s="10"/>
      <c r="P1545" s="11"/>
      <c r="Q1545" s="11"/>
      <c r="R1545" s="12"/>
    </row>
    <row r="1546" spans="1:18" x14ac:dyDescent="0.25">
      <c r="A1546" s="8"/>
      <c r="B1546" s="9"/>
      <c r="C1546" s="10"/>
      <c r="D1546" s="10"/>
      <c r="E1546" s="9"/>
      <c r="F1546" s="11"/>
      <c r="G1546" s="9"/>
      <c r="H1546" s="10"/>
      <c r="I1546" s="10"/>
      <c r="J1546" s="11"/>
      <c r="K1546" s="11"/>
      <c r="L1546" s="11"/>
      <c r="M1546" s="10"/>
      <c r="N1546" s="11"/>
      <c r="O1546" s="10"/>
      <c r="P1546" s="11"/>
      <c r="Q1546" s="11"/>
      <c r="R1546" s="12"/>
    </row>
    <row r="1547" spans="1:18" x14ac:dyDescent="0.25">
      <c r="A1547" s="8"/>
      <c r="B1547" s="9"/>
      <c r="C1547" s="10"/>
      <c r="D1547" s="10"/>
      <c r="E1547" s="9"/>
      <c r="F1547" s="11"/>
      <c r="G1547" s="9"/>
      <c r="H1547" s="10"/>
      <c r="I1547" s="10"/>
      <c r="J1547" s="11"/>
      <c r="K1547" s="11"/>
      <c r="L1547" s="11"/>
      <c r="M1547" s="10"/>
      <c r="N1547" s="11"/>
      <c r="O1547" s="10"/>
      <c r="P1547" s="11"/>
      <c r="Q1547" s="11"/>
      <c r="R1547" s="12"/>
    </row>
    <row r="1548" spans="1:18" x14ac:dyDescent="0.25">
      <c r="A1548" s="8"/>
      <c r="B1548" s="9"/>
      <c r="C1548" s="10"/>
      <c r="D1548" s="10"/>
      <c r="E1548" s="9"/>
      <c r="F1548" s="11"/>
      <c r="G1548" s="9"/>
      <c r="H1548" s="10"/>
      <c r="I1548" s="10"/>
      <c r="J1548" s="11"/>
      <c r="K1548" s="11"/>
      <c r="L1548" s="11"/>
      <c r="M1548" s="10"/>
      <c r="N1548" s="11"/>
      <c r="O1548" s="10"/>
      <c r="P1548" s="11"/>
      <c r="Q1548" s="11"/>
      <c r="R1548" s="12"/>
    </row>
    <row r="1549" spans="1:18" x14ac:dyDescent="0.25">
      <c r="A1549" s="8"/>
      <c r="B1549" s="9"/>
      <c r="C1549" s="10"/>
      <c r="D1549" s="10"/>
      <c r="E1549" s="9"/>
      <c r="F1549" s="11"/>
      <c r="G1549" s="9"/>
      <c r="H1549" s="10"/>
      <c r="I1549" s="10"/>
      <c r="J1549" s="11"/>
      <c r="K1549" s="11"/>
      <c r="L1549" s="11"/>
      <c r="M1549" s="10"/>
      <c r="N1549" s="11"/>
      <c r="O1549" s="10"/>
      <c r="P1549" s="11"/>
      <c r="Q1549" s="11"/>
      <c r="R1549" s="12"/>
    </row>
    <row r="1550" spans="1:18" x14ac:dyDescent="0.25">
      <c r="A1550" s="8"/>
      <c r="B1550" s="9"/>
      <c r="C1550" s="10"/>
      <c r="D1550" s="10"/>
      <c r="E1550" s="9"/>
      <c r="F1550" s="11"/>
      <c r="G1550" s="9"/>
      <c r="H1550" s="10"/>
      <c r="I1550" s="10"/>
      <c r="J1550" s="11"/>
      <c r="K1550" s="11"/>
      <c r="L1550" s="11"/>
      <c r="M1550" s="10"/>
      <c r="N1550" s="11"/>
      <c r="O1550" s="10"/>
      <c r="P1550" s="11"/>
      <c r="Q1550" s="11"/>
      <c r="R1550" s="12"/>
    </row>
    <row r="1551" spans="1:18" x14ac:dyDescent="0.25">
      <c r="A1551" s="8"/>
      <c r="B1551" s="9"/>
      <c r="C1551" s="10"/>
      <c r="D1551" s="10"/>
      <c r="E1551" s="9"/>
      <c r="F1551" s="11"/>
      <c r="G1551" s="9"/>
      <c r="H1551" s="10"/>
      <c r="I1551" s="10"/>
      <c r="J1551" s="11"/>
      <c r="K1551" s="11"/>
      <c r="L1551" s="11"/>
      <c r="M1551" s="10"/>
      <c r="N1551" s="11"/>
      <c r="O1551" s="10"/>
      <c r="P1551" s="11"/>
      <c r="Q1551" s="11"/>
      <c r="R1551" s="12"/>
    </row>
    <row r="1552" spans="1:18" x14ac:dyDescent="0.25">
      <c r="A1552" s="8"/>
      <c r="B1552" s="9"/>
      <c r="C1552" s="10"/>
      <c r="D1552" s="10"/>
      <c r="E1552" s="9"/>
      <c r="F1552" s="11"/>
      <c r="G1552" s="9"/>
      <c r="H1552" s="10"/>
      <c r="I1552" s="10"/>
      <c r="J1552" s="11"/>
      <c r="K1552" s="11"/>
      <c r="L1552" s="11"/>
      <c r="M1552" s="10"/>
      <c r="N1552" s="11"/>
      <c r="O1552" s="10"/>
      <c r="P1552" s="11"/>
      <c r="Q1552" s="11"/>
      <c r="R1552" s="12"/>
    </row>
    <row r="1553" spans="1:18" x14ac:dyDescent="0.25">
      <c r="A1553" s="8"/>
      <c r="B1553" s="9"/>
      <c r="C1553" s="10"/>
      <c r="D1553" s="10"/>
      <c r="E1553" s="9"/>
      <c r="F1553" s="11"/>
      <c r="G1553" s="9"/>
      <c r="H1553" s="10"/>
      <c r="I1553" s="10"/>
      <c r="J1553" s="11"/>
      <c r="K1553" s="11"/>
      <c r="L1553" s="11"/>
      <c r="M1553" s="10"/>
      <c r="N1553" s="11"/>
      <c r="O1553" s="10"/>
      <c r="P1553" s="11"/>
      <c r="Q1553" s="11"/>
      <c r="R1553" s="12"/>
    </row>
    <row r="1554" spans="1:18" x14ac:dyDescent="0.25">
      <c r="A1554" s="8"/>
      <c r="B1554" s="9"/>
      <c r="C1554" s="10"/>
      <c r="D1554" s="10"/>
      <c r="E1554" s="9"/>
      <c r="F1554" s="11"/>
      <c r="G1554" s="9"/>
      <c r="H1554" s="10"/>
      <c r="I1554" s="10"/>
      <c r="J1554" s="11"/>
      <c r="K1554" s="11"/>
      <c r="L1554" s="11"/>
      <c r="M1554" s="10"/>
      <c r="N1554" s="11"/>
      <c r="O1554" s="10"/>
      <c r="P1554" s="11"/>
      <c r="Q1554" s="11"/>
      <c r="R1554" s="12"/>
    </row>
    <row r="1555" spans="1:18" x14ac:dyDescent="0.25">
      <c r="A1555" s="8"/>
      <c r="B1555" s="9"/>
      <c r="C1555" s="10"/>
      <c r="D1555" s="10"/>
      <c r="E1555" s="9"/>
      <c r="F1555" s="11"/>
      <c r="G1555" s="9"/>
      <c r="H1555" s="10"/>
      <c r="I1555" s="10"/>
      <c r="J1555" s="11"/>
      <c r="K1555" s="11"/>
      <c r="L1555" s="11"/>
      <c r="M1555" s="10"/>
      <c r="N1555" s="11"/>
      <c r="O1555" s="10"/>
      <c r="P1555" s="11"/>
      <c r="Q1555" s="11"/>
      <c r="R1555" s="12"/>
    </row>
    <row r="1556" spans="1:18" x14ac:dyDescent="0.25">
      <c r="A1556" s="8"/>
      <c r="B1556" s="9"/>
      <c r="C1556" s="10"/>
      <c r="D1556" s="10"/>
      <c r="E1556" s="9"/>
      <c r="F1556" s="11"/>
      <c r="G1556" s="9"/>
      <c r="H1556" s="10"/>
      <c r="I1556" s="10"/>
      <c r="J1556" s="11"/>
      <c r="K1556" s="11"/>
      <c r="L1556" s="11"/>
      <c r="M1556" s="10"/>
      <c r="N1556" s="11"/>
      <c r="O1556" s="10"/>
      <c r="P1556" s="11"/>
      <c r="Q1556" s="11"/>
      <c r="R1556" s="12"/>
    </row>
    <row r="1557" spans="1:18" x14ac:dyDescent="0.25">
      <c r="A1557" s="8"/>
      <c r="B1557" s="9"/>
      <c r="C1557" s="10"/>
      <c r="D1557" s="10"/>
      <c r="E1557" s="9"/>
      <c r="F1557" s="11"/>
      <c r="G1557" s="9"/>
      <c r="H1557" s="10"/>
      <c r="I1557" s="10"/>
      <c r="J1557" s="11"/>
      <c r="K1557" s="11"/>
      <c r="L1557" s="11"/>
      <c r="M1557" s="10"/>
      <c r="N1557" s="11"/>
      <c r="O1557" s="10"/>
      <c r="P1557" s="11"/>
      <c r="Q1557" s="11"/>
      <c r="R1557" s="12"/>
    </row>
    <row r="1558" spans="1:18" x14ac:dyDescent="0.25">
      <c r="A1558" s="8"/>
      <c r="B1558" s="9"/>
      <c r="C1558" s="10"/>
      <c r="D1558" s="10"/>
      <c r="E1558" s="9"/>
      <c r="F1558" s="11"/>
      <c r="G1558" s="9"/>
      <c r="H1558" s="10"/>
      <c r="I1558" s="10"/>
      <c r="J1558" s="11"/>
      <c r="K1558" s="11"/>
      <c r="L1558" s="11"/>
      <c r="M1558" s="10"/>
      <c r="N1558" s="11"/>
      <c r="O1558" s="10"/>
      <c r="P1558" s="11"/>
      <c r="Q1558" s="11"/>
      <c r="R1558" s="12"/>
    </row>
    <row r="1559" spans="1:18" x14ac:dyDescent="0.25">
      <c r="A1559" s="8"/>
      <c r="B1559" s="9"/>
      <c r="C1559" s="10"/>
      <c r="D1559" s="10"/>
      <c r="E1559" s="9"/>
      <c r="F1559" s="11"/>
      <c r="G1559" s="9"/>
      <c r="H1559" s="10"/>
      <c r="I1559" s="10"/>
      <c r="J1559" s="11"/>
      <c r="K1559" s="11"/>
      <c r="L1559" s="11"/>
      <c r="M1559" s="10"/>
      <c r="N1559" s="11"/>
      <c r="O1559" s="10"/>
      <c r="P1559" s="11"/>
      <c r="Q1559" s="11"/>
      <c r="R1559" s="12"/>
    </row>
    <row r="1560" spans="1:18" x14ac:dyDescent="0.25">
      <c r="A1560" s="8"/>
      <c r="B1560" s="9"/>
      <c r="C1560" s="10"/>
      <c r="D1560" s="10"/>
      <c r="E1560" s="9"/>
      <c r="F1560" s="11"/>
      <c r="G1560" s="9"/>
      <c r="H1560" s="10"/>
      <c r="I1560" s="10"/>
      <c r="J1560" s="11"/>
      <c r="K1560" s="11"/>
      <c r="L1560" s="11"/>
      <c r="M1560" s="10"/>
      <c r="N1560" s="11"/>
      <c r="O1560" s="10"/>
      <c r="P1560" s="11"/>
      <c r="Q1560" s="11"/>
      <c r="R1560" s="12"/>
    </row>
    <row r="1561" spans="1:18" x14ac:dyDescent="0.25">
      <c r="A1561" s="8"/>
      <c r="B1561" s="9"/>
      <c r="C1561" s="10"/>
      <c r="D1561" s="10"/>
      <c r="E1561" s="9"/>
      <c r="F1561" s="11"/>
      <c r="G1561" s="9"/>
      <c r="H1561" s="10"/>
      <c r="I1561" s="10"/>
      <c r="J1561" s="11"/>
      <c r="K1561" s="11"/>
      <c r="L1561" s="11"/>
      <c r="M1561" s="10"/>
      <c r="N1561" s="11"/>
      <c r="O1561" s="10"/>
      <c r="P1561" s="11"/>
      <c r="Q1561" s="11"/>
      <c r="R1561" s="12"/>
    </row>
    <row r="1562" spans="1:18" x14ac:dyDescent="0.25">
      <c r="A1562" s="8"/>
      <c r="B1562" s="9"/>
      <c r="C1562" s="10"/>
      <c r="D1562" s="10"/>
      <c r="E1562" s="9"/>
      <c r="F1562" s="11"/>
      <c r="G1562" s="9"/>
      <c r="H1562" s="10"/>
      <c r="I1562" s="10"/>
      <c r="J1562" s="11"/>
      <c r="K1562" s="11"/>
      <c r="L1562" s="11"/>
      <c r="M1562" s="10"/>
      <c r="N1562" s="11"/>
      <c r="O1562" s="10"/>
      <c r="P1562" s="11"/>
      <c r="Q1562" s="11"/>
      <c r="R1562" s="12"/>
    </row>
    <row r="1563" spans="1:18" x14ac:dyDescent="0.25">
      <c r="A1563" s="8"/>
      <c r="B1563" s="9"/>
      <c r="C1563" s="10"/>
      <c r="D1563" s="10"/>
      <c r="E1563" s="9"/>
      <c r="F1563" s="11"/>
      <c r="G1563" s="9"/>
      <c r="H1563" s="10"/>
      <c r="I1563" s="10"/>
      <c r="J1563" s="11"/>
      <c r="K1563" s="11"/>
      <c r="L1563" s="11"/>
      <c r="M1563" s="10"/>
      <c r="N1563" s="11"/>
      <c r="O1563" s="10"/>
      <c r="P1563" s="11"/>
      <c r="Q1563" s="11"/>
      <c r="R1563" s="12"/>
    </row>
    <row r="1564" spans="1:18" x14ac:dyDescent="0.25">
      <c r="A1564" s="8"/>
      <c r="B1564" s="9"/>
      <c r="C1564" s="10"/>
      <c r="D1564" s="10"/>
      <c r="E1564" s="9"/>
      <c r="F1564" s="11"/>
      <c r="G1564" s="9"/>
      <c r="H1564" s="10"/>
      <c r="I1564" s="10"/>
      <c r="J1564" s="11"/>
      <c r="K1564" s="11"/>
      <c r="L1564" s="11"/>
      <c r="M1564" s="10"/>
      <c r="N1564" s="11"/>
      <c r="O1564" s="10"/>
      <c r="P1564" s="11"/>
      <c r="Q1564" s="11"/>
      <c r="R1564" s="12"/>
    </row>
    <row r="1565" spans="1:18" x14ac:dyDescent="0.25">
      <c r="A1565" s="8"/>
      <c r="B1565" s="9"/>
      <c r="C1565" s="10"/>
      <c r="D1565" s="10"/>
      <c r="E1565" s="9"/>
      <c r="F1565" s="11"/>
      <c r="G1565" s="9"/>
      <c r="H1565" s="10"/>
      <c r="I1565" s="10"/>
      <c r="J1565" s="11"/>
      <c r="K1565" s="11"/>
      <c r="L1565" s="11"/>
      <c r="M1565" s="10"/>
      <c r="N1565" s="11"/>
      <c r="O1565" s="10"/>
      <c r="P1565" s="11"/>
      <c r="Q1565" s="11"/>
      <c r="R1565" s="12"/>
    </row>
    <row r="1566" spans="1:18" x14ac:dyDescent="0.25">
      <c r="A1566" s="8"/>
      <c r="B1566" s="9"/>
      <c r="C1566" s="10"/>
      <c r="D1566" s="10"/>
      <c r="E1566" s="9"/>
      <c r="F1566" s="11"/>
      <c r="G1566" s="9"/>
      <c r="H1566" s="10"/>
      <c r="I1566" s="10"/>
      <c r="J1566" s="11"/>
      <c r="K1566" s="11"/>
      <c r="L1566" s="11"/>
      <c r="M1566" s="10"/>
      <c r="N1566" s="11"/>
      <c r="O1566" s="10"/>
      <c r="P1566" s="11"/>
      <c r="Q1566" s="11"/>
      <c r="R1566" s="12"/>
    </row>
    <row r="1567" spans="1:18" x14ac:dyDescent="0.25">
      <c r="A1567" s="8"/>
      <c r="B1567" s="9"/>
      <c r="C1567" s="10"/>
      <c r="D1567" s="10"/>
      <c r="E1567" s="9"/>
      <c r="F1567" s="11"/>
      <c r="G1567" s="9"/>
      <c r="H1567" s="10"/>
      <c r="I1567" s="10"/>
      <c r="J1567" s="11"/>
      <c r="K1567" s="11"/>
      <c r="L1567" s="11"/>
      <c r="M1567" s="10"/>
      <c r="N1567" s="11"/>
      <c r="O1567" s="10"/>
      <c r="P1567" s="11"/>
      <c r="Q1567" s="11"/>
      <c r="R1567" s="12"/>
    </row>
    <row r="1568" spans="1:18" x14ac:dyDescent="0.25">
      <c r="A1568" s="8"/>
      <c r="B1568" s="9"/>
      <c r="C1568" s="10"/>
      <c r="D1568" s="10"/>
      <c r="E1568" s="9"/>
      <c r="F1568" s="11"/>
      <c r="G1568" s="9"/>
      <c r="H1568" s="10"/>
      <c r="I1568" s="10"/>
      <c r="J1568" s="11"/>
      <c r="K1568" s="11"/>
      <c r="L1568" s="11"/>
      <c r="M1568" s="10"/>
      <c r="N1568" s="11"/>
      <c r="O1568" s="10"/>
      <c r="P1568" s="11"/>
      <c r="Q1568" s="11"/>
      <c r="R1568" s="12"/>
    </row>
    <row r="1569" spans="1:18" x14ac:dyDescent="0.25">
      <c r="A1569" s="8"/>
      <c r="B1569" s="9"/>
      <c r="C1569" s="10"/>
      <c r="D1569" s="10"/>
      <c r="E1569" s="9"/>
      <c r="F1569" s="11"/>
      <c r="G1569" s="9"/>
      <c r="H1569" s="10"/>
      <c r="I1569" s="10"/>
      <c r="J1569" s="11"/>
      <c r="K1569" s="11"/>
      <c r="L1569" s="11"/>
      <c r="M1569" s="10"/>
      <c r="N1569" s="11"/>
      <c r="O1569" s="10"/>
      <c r="P1569" s="11"/>
      <c r="Q1569" s="11"/>
      <c r="R1569" s="12"/>
    </row>
    <row r="1570" spans="1:18" x14ac:dyDescent="0.25">
      <c r="A1570" s="8"/>
      <c r="B1570" s="9"/>
      <c r="C1570" s="10"/>
      <c r="D1570" s="10"/>
      <c r="E1570" s="9"/>
      <c r="F1570" s="11"/>
      <c r="G1570" s="9"/>
      <c r="H1570" s="10"/>
      <c r="I1570" s="10"/>
      <c r="J1570" s="11"/>
      <c r="K1570" s="11"/>
      <c r="L1570" s="11"/>
      <c r="M1570" s="10"/>
      <c r="N1570" s="11"/>
      <c r="O1570" s="10"/>
      <c r="P1570" s="11"/>
      <c r="Q1570" s="11"/>
      <c r="R1570" s="12"/>
    </row>
    <row r="1571" spans="1:18" x14ac:dyDescent="0.25">
      <c r="A1571" s="8"/>
      <c r="B1571" s="9"/>
      <c r="C1571" s="10"/>
      <c r="D1571" s="10"/>
      <c r="E1571" s="9"/>
      <c r="F1571" s="11"/>
      <c r="G1571" s="9"/>
      <c r="H1571" s="10"/>
      <c r="I1571" s="10"/>
      <c r="J1571" s="11"/>
      <c r="K1571" s="11"/>
      <c r="L1571" s="11"/>
      <c r="M1571" s="10"/>
      <c r="N1571" s="11"/>
      <c r="O1571" s="10"/>
      <c r="P1571" s="11"/>
      <c r="Q1571" s="11"/>
      <c r="R1571" s="12"/>
    </row>
    <row r="1572" spans="1:18" x14ac:dyDescent="0.25">
      <c r="A1572" s="8"/>
      <c r="B1572" s="9"/>
      <c r="C1572" s="10"/>
      <c r="D1572" s="10"/>
      <c r="E1572" s="9"/>
      <c r="F1572" s="11"/>
      <c r="G1572" s="9"/>
      <c r="H1572" s="10"/>
      <c r="I1572" s="10"/>
      <c r="J1572" s="11"/>
      <c r="K1572" s="11"/>
      <c r="L1572" s="11"/>
      <c r="M1572" s="10"/>
      <c r="N1572" s="11"/>
      <c r="O1572" s="10"/>
      <c r="P1572" s="11"/>
      <c r="Q1572" s="11"/>
      <c r="R1572" s="12"/>
    </row>
    <row r="1573" spans="1:18" x14ac:dyDescent="0.25">
      <c r="A1573" s="8"/>
      <c r="B1573" s="9"/>
      <c r="C1573" s="10"/>
      <c r="D1573" s="10"/>
      <c r="E1573" s="9"/>
      <c r="F1573" s="11"/>
      <c r="G1573" s="9"/>
      <c r="H1573" s="10"/>
      <c r="I1573" s="10"/>
      <c r="J1573" s="11"/>
      <c r="K1573" s="11"/>
      <c r="L1573" s="11"/>
      <c r="M1573" s="10"/>
      <c r="N1573" s="11"/>
      <c r="O1573" s="10"/>
      <c r="P1573" s="11"/>
      <c r="Q1573" s="11"/>
      <c r="R1573" s="12"/>
    </row>
    <row r="1574" spans="1:18" x14ac:dyDescent="0.25">
      <c r="A1574" s="8"/>
      <c r="B1574" s="9"/>
      <c r="C1574" s="10"/>
      <c r="D1574" s="10"/>
      <c r="E1574" s="9"/>
      <c r="F1574" s="11"/>
      <c r="G1574" s="9"/>
      <c r="H1574" s="10"/>
      <c r="I1574" s="10"/>
      <c r="J1574" s="11"/>
      <c r="K1574" s="11"/>
      <c r="L1574" s="11"/>
      <c r="M1574" s="10"/>
      <c r="N1574" s="11"/>
      <c r="O1574" s="10"/>
      <c r="P1574" s="11"/>
      <c r="Q1574" s="11"/>
      <c r="R1574" s="12"/>
    </row>
    <row r="1575" spans="1:18" x14ac:dyDescent="0.25">
      <c r="A1575" s="8"/>
      <c r="B1575" s="9"/>
      <c r="C1575" s="10"/>
      <c r="D1575" s="10"/>
      <c r="E1575" s="9"/>
      <c r="F1575" s="11"/>
      <c r="G1575" s="9"/>
      <c r="H1575" s="10"/>
      <c r="I1575" s="10"/>
      <c r="J1575" s="11"/>
      <c r="K1575" s="11"/>
      <c r="L1575" s="11"/>
      <c r="M1575" s="10"/>
      <c r="N1575" s="11"/>
      <c r="O1575" s="10"/>
      <c r="P1575" s="11"/>
      <c r="Q1575" s="11"/>
      <c r="R1575" s="12"/>
    </row>
    <row r="1576" spans="1:18" x14ac:dyDescent="0.25">
      <c r="A1576" s="8"/>
      <c r="B1576" s="9"/>
      <c r="C1576" s="10"/>
      <c r="D1576" s="10"/>
      <c r="E1576" s="9"/>
      <c r="F1576" s="11"/>
      <c r="G1576" s="9"/>
      <c r="H1576" s="10"/>
      <c r="I1576" s="10"/>
      <c r="J1576" s="11"/>
      <c r="K1576" s="11"/>
      <c r="L1576" s="11"/>
      <c r="M1576" s="10"/>
      <c r="N1576" s="11"/>
      <c r="O1576" s="10"/>
      <c r="P1576" s="11"/>
      <c r="Q1576" s="11"/>
      <c r="R1576" s="12"/>
    </row>
    <row r="1577" spans="1:18" x14ac:dyDescent="0.25">
      <c r="A1577" s="8"/>
      <c r="B1577" s="9"/>
      <c r="C1577" s="10"/>
      <c r="D1577" s="10"/>
      <c r="E1577" s="9"/>
      <c r="F1577" s="11"/>
      <c r="G1577" s="9"/>
      <c r="H1577" s="10"/>
      <c r="I1577" s="10"/>
      <c r="J1577" s="11"/>
      <c r="K1577" s="11"/>
      <c r="L1577" s="11"/>
      <c r="M1577" s="10"/>
      <c r="N1577" s="11"/>
      <c r="O1577" s="10"/>
      <c r="P1577" s="11"/>
      <c r="Q1577" s="11"/>
      <c r="R1577" s="12"/>
    </row>
    <row r="1578" spans="1:18" x14ac:dyDescent="0.25">
      <c r="A1578" s="8"/>
      <c r="B1578" s="9"/>
      <c r="C1578" s="10"/>
      <c r="D1578" s="10"/>
      <c r="E1578" s="9"/>
      <c r="F1578" s="11"/>
      <c r="G1578" s="9"/>
      <c r="H1578" s="10"/>
      <c r="I1578" s="10"/>
      <c r="J1578" s="11"/>
      <c r="K1578" s="11"/>
      <c r="L1578" s="11"/>
      <c r="M1578" s="10"/>
      <c r="N1578" s="11"/>
      <c r="O1578" s="10"/>
      <c r="P1578" s="11"/>
      <c r="Q1578" s="11"/>
      <c r="R1578" s="12"/>
    </row>
    <row r="1579" spans="1:18" x14ac:dyDescent="0.25">
      <c r="A1579" s="8"/>
      <c r="B1579" s="9"/>
      <c r="C1579" s="10"/>
      <c r="D1579" s="10"/>
      <c r="E1579" s="9"/>
      <c r="F1579" s="11"/>
      <c r="G1579" s="9"/>
      <c r="H1579" s="10"/>
      <c r="I1579" s="10"/>
      <c r="J1579" s="11"/>
      <c r="K1579" s="11"/>
      <c r="L1579" s="11"/>
      <c r="M1579" s="10"/>
      <c r="N1579" s="11"/>
      <c r="O1579" s="10"/>
      <c r="P1579" s="11"/>
      <c r="Q1579" s="11"/>
      <c r="R1579" s="12"/>
    </row>
    <row r="1580" spans="1:18" x14ac:dyDescent="0.25">
      <c r="A1580" s="8"/>
      <c r="B1580" s="9"/>
      <c r="C1580" s="10"/>
      <c r="D1580" s="10"/>
      <c r="E1580" s="9"/>
      <c r="F1580" s="11"/>
      <c r="G1580" s="9"/>
      <c r="H1580" s="10"/>
      <c r="I1580" s="10"/>
      <c r="J1580" s="11"/>
      <c r="K1580" s="11"/>
      <c r="L1580" s="11"/>
      <c r="M1580" s="10"/>
      <c r="N1580" s="11"/>
      <c r="O1580" s="10"/>
      <c r="P1580" s="11"/>
      <c r="Q1580" s="11"/>
      <c r="R1580" s="12"/>
    </row>
    <row r="1581" spans="1:18" x14ac:dyDescent="0.25">
      <c r="A1581" s="8"/>
      <c r="B1581" s="9"/>
      <c r="C1581" s="10"/>
      <c r="D1581" s="10"/>
      <c r="E1581" s="9"/>
      <c r="F1581" s="11"/>
      <c r="G1581" s="9"/>
      <c r="H1581" s="10"/>
      <c r="I1581" s="10"/>
      <c r="J1581" s="11"/>
      <c r="K1581" s="11"/>
      <c r="L1581" s="11"/>
      <c r="M1581" s="10"/>
      <c r="N1581" s="11"/>
      <c r="O1581" s="10"/>
      <c r="P1581" s="11"/>
      <c r="Q1581" s="11"/>
      <c r="R1581" s="12"/>
    </row>
    <row r="1582" spans="1:18" x14ac:dyDescent="0.25">
      <c r="A1582" s="8"/>
      <c r="B1582" s="9"/>
      <c r="C1582" s="10"/>
      <c r="D1582" s="10"/>
      <c r="E1582" s="9"/>
      <c r="F1582" s="11"/>
      <c r="G1582" s="9"/>
      <c r="H1582" s="10"/>
      <c r="I1582" s="10"/>
      <c r="J1582" s="11"/>
      <c r="K1582" s="11"/>
      <c r="L1582" s="11"/>
      <c r="M1582" s="10"/>
      <c r="N1582" s="11"/>
      <c r="O1582" s="10"/>
      <c r="P1582" s="11"/>
      <c r="Q1582" s="11"/>
      <c r="R1582" s="12"/>
    </row>
    <row r="1583" spans="1:18" x14ac:dyDescent="0.25">
      <c r="A1583" s="8"/>
      <c r="B1583" s="9"/>
      <c r="C1583" s="10"/>
      <c r="D1583" s="10"/>
      <c r="E1583" s="9"/>
      <c r="F1583" s="11"/>
      <c r="G1583" s="9"/>
      <c r="H1583" s="10"/>
      <c r="I1583" s="10"/>
      <c r="J1583" s="11"/>
      <c r="K1583" s="11"/>
      <c r="L1583" s="11"/>
      <c r="M1583" s="10"/>
      <c r="N1583" s="11"/>
      <c r="O1583" s="10"/>
      <c r="P1583" s="11"/>
      <c r="Q1583" s="11"/>
      <c r="R1583" s="12"/>
    </row>
    <row r="1584" spans="1:18" x14ac:dyDescent="0.25">
      <c r="A1584" s="8"/>
      <c r="B1584" s="9"/>
      <c r="C1584" s="10"/>
      <c r="D1584" s="10"/>
      <c r="E1584" s="9"/>
      <c r="F1584" s="11"/>
      <c r="G1584" s="9"/>
      <c r="H1584" s="10"/>
      <c r="I1584" s="10"/>
      <c r="J1584" s="11"/>
      <c r="K1584" s="11"/>
      <c r="L1584" s="11"/>
      <c r="M1584" s="10"/>
      <c r="N1584" s="11"/>
      <c r="O1584" s="10"/>
      <c r="P1584" s="11"/>
      <c r="Q1584" s="11"/>
      <c r="R1584" s="12"/>
    </row>
    <row r="1585" spans="1:18" x14ac:dyDescent="0.25">
      <c r="A1585" s="8"/>
      <c r="B1585" s="9"/>
      <c r="C1585" s="10"/>
      <c r="D1585" s="10"/>
      <c r="E1585" s="9"/>
      <c r="F1585" s="11"/>
      <c r="G1585" s="9"/>
      <c r="H1585" s="10"/>
      <c r="I1585" s="10"/>
      <c r="J1585" s="11"/>
      <c r="K1585" s="11"/>
      <c r="L1585" s="11"/>
      <c r="M1585" s="10"/>
      <c r="N1585" s="11"/>
      <c r="O1585" s="10"/>
      <c r="P1585" s="11"/>
      <c r="Q1585" s="11"/>
      <c r="R1585" s="12"/>
    </row>
    <row r="1586" spans="1:18" x14ac:dyDescent="0.25">
      <c r="A1586" s="8"/>
      <c r="B1586" s="9"/>
      <c r="C1586" s="10"/>
      <c r="D1586" s="10"/>
      <c r="E1586" s="9"/>
      <c r="F1586" s="11"/>
      <c r="G1586" s="9"/>
      <c r="H1586" s="10"/>
      <c r="I1586" s="10"/>
      <c r="J1586" s="11"/>
      <c r="K1586" s="11"/>
      <c r="L1586" s="11"/>
      <c r="M1586" s="10"/>
      <c r="N1586" s="11"/>
      <c r="O1586" s="10"/>
      <c r="P1586" s="11"/>
      <c r="Q1586" s="11"/>
      <c r="R1586" s="12"/>
    </row>
    <row r="1587" spans="1:18" x14ac:dyDescent="0.25">
      <c r="A1587" s="8"/>
      <c r="B1587" s="9"/>
      <c r="C1587" s="10"/>
      <c r="D1587" s="10"/>
      <c r="E1587" s="9"/>
      <c r="F1587" s="11"/>
      <c r="G1587" s="9"/>
      <c r="H1587" s="10"/>
      <c r="I1587" s="10"/>
      <c r="J1587" s="11"/>
      <c r="K1587" s="11"/>
      <c r="L1587" s="11"/>
      <c r="M1587" s="10"/>
      <c r="N1587" s="11"/>
      <c r="O1587" s="10"/>
      <c r="P1587" s="11"/>
      <c r="Q1587" s="11"/>
      <c r="R1587" s="12"/>
    </row>
    <row r="1588" spans="1:18" x14ac:dyDescent="0.25">
      <c r="A1588" s="8"/>
      <c r="B1588" s="9"/>
      <c r="C1588" s="10"/>
      <c r="D1588" s="10"/>
      <c r="E1588" s="9"/>
      <c r="F1588" s="11"/>
      <c r="G1588" s="9"/>
      <c r="H1588" s="10"/>
      <c r="I1588" s="10"/>
      <c r="J1588" s="11"/>
      <c r="K1588" s="11"/>
      <c r="L1588" s="11"/>
      <c r="M1588" s="10"/>
      <c r="N1588" s="11"/>
      <c r="O1588" s="10"/>
      <c r="P1588" s="11"/>
      <c r="Q1588" s="11"/>
      <c r="R1588" s="12"/>
    </row>
    <row r="1589" spans="1:18" x14ac:dyDescent="0.25">
      <c r="A1589" s="8"/>
      <c r="B1589" s="9"/>
      <c r="C1589" s="10"/>
      <c r="D1589" s="10"/>
      <c r="E1589" s="9"/>
      <c r="F1589" s="11"/>
      <c r="G1589" s="9"/>
      <c r="H1589" s="10"/>
      <c r="I1589" s="10"/>
      <c r="J1589" s="11"/>
      <c r="K1589" s="11"/>
      <c r="L1589" s="11"/>
      <c r="M1589" s="10"/>
      <c r="N1589" s="11"/>
      <c r="O1589" s="10"/>
      <c r="P1589" s="11"/>
      <c r="Q1589" s="11"/>
      <c r="R1589" s="12"/>
    </row>
    <row r="1590" spans="1:18" x14ac:dyDescent="0.25">
      <c r="A1590" s="8"/>
      <c r="B1590" s="9"/>
      <c r="C1590" s="10"/>
      <c r="D1590" s="10"/>
      <c r="E1590" s="9"/>
      <c r="F1590" s="11"/>
      <c r="G1590" s="9"/>
      <c r="H1590" s="10"/>
      <c r="I1590" s="10"/>
      <c r="J1590" s="11"/>
      <c r="K1590" s="11"/>
      <c r="L1590" s="11"/>
      <c r="M1590" s="10"/>
      <c r="N1590" s="11"/>
      <c r="O1590" s="10"/>
      <c r="P1590" s="11"/>
      <c r="Q1590" s="11"/>
      <c r="R1590" s="12"/>
    </row>
    <row r="1591" spans="1:18" x14ac:dyDescent="0.25">
      <c r="A1591" s="8"/>
      <c r="B1591" s="9"/>
      <c r="C1591" s="10"/>
      <c r="D1591" s="10"/>
      <c r="E1591" s="9"/>
      <c r="F1591" s="11"/>
      <c r="G1591" s="9"/>
      <c r="H1591" s="10"/>
      <c r="I1591" s="10"/>
      <c r="J1591" s="11"/>
      <c r="K1591" s="11"/>
      <c r="L1591" s="11"/>
      <c r="M1591" s="10"/>
      <c r="N1591" s="11"/>
      <c r="O1591" s="10"/>
      <c r="P1591" s="11"/>
      <c r="Q1591" s="11"/>
      <c r="R1591" s="12"/>
    </row>
    <row r="1592" spans="1:18" x14ac:dyDescent="0.25">
      <c r="A1592" s="8"/>
      <c r="B1592" s="9"/>
      <c r="C1592" s="10"/>
      <c r="D1592" s="10"/>
      <c r="E1592" s="9"/>
      <c r="F1592" s="11"/>
      <c r="G1592" s="9"/>
      <c r="H1592" s="10"/>
      <c r="I1592" s="10"/>
      <c r="J1592" s="11"/>
      <c r="K1592" s="11"/>
      <c r="L1592" s="11"/>
      <c r="M1592" s="10"/>
      <c r="N1592" s="11"/>
      <c r="O1592" s="10"/>
      <c r="P1592" s="11"/>
      <c r="Q1592" s="11"/>
      <c r="R1592" s="12"/>
    </row>
    <row r="1593" spans="1:18" x14ac:dyDescent="0.25">
      <c r="A1593" s="8"/>
      <c r="B1593" s="9"/>
      <c r="C1593" s="10"/>
      <c r="D1593" s="10"/>
      <c r="E1593" s="9"/>
      <c r="F1593" s="11"/>
      <c r="G1593" s="9"/>
      <c r="H1593" s="10"/>
      <c r="I1593" s="10"/>
      <c r="J1593" s="11"/>
      <c r="K1593" s="11"/>
      <c r="L1593" s="11"/>
      <c r="M1593" s="10"/>
      <c r="N1593" s="11"/>
      <c r="O1593" s="10"/>
      <c r="P1593" s="11"/>
      <c r="Q1593" s="11"/>
      <c r="R1593" s="12"/>
    </row>
    <row r="1594" spans="1:18" x14ac:dyDescent="0.25">
      <c r="A1594" s="8"/>
      <c r="B1594" s="9"/>
      <c r="C1594" s="10"/>
      <c r="D1594" s="10"/>
      <c r="E1594" s="9"/>
      <c r="F1594" s="11"/>
      <c r="G1594" s="9"/>
      <c r="H1594" s="10"/>
      <c r="I1594" s="10"/>
      <c r="J1594" s="11"/>
      <c r="K1594" s="11"/>
      <c r="L1594" s="11"/>
      <c r="M1594" s="10"/>
      <c r="N1594" s="11"/>
      <c r="O1594" s="10"/>
      <c r="P1594" s="11"/>
      <c r="Q1594" s="11"/>
      <c r="R1594" s="12"/>
    </row>
    <row r="1595" spans="1:18" x14ac:dyDescent="0.25">
      <c r="A1595" s="8"/>
      <c r="B1595" s="9"/>
      <c r="C1595" s="10"/>
      <c r="D1595" s="10"/>
      <c r="E1595" s="9"/>
      <c r="F1595" s="11"/>
      <c r="G1595" s="9"/>
      <c r="H1595" s="10"/>
      <c r="I1595" s="10"/>
      <c r="J1595" s="11"/>
      <c r="K1595" s="11"/>
      <c r="L1595" s="11"/>
      <c r="M1595" s="10"/>
      <c r="N1595" s="11"/>
      <c r="O1595" s="10"/>
      <c r="P1595" s="11"/>
      <c r="Q1595" s="11"/>
      <c r="R1595" s="12"/>
    </row>
    <row r="1596" spans="1:18" x14ac:dyDescent="0.25">
      <c r="A1596" s="8"/>
      <c r="B1596" s="9"/>
      <c r="C1596" s="10"/>
      <c r="D1596" s="10"/>
      <c r="E1596" s="9"/>
      <c r="F1596" s="11"/>
      <c r="G1596" s="9"/>
      <c r="H1596" s="10"/>
      <c r="I1596" s="10"/>
      <c r="J1596" s="11"/>
      <c r="K1596" s="11"/>
      <c r="L1596" s="11"/>
      <c r="M1596" s="10"/>
      <c r="N1596" s="11"/>
      <c r="O1596" s="10"/>
      <c r="P1596" s="11"/>
      <c r="Q1596" s="11"/>
      <c r="R1596" s="12"/>
    </row>
    <row r="1597" spans="1:18" x14ac:dyDescent="0.25">
      <c r="A1597" s="8"/>
      <c r="B1597" s="9"/>
      <c r="C1597" s="10"/>
      <c r="D1597" s="10"/>
      <c r="E1597" s="9"/>
      <c r="F1597" s="11"/>
      <c r="G1597" s="9"/>
      <c r="H1597" s="10"/>
      <c r="I1597" s="10"/>
      <c r="J1597" s="11"/>
      <c r="K1597" s="11"/>
      <c r="L1597" s="11"/>
      <c r="M1597" s="10"/>
      <c r="N1597" s="11"/>
      <c r="O1597" s="10"/>
      <c r="P1597" s="11"/>
      <c r="Q1597" s="11"/>
      <c r="R1597" s="12"/>
    </row>
    <row r="1598" spans="1:18" x14ac:dyDescent="0.25">
      <c r="A1598" s="8"/>
      <c r="B1598" s="9"/>
      <c r="C1598" s="10"/>
      <c r="D1598" s="10"/>
      <c r="E1598" s="9"/>
      <c r="F1598" s="11"/>
      <c r="G1598" s="9"/>
      <c r="H1598" s="10"/>
      <c r="I1598" s="10"/>
      <c r="J1598" s="11"/>
      <c r="K1598" s="11"/>
      <c r="L1598" s="11"/>
      <c r="M1598" s="10"/>
      <c r="N1598" s="11"/>
      <c r="O1598" s="10"/>
      <c r="P1598" s="11"/>
      <c r="Q1598" s="11"/>
      <c r="R1598" s="12"/>
    </row>
    <row r="1599" spans="1:18" x14ac:dyDescent="0.25">
      <c r="A1599" s="8"/>
      <c r="B1599" s="9"/>
      <c r="C1599" s="10"/>
      <c r="D1599" s="10"/>
      <c r="E1599" s="9"/>
      <c r="F1599" s="11"/>
      <c r="G1599" s="9"/>
      <c r="H1599" s="10"/>
      <c r="I1599" s="10"/>
      <c r="J1599" s="11"/>
      <c r="K1599" s="11"/>
      <c r="L1599" s="11"/>
      <c r="M1599" s="10"/>
      <c r="N1599" s="11"/>
      <c r="O1599" s="10"/>
      <c r="P1599" s="11"/>
      <c r="Q1599" s="11"/>
      <c r="R1599" s="12"/>
    </row>
    <row r="1600" spans="1:18" x14ac:dyDescent="0.25">
      <c r="A1600" s="8"/>
      <c r="B1600" s="9"/>
      <c r="C1600" s="10"/>
      <c r="D1600" s="10"/>
      <c r="E1600" s="9"/>
      <c r="F1600" s="11"/>
      <c r="G1600" s="9"/>
      <c r="H1600" s="10"/>
      <c r="I1600" s="10"/>
      <c r="J1600" s="11"/>
      <c r="K1600" s="11"/>
      <c r="L1600" s="11"/>
      <c r="M1600" s="10"/>
      <c r="N1600" s="11"/>
      <c r="O1600" s="10"/>
      <c r="P1600" s="11"/>
      <c r="Q1600" s="11"/>
      <c r="R1600" s="12"/>
    </row>
    <row r="1601" spans="1:18" x14ac:dyDescent="0.25">
      <c r="A1601" s="8"/>
      <c r="B1601" s="9"/>
      <c r="C1601" s="10"/>
      <c r="D1601" s="10"/>
      <c r="E1601" s="9"/>
      <c r="F1601" s="11"/>
      <c r="G1601" s="9"/>
      <c r="H1601" s="10"/>
      <c r="I1601" s="10"/>
      <c r="J1601" s="11"/>
      <c r="K1601" s="11"/>
      <c r="L1601" s="11"/>
      <c r="M1601" s="10"/>
      <c r="N1601" s="11"/>
      <c r="O1601" s="10"/>
      <c r="P1601" s="11"/>
      <c r="Q1601" s="11"/>
      <c r="R1601" s="12"/>
    </row>
    <row r="1602" spans="1:18" x14ac:dyDescent="0.25">
      <c r="A1602" s="8"/>
      <c r="B1602" s="9"/>
      <c r="C1602" s="10"/>
      <c r="D1602" s="10"/>
      <c r="E1602" s="9"/>
      <c r="F1602" s="11"/>
      <c r="G1602" s="9"/>
      <c r="H1602" s="10"/>
      <c r="I1602" s="10"/>
      <c r="J1602" s="11"/>
      <c r="K1602" s="11"/>
      <c r="L1602" s="11"/>
      <c r="M1602" s="10"/>
      <c r="N1602" s="11"/>
      <c r="O1602" s="10"/>
      <c r="P1602" s="11"/>
      <c r="Q1602" s="11"/>
      <c r="R1602" s="12"/>
    </row>
    <row r="1603" spans="1:18" x14ac:dyDescent="0.25">
      <c r="A1603" s="8"/>
      <c r="B1603" s="9"/>
      <c r="C1603" s="10"/>
      <c r="D1603" s="10"/>
      <c r="E1603" s="9"/>
      <c r="F1603" s="11"/>
      <c r="G1603" s="9"/>
      <c r="H1603" s="10"/>
      <c r="I1603" s="10"/>
      <c r="J1603" s="11"/>
      <c r="K1603" s="11"/>
      <c r="L1603" s="11"/>
      <c r="M1603" s="10"/>
      <c r="N1603" s="11"/>
      <c r="O1603" s="10"/>
      <c r="P1603" s="11"/>
      <c r="Q1603" s="11"/>
      <c r="R1603" s="12"/>
    </row>
    <row r="1604" spans="1:18" x14ac:dyDescent="0.25">
      <c r="A1604" s="8"/>
      <c r="B1604" s="9"/>
      <c r="C1604" s="10"/>
      <c r="D1604" s="10"/>
      <c r="E1604" s="9"/>
      <c r="F1604" s="11"/>
      <c r="G1604" s="9"/>
      <c r="H1604" s="10"/>
      <c r="I1604" s="10"/>
      <c r="J1604" s="11"/>
      <c r="K1604" s="11"/>
      <c r="L1604" s="11"/>
      <c r="M1604" s="10"/>
      <c r="N1604" s="11"/>
      <c r="O1604" s="10"/>
      <c r="P1604" s="11"/>
      <c r="Q1604" s="11"/>
      <c r="R1604" s="12"/>
    </row>
    <row r="1605" spans="1:18" x14ac:dyDescent="0.25">
      <c r="A1605" s="8"/>
      <c r="B1605" s="9"/>
      <c r="C1605" s="10"/>
      <c r="D1605" s="10"/>
      <c r="E1605" s="9"/>
      <c r="F1605" s="11"/>
      <c r="G1605" s="9"/>
      <c r="H1605" s="10"/>
      <c r="I1605" s="10"/>
      <c r="J1605" s="11"/>
      <c r="K1605" s="11"/>
      <c r="L1605" s="11"/>
      <c r="M1605" s="10"/>
      <c r="N1605" s="11"/>
      <c r="O1605" s="10"/>
      <c r="P1605" s="11"/>
      <c r="Q1605" s="11"/>
      <c r="R1605" s="12"/>
    </row>
    <row r="1606" spans="1:18" x14ac:dyDescent="0.25">
      <c r="A1606" s="8"/>
      <c r="B1606" s="9"/>
      <c r="C1606" s="10"/>
      <c r="D1606" s="10"/>
      <c r="E1606" s="9"/>
      <c r="F1606" s="11"/>
      <c r="G1606" s="9"/>
      <c r="H1606" s="10"/>
      <c r="I1606" s="10"/>
      <c r="J1606" s="11"/>
      <c r="K1606" s="11"/>
      <c r="L1606" s="11"/>
      <c r="M1606" s="10"/>
      <c r="N1606" s="11"/>
      <c r="O1606" s="10"/>
      <c r="P1606" s="11"/>
      <c r="Q1606" s="11"/>
      <c r="R1606" s="12"/>
    </row>
    <row r="1607" spans="1:18" x14ac:dyDescent="0.25">
      <c r="A1607" s="8"/>
      <c r="B1607" s="9"/>
      <c r="C1607" s="10"/>
      <c r="D1607" s="10"/>
      <c r="E1607" s="9"/>
      <c r="F1607" s="11"/>
      <c r="G1607" s="9"/>
      <c r="H1607" s="10"/>
      <c r="I1607" s="10"/>
      <c r="J1607" s="11"/>
      <c r="K1607" s="11"/>
      <c r="L1607" s="11"/>
      <c r="M1607" s="10"/>
      <c r="N1607" s="11"/>
      <c r="O1607" s="10"/>
      <c r="P1607" s="11"/>
      <c r="Q1607" s="11"/>
      <c r="R1607" s="12"/>
    </row>
    <row r="1608" spans="1:18" x14ac:dyDescent="0.25">
      <c r="A1608" s="8"/>
      <c r="B1608" s="9"/>
      <c r="C1608" s="10"/>
      <c r="D1608" s="10"/>
      <c r="E1608" s="9"/>
      <c r="F1608" s="11"/>
      <c r="G1608" s="9"/>
      <c r="H1608" s="10"/>
      <c r="I1608" s="10"/>
      <c r="J1608" s="11"/>
      <c r="K1608" s="11"/>
      <c r="L1608" s="11"/>
      <c r="M1608" s="10"/>
      <c r="N1608" s="11"/>
      <c r="O1608" s="10"/>
      <c r="P1608" s="11"/>
      <c r="Q1608" s="11"/>
      <c r="R1608" s="12"/>
    </row>
    <row r="1609" spans="1:18" x14ac:dyDescent="0.25">
      <c r="A1609" s="8"/>
      <c r="B1609" s="9"/>
      <c r="C1609" s="10"/>
      <c r="D1609" s="10"/>
      <c r="E1609" s="9"/>
      <c r="F1609" s="11"/>
      <c r="G1609" s="9"/>
      <c r="H1609" s="10"/>
      <c r="I1609" s="10"/>
      <c r="J1609" s="11"/>
      <c r="K1609" s="11"/>
      <c r="L1609" s="11"/>
      <c r="M1609" s="10"/>
      <c r="N1609" s="11"/>
      <c r="O1609" s="10"/>
      <c r="P1609" s="11"/>
      <c r="Q1609" s="11"/>
      <c r="R1609" s="12"/>
    </row>
    <row r="1610" spans="1:18" x14ac:dyDescent="0.25">
      <c r="A1610" s="8"/>
      <c r="B1610" s="9"/>
      <c r="C1610" s="10"/>
      <c r="D1610" s="10"/>
      <c r="E1610" s="9"/>
      <c r="F1610" s="11"/>
      <c r="G1610" s="9"/>
      <c r="H1610" s="10"/>
      <c r="I1610" s="10"/>
      <c r="J1610" s="11"/>
      <c r="K1610" s="11"/>
      <c r="L1610" s="11"/>
      <c r="M1610" s="10"/>
      <c r="N1610" s="11"/>
      <c r="O1610" s="10"/>
      <c r="P1610" s="11"/>
      <c r="Q1610" s="11"/>
      <c r="R1610" s="12"/>
    </row>
    <row r="1611" spans="1:18" x14ac:dyDescent="0.25">
      <c r="A1611" s="8"/>
      <c r="B1611" s="9"/>
      <c r="C1611" s="10"/>
      <c r="D1611" s="10"/>
      <c r="E1611" s="9"/>
      <c r="F1611" s="11"/>
      <c r="G1611" s="9"/>
      <c r="H1611" s="10"/>
      <c r="I1611" s="10"/>
      <c r="J1611" s="11"/>
      <c r="K1611" s="11"/>
      <c r="L1611" s="11"/>
      <c r="M1611" s="10"/>
      <c r="N1611" s="11"/>
      <c r="O1611" s="10"/>
      <c r="P1611" s="11"/>
      <c r="Q1611" s="11"/>
      <c r="R1611" s="12"/>
    </row>
    <row r="1612" spans="1:18" x14ac:dyDescent="0.25">
      <c r="A1612" s="8"/>
      <c r="B1612" s="9"/>
      <c r="C1612" s="10"/>
      <c r="D1612" s="10"/>
      <c r="E1612" s="9"/>
      <c r="F1612" s="11"/>
      <c r="G1612" s="9"/>
      <c r="H1612" s="10"/>
      <c r="I1612" s="10"/>
      <c r="J1612" s="11"/>
      <c r="K1612" s="11"/>
      <c r="L1612" s="11"/>
      <c r="M1612" s="10"/>
      <c r="N1612" s="11"/>
      <c r="O1612" s="10"/>
      <c r="P1612" s="11"/>
      <c r="Q1612" s="11"/>
      <c r="R1612" s="12"/>
    </row>
    <row r="1613" spans="1:18" x14ac:dyDescent="0.25">
      <c r="A1613" s="8"/>
      <c r="B1613" s="9"/>
      <c r="C1613" s="10"/>
      <c r="D1613" s="10"/>
      <c r="E1613" s="9"/>
      <c r="F1613" s="11"/>
      <c r="G1613" s="9"/>
      <c r="H1613" s="10"/>
      <c r="I1613" s="10"/>
      <c r="J1613" s="11"/>
      <c r="K1613" s="11"/>
      <c r="L1613" s="11"/>
      <c r="M1613" s="10"/>
      <c r="N1613" s="11"/>
      <c r="O1613" s="10"/>
      <c r="P1613" s="11"/>
      <c r="Q1613" s="11"/>
      <c r="R1613" s="12"/>
    </row>
    <row r="1614" spans="1:18" x14ac:dyDescent="0.25">
      <c r="A1614" s="8"/>
      <c r="B1614" s="9"/>
      <c r="C1614" s="10"/>
      <c r="D1614" s="10"/>
      <c r="E1614" s="9"/>
      <c r="F1614" s="11"/>
      <c r="G1614" s="9"/>
      <c r="H1614" s="10"/>
      <c r="I1614" s="10"/>
      <c r="J1614" s="11"/>
      <c r="K1614" s="11"/>
      <c r="L1614" s="11"/>
      <c r="M1614" s="10"/>
      <c r="N1614" s="11"/>
      <c r="O1614" s="10"/>
      <c r="P1614" s="11"/>
      <c r="Q1614" s="11"/>
      <c r="R1614" s="12"/>
    </row>
    <row r="1615" spans="1:18" x14ac:dyDescent="0.25">
      <c r="A1615" s="8"/>
      <c r="B1615" s="9"/>
      <c r="C1615" s="10"/>
      <c r="D1615" s="10"/>
      <c r="E1615" s="9"/>
      <c r="F1615" s="11"/>
      <c r="G1615" s="9"/>
      <c r="H1615" s="10"/>
      <c r="I1615" s="10"/>
      <c r="J1615" s="11"/>
      <c r="K1615" s="11"/>
      <c r="L1615" s="11"/>
      <c r="M1615" s="10"/>
      <c r="N1615" s="11"/>
      <c r="O1615" s="10"/>
      <c r="P1615" s="11"/>
      <c r="Q1615" s="11"/>
      <c r="R1615" s="12"/>
    </row>
    <row r="1616" spans="1:18" x14ac:dyDescent="0.25">
      <c r="A1616" s="8"/>
      <c r="B1616" s="9"/>
      <c r="C1616" s="10"/>
      <c r="D1616" s="10"/>
      <c r="E1616" s="9"/>
      <c r="F1616" s="11"/>
      <c r="G1616" s="9"/>
      <c r="H1616" s="10"/>
      <c r="I1616" s="10"/>
      <c r="J1616" s="11"/>
      <c r="K1616" s="11"/>
      <c r="L1616" s="11"/>
      <c r="M1616" s="10"/>
      <c r="N1616" s="11"/>
      <c r="O1616" s="10"/>
      <c r="P1616" s="11"/>
      <c r="Q1616" s="11"/>
      <c r="R1616" s="12"/>
    </row>
    <row r="1617" spans="1:18" x14ac:dyDescent="0.25">
      <c r="A1617" s="8"/>
      <c r="B1617" s="9"/>
      <c r="C1617" s="10"/>
      <c r="D1617" s="10"/>
      <c r="E1617" s="9"/>
      <c r="F1617" s="11"/>
      <c r="G1617" s="9"/>
      <c r="H1617" s="10"/>
      <c r="I1617" s="10"/>
      <c r="J1617" s="11"/>
      <c r="K1617" s="11"/>
      <c r="L1617" s="11"/>
      <c r="M1617" s="10"/>
      <c r="N1617" s="11"/>
      <c r="O1617" s="10"/>
      <c r="P1617" s="11"/>
      <c r="Q1617" s="11"/>
      <c r="R1617" s="12"/>
    </row>
    <row r="1618" spans="1:18" x14ac:dyDescent="0.25">
      <c r="A1618" s="8"/>
      <c r="B1618" s="9"/>
      <c r="C1618" s="10"/>
      <c r="D1618" s="10"/>
      <c r="E1618" s="9"/>
      <c r="F1618" s="11"/>
      <c r="G1618" s="9"/>
      <c r="H1618" s="10"/>
      <c r="I1618" s="10"/>
      <c r="J1618" s="11"/>
      <c r="K1618" s="11"/>
      <c r="L1618" s="11"/>
      <c r="M1618" s="10"/>
      <c r="N1618" s="11"/>
      <c r="O1618" s="10"/>
      <c r="P1618" s="11"/>
      <c r="Q1618" s="11"/>
      <c r="R1618" s="12"/>
    </row>
    <row r="1619" spans="1:18" x14ac:dyDescent="0.25">
      <c r="A1619" s="8"/>
      <c r="B1619" s="9"/>
      <c r="C1619" s="10"/>
      <c r="D1619" s="10"/>
      <c r="E1619" s="9"/>
      <c r="F1619" s="11"/>
      <c r="G1619" s="9"/>
      <c r="H1619" s="10"/>
      <c r="I1619" s="10"/>
      <c r="J1619" s="11"/>
      <c r="K1619" s="11"/>
      <c r="L1619" s="11"/>
      <c r="M1619" s="10"/>
      <c r="N1619" s="11"/>
      <c r="O1619" s="10"/>
      <c r="P1619" s="11"/>
      <c r="Q1619" s="11"/>
      <c r="R1619" s="12"/>
    </row>
    <row r="1620" spans="1:18" x14ac:dyDescent="0.25">
      <c r="A1620" s="8"/>
      <c r="B1620" s="9"/>
      <c r="C1620" s="10"/>
      <c r="D1620" s="10"/>
      <c r="E1620" s="9"/>
      <c r="F1620" s="11"/>
      <c r="G1620" s="9"/>
      <c r="H1620" s="10"/>
      <c r="I1620" s="10"/>
      <c r="J1620" s="11"/>
      <c r="K1620" s="11"/>
      <c r="L1620" s="11"/>
      <c r="M1620" s="10"/>
      <c r="N1620" s="11"/>
      <c r="O1620" s="10"/>
      <c r="P1620" s="11"/>
      <c r="Q1620" s="11"/>
      <c r="R1620" s="12"/>
    </row>
    <row r="1621" spans="1:18" x14ac:dyDescent="0.25">
      <c r="A1621" s="8"/>
      <c r="B1621" s="9"/>
      <c r="C1621" s="10"/>
      <c r="D1621" s="10"/>
      <c r="E1621" s="9"/>
      <c r="F1621" s="11"/>
      <c r="G1621" s="9"/>
      <c r="H1621" s="10"/>
      <c r="I1621" s="10"/>
      <c r="J1621" s="11"/>
      <c r="K1621" s="11"/>
      <c r="L1621" s="11"/>
      <c r="M1621" s="10"/>
      <c r="N1621" s="11"/>
      <c r="O1621" s="10"/>
      <c r="P1621" s="11"/>
      <c r="Q1621" s="11"/>
      <c r="R1621" s="12"/>
    </row>
    <row r="1622" spans="1:18" x14ac:dyDescent="0.25">
      <c r="A1622" s="8"/>
      <c r="B1622" s="9"/>
      <c r="C1622" s="10"/>
      <c r="D1622" s="10"/>
      <c r="E1622" s="9"/>
      <c r="F1622" s="11"/>
      <c r="G1622" s="9"/>
      <c r="H1622" s="10"/>
      <c r="I1622" s="10"/>
      <c r="J1622" s="11"/>
      <c r="K1622" s="11"/>
      <c r="L1622" s="11"/>
      <c r="M1622" s="10"/>
      <c r="N1622" s="11"/>
      <c r="O1622" s="10"/>
      <c r="P1622" s="11"/>
      <c r="Q1622" s="11"/>
      <c r="R1622" s="12"/>
    </row>
    <row r="1623" spans="1:18" x14ac:dyDescent="0.25">
      <c r="A1623" s="8"/>
      <c r="B1623" s="9"/>
      <c r="C1623" s="10"/>
      <c r="D1623" s="10"/>
      <c r="E1623" s="9"/>
      <c r="F1623" s="11"/>
      <c r="G1623" s="9"/>
      <c r="H1623" s="10"/>
      <c r="I1623" s="10"/>
      <c r="J1623" s="11"/>
      <c r="K1623" s="11"/>
      <c r="L1623" s="11"/>
      <c r="M1623" s="10"/>
      <c r="N1623" s="11"/>
      <c r="O1623" s="10"/>
      <c r="P1623" s="11"/>
      <c r="Q1623" s="11"/>
      <c r="R1623" s="12"/>
    </row>
    <row r="1624" spans="1:18" x14ac:dyDescent="0.25">
      <c r="A1624" s="8"/>
      <c r="B1624" s="9"/>
      <c r="C1624" s="10"/>
      <c r="D1624" s="10"/>
      <c r="E1624" s="9"/>
      <c r="F1624" s="11"/>
      <c r="G1624" s="9"/>
      <c r="H1624" s="10"/>
      <c r="I1624" s="10"/>
      <c r="J1624" s="11"/>
      <c r="K1624" s="11"/>
      <c r="L1624" s="11"/>
      <c r="M1624" s="10"/>
      <c r="N1624" s="11"/>
      <c r="O1624" s="10"/>
      <c r="P1624" s="11"/>
      <c r="Q1624" s="11"/>
      <c r="R1624" s="12"/>
    </row>
    <row r="1625" spans="1:18" x14ac:dyDescent="0.25">
      <c r="A1625" s="8"/>
      <c r="B1625" s="9"/>
      <c r="C1625" s="10"/>
      <c r="D1625" s="10"/>
      <c r="E1625" s="9"/>
      <c r="F1625" s="11"/>
      <c r="G1625" s="9"/>
      <c r="H1625" s="10"/>
      <c r="I1625" s="10"/>
      <c r="J1625" s="11"/>
      <c r="K1625" s="11"/>
      <c r="L1625" s="11"/>
      <c r="M1625" s="10"/>
      <c r="N1625" s="11"/>
      <c r="O1625" s="10"/>
      <c r="P1625" s="11"/>
      <c r="Q1625" s="11"/>
      <c r="R1625" s="12"/>
    </row>
    <row r="1626" spans="1:18" x14ac:dyDescent="0.25">
      <c r="A1626" s="8"/>
      <c r="B1626" s="9"/>
      <c r="C1626" s="10"/>
      <c r="D1626" s="10"/>
      <c r="E1626" s="9"/>
      <c r="F1626" s="11"/>
      <c r="G1626" s="9"/>
      <c r="H1626" s="10"/>
      <c r="I1626" s="10"/>
      <c r="J1626" s="11"/>
      <c r="K1626" s="11"/>
      <c r="L1626" s="11"/>
      <c r="M1626" s="10"/>
      <c r="N1626" s="11"/>
      <c r="O1626" s="10"/>
      <c r="P1626" s="11"/>
      <c r="Q1626" s="11"/>
      <c r="R1626" s="12"/>
    </row>
    <row r="1627" spans="1:18" x14ac:dyDescent="0.25">
      <c r="A1627" s="8"/>
      <c r="B1627" s="9"/>
      <c r="C1627" s="10"/>
      <c r="D1627" s="10"/>
      <c r="E1627" s="9"/>
      <c r="F1627" s="11"/>
      <c r="G1627" s="9"/>
      <c r="H1627" s="10"/>
      <c r="I1627" s="10"/>
      <c r="J1627" s="11"/>
      <c r="K1627" s="11"/>
      <c r="L1627" s="11"/>
      <c r="M1627" s="10"/>
      <c r="N1627" s="11"/>
      <c r="O1627" s="10"/>
      <c r="P1627" s="11"/>
      <c r="Q1627" s="11"/>
      <c r="R1627" s="12"/>
    </row>
    <row r="1628" spans="1:18" x14ac:dyDescent="0.25">
      <c r="A1628" s="8"/>
      <c r="B1628" s="9"/>
      <c r="C1628" s="10"/>
      <c r="D1628" s="10"/>
      <c r="E1628" s="9"/>
      <c r="F1628" s="11"/>
      <c r="G1628" s="9"/>
      <c r="H1628" s="10"/>
      <c r="I1628" s="10"/>
      <c r="J1628" s="11"/>
      <c r="K1628" s="11"/>
      <c r="L1628" s="11"/>
      <c r="M1628" s="10"/>
      <c r="N1628" s="11"/>
      <c r="O1628" s="10"/>
      <c r="P1628" s="11"/>
      <c r="Q1628" s="11"/>
      <c r="R1628" s="12"/>
    </row>
    <row r="1629" spans="1:18" x14ac:dyDescent="0.25">
      <c r="A1629" s="8"/>
      <c r="B1629" s="9"/>
      <c r="C1629" s="10"/>
      <c r="D1629" s="10"/>
      <c r="E1629" s="9"/>
      <c r="F1629" s="11"/>
      <c r="G1629" s="9"/>
      <c r="H1629" s="10"/>
      <c r="I1629" s="10"/>
      <c r="J1629" s="11"/>
      <c r="K1629" s="11"/>
      <c r="L1629" s="11"/>
      <c r="M1629" s="10"/>
      <c r="N1629" s="11"/>
      <c r="O1629" s="10"/>
      <c r="P1629" s="11"/>
      <c r="Q1629" s="11"/>
      <c r="R1629" s="12"/>
    </row>
    <row r="1630" spans="1:18" x14ac:dyDescent="0.25">
      <c r="A1630" s="8"/>
      <c r="B1630" s="9"/>
      <c r="C1630" s="10"/>
      <c r="D1630" s="10"/>
      <c r="E1630" s="9"/>
      <c r="F1630" s="11"/>
      <c r="G1630" s="9"/>
      <c r="H1630" s="10"/>
      <c r="I1630" s="10"/>
      <c r="J1630" s="11"/>
      <c r="K1630" s="11"/>
      <c r="L1630" s="11"/>
      <c r="M1630" s="10"/>
      <c r="N1630" s="11"/>
      <c r="O1630" s="10"/>
      <c r="P1630" s="11"/>
      <c r="Q1630" s="11"/>
      <c r="R1630" s="12"/>
    </row>
    <row r="1631" spans="1:18" x14ac:dyDescent="0.25">
      <c r="A1631" s="8"/>
      <c r="B1631" s="9"/>
      <c r="C1631" s="10"/>
      <c r="D1631" s="10"/>
      <c r="E1631" s="9"/>
      <c r="F1631" s="11"/>
      <c r="G1631" s="9"/>
      <c r="H1631" s="10"/>
      <c r="I1631" s="10"/>
      <c r="J1631" s="11"/>
      <c r="K1631" s="11"/>
      <c r="L1631" s="11"/>
      <c r="M1631" s="10"/>
      <c r="N1631" s="11"/>
      <c r="O1631" s="10"/>
      <c r="P1631" s="11"/>
      <c r="Q1631" s="11"/>
      <c r="R1631" s="12"/>
    </row>
    <row r="1632" spans="1:18" x14ac:dyDescent="0.25">
      <c r="A1632" s="8"/>
      <c r="B1632" s="9"/>
      <c r="C1632" s="10"/>
      <c r="D1632" s="10"/>
      <c r="E1632" s="9"/>
      <c r="F1632" s="11"/>
      <c r="G1632" s="9"/>
      <c r="H1632" s="10"/>
      <c r="I1632" s="10"/>
      <c r="J1632" s="11"/>
      <c r="K1632" s="11"/>
      <c r="L1632" s="11"/>
      <c r="M1632" s="10"/>
      <c r="N1632" s="11"/>
      <c r="O1632" s="10"/>
      <c r="P1632" s="11"/>
      <c r="Q1632" s="11"/>
      <c r="R1632" s="12"/>
    </row>
    <row r="1633" spans="1:18" x14ac:dyDescent="0.25">
      <c r="A1633" s="8"/>
      <c r="B1633" s="9"/>
      <c r="C1633" s="10"/>
      <c r="D1633" s="10"/>
      <c r="E1633" s="9"/>
      <c r="F1633" s="11"/>
      <c r="G1633" s="9"/>
      <c r="H1633" s="10"/>
      <c r="I1633" s="10"/>
      <c r="J1633" s="11"/>
      <c r="K1633" s="11"/>
      <c r="L1633" s="11"/>
      <c r="M1633" s="10"/>
      <c r="N1633" s="11"/>
      <c r="O1633" s="10"/>
      <c r="P1633" s="11"/>
      <c r="Q1633" s="11"/>
      <c r="R1633" s="12"/>
    </row>
    <row r="1634" spans="1:18" x14ac:dyDescent="0.25">
      <c r="A1634" s="8"/>
      <c r="B1634" s="9"/>
      <c r="C1634" s="10"/>
      <c r="D1634" s="10"/>
      <c r="E1634" s="9"/>
      <c r="F1634" s="11"/>
      <c r="G1634" s="9"/>
      <c r="H1634" s="10"/>
      <c r="I1634" s="10"/>
      <c r="J1634" s="11"/>
      <c r="K1634" s="11"/>
      <c r="L1634" s="11"/>
      <c r="M1634" s="10"/>
      <c r="N1634" s="11"/>
      <c r="O1634" s="10"/>
      <c r="P1634" s="11"/>
      <c r="Q1634" s="11"/>
      <c r="R1634" s="12"/>
    </row>
    <row r="1635" spans="1:18" x14ac:dyDescent="0.25">
      <c r="A1635" s="8"/>
      <c r="B1635" s="9"/>
      <c r="C1635" s="10"/>
      <c r="D1635" s="10"/>
      <c r="E1635" s="9"/>
      <c r="F1635" s="11"/>
      <c r="G1635" s="9"/>
      <c r="H1635" s="10"/>
      <c r="I1635" s="10"/>
      <c r="J1635" s="11"/>
      <c r="K1635" s="11"/>
      <c r="L1635" s="11"/>
      <c r="M1635" s="10"/>
      <c r="N1635" s="11"/>
      <c r="O1635" s="10"/>
      <c r="P1635" s="11"/>
      <c r="Q1635" s="11"/>
      <c r="R1635" s="12"/>
    </row>
    <row r="1636" spans="1:18" x14ac:dyDescent="0.25">
      <c r="A1636" s="8"/>
      <c r="B1636" s="9"/>
      <c r="C1636" s="10"/>
      <c r="D1636" s="10"/>
      <c r="E1636" s="9"/>
      <c r="F1636" s="11"/>
      <c r="G1636" s="9"/>
      <c r="H1636" s="10"/>
      <c r="I1636" s="10"/>
      <c r="J1636" s="11"/>
      <c r="K1636" s="11"/>
      <c r="L1636" s="11"/>
      <c r="M1636" s="10"/>
      <c r="N1636" s="11"/>
      <c r="O1636" s="10"/>
      <c r="P1636" s="11"/>
      <c r="Q1636" s="11"/>
      <c r="R1636" s="12"/>
    </row>
    <row r="1637" spans="1:18" x14ac:dyDescent="0.25">
      <c r="A1637" s="8"/>
      <c r="B1637" s="9"/>
      <c r="C1637" s="10"/>
      <c r="D1637" s="10"/>
      <c r="E1637" s="9"/>
      <c r="F1637" s="11"/>
      <c r="G1637" s="9"/>
      <c r="H1637" s="10"/>
      <c r="I1637" s="10"/>
      <c r="J1637" s="11"/>
      <c r="K1637" s="11"/>
      <c r="L1637" s="11"/>
      <c r="M1637" s="10"/>
      <c r="N1637" s="11"/>
      <c r="O1637" s="10"/>
      <c r="P1637" s="11"/>
      <c r="Q1637" s="11"/>
      <c r="R1637" s="12"/>
    </row>
    <row r="1638" spans="1:18" x14ac:dyDescent="0.25">
      <c r="A1638" s="8"/>
      <c r="B1638" s="9"/>
      <c r="C1638" s="10"/>
      <c r="D1638" s="10"/>
      <c r="E1638" s="9"/>
      <c r="F1638" s="11"/>
      <c r="G1638" s="9"/>
      <c r="H1638" s="10"/>
      <c r="I1638" s="10"/>
      <c r="J1638" s="11"/>
      <c r="K1638" s="11"/>
      <c r="L1638" s="11"/>
      <c r="M1638" s="10"/>
      <c r="N1638" s="11"/>
      <c r="O1638" s="10"/>
      <c r="P1638" s="11"/>
      <c r="Q1638" s="11"/>
      <c r="R1638" s="12"/>
    </row>
    <row r="1639" spans="1:18" x14ac:dyDescent="0.25">
      <c r="A1639" s="8"/>
      <c r="B1639" s="9"/>
      <c r="C1639" s="10"/>
      <c r="D1639" s="10"/>
      <c r="E1639" s="9"/>
      <c r="F1639" s="11"/>
      <c r="G1639" s="9"/>
      <c r="H1639" s="10"/>
      <c r="I1639" s="10"/>
      <c r="J1639" s="11"/>
      <c r="K1639" s="11"/>
      <c r="L1639" s="11"/>
      <c r="M1639" s="10"/>
      <c r="N1639" s="11"/>
      <c r="O1639" s="10"/>
      <c r="P1639" s="11"/>
      <c r="Q1639" s="11"/>
      <c r="R1639" s="12"/>
    </row>
    <row r="1640" spans="1:18" x14ac:dyDescent="0.25">
      <c r="A1640" s="8"/>
      <c r="B1640" s="9"/>
      <c r="C1640" s="10"/>
      <c r="D1640" s="10"/>
      <c r="E1640" s="9"/>
      <c r="F1640" s="11"/>
      <c r="G1640" s="9"/>
      <c r="H1640" s="10"/>
      <c r="I1640" s="10"/>
      <c r="J1640" s="11"/>
      <c r="K1640" s="11"/>
      <c r="L1640" s="11"/>
      <c r="M1640" s="10"/>
      <c r="N1640" s="11"/>
      <c r="O1640" s="10"/>
      <c r="P1640" s="11"/>
      <c r="Q1640" s="11"/>
      <c r="R1640" s="12"/>
    </row>
    <row r="1641" spans="1:18" x14ac:dyDescent="0.25">
      <c r="A1641" s="8"/>
      <c r="B1641" s="9"/>
      <c r="C1641" s="10"/>
      <c r="D1641" s="10"/>
      <c r="E1641" s="9"/>
      <c r="F1641" s="11"/>
      <c r="G1641" s="9"/>
      <c r="H1641" s="10"/>
      <c r="I1641" s="10"/>
      <c r="J1641" s="11"/>
      <c r="K1641" s="11"/>
      <c r="L1641" s="11"/>
      <c r="M1641" s="10"/>
      <c r="N1641" s="11"/>
      <c r="O1641" s="10"/>
      <c r="P1641" s="11"/>
      <c r="Q1641" s="11"/>
      <c r="R1641" s="12"/>
    </row>
    <row r="1642" spans="1:18" x14ac:dyDescent="0.25">
      <c r="A1642" s="8"/>
      <c r="B1642" s="9"/>
      <c r="C1642" s="10"/>
      <c r="D1642" s="10"/>
      <c r="E1642" s="9"/>
      <c r="F1642" s="11"/>
      <c r="G1642" s="9"/>
      <c r="H1642" s="10"/>
      <c r="I1642" s="10"/>
      <c r="J1642" s="11"/>
      <c r="K1642" s="11"/>
      <c r="L1642" s="11"/>
      <c r="M1642" s="10"/>
      <c r="N1642" s="11"/>
      <c r="O1642" s="10"/>
      <c r="P1642" s="11"/>
      <c r="Q1642" s="11"/>
      <c r="R1642" s="12"/>
    </row>
    <row r="1643" spans="1:18" x14ac:dyDescent="0.25">
      <c r="A1643" s="8"/>
      <c r="B1643" s="9"/>
      <c r="C1643" s="10"/>
      <c r="D1643" s="10"/>
      <c r="E1643" s="9"/>
      <c r="F1643" s="11"/>
      <c r="G1643" s="9"/>
      <c r="H1643" s="10"/>
      <c r="I1643" s="10"/>
      <c r="J1643" s="11"/>
      <c r="K1643" s="11"/>
      <c r="L1643" s="11"/>
      <c r="M1643" s="10"/>
      <c r="N1643" s="11"/>
      <c r="O1643" s="10"/>
      <c r="P1643" s="11"/>
      <c r="Q1643" s="11"/>
      <c r="R1643" s="12"/>
    </row>
    <row r="1644" spans="1:18" x14ac:dyDescent="0.25">
      <c r="A1644" s="8"/>
      <c r="B1644" s="9"/>
      <c r="C1644" s="10"/>
      <c r="D1644" s="10"/>
      <c r="E1644" s="9"/>
      <c r="F1644" s="11"/>
      <c r="G1644" s="9"/>
      <c r="H1644" s="10"/>
      <c r="I1644" s="10"/>
      <c r="J1644" s="11"/>
      <c r="K1644" s="11"/>
      <c r="L1644" s="11"/>
      <c r="M1644" s="10"/>
      <c r="N1644" s="11"/>
      <c r="O1644" s="10"/>
      <c r="P1644" s="11"/>
      <c r="Q1644" s="11"/>
      <c r="R1644" s="12"/>
    </row>
    <row r="1645" spans="1:18" x14ac:dyDescent="0.25">
      <c r="A1645" s="8"/>
      <c r="B1645" s="9"/>
      <c r="C1645" s="10"/>
      <c r="D1645" s="10"/>
      <c r="E1645" s="9"/>
      <c r="F1645" s="11"/>
      <c r="G1645" s="9"/>
      <c r="H1645" s="10"/>
      <c r="I1645" s="10"/>
      <c r="J1645" s="11"/>
      <c r="K1645" s="11"/>
      <c r="L1645" s="11"/>
      <c r="M1645" s="10"/>
      <c r="N1645" s="11"/>
      <c r="O1645" s="10"/>
      <c r="P1645" s="11"/>
      <c r="Q1645" s="11"/>
      <c r="R1645" s="12"/>
    </row>
    <row r="1646" spans="1:18" x14ac:dyDescent="0.25">
      <c r="A1646" s="8"/>
      <c r="B1646" s="9"/>
      <c r="C1646" s="10"/>
      <c r="D1646" s="10"/>
      <c r="E1646" s="9"/>
      <c r="F1646" s="11"/>
      <c r="G1646" s="9"/>
      <c r="H1646" s="10"/>
      <c r="I1646" s="10"/>
      <c r="J1646" s="11"/>
      <c r="K1646" s="11"/>
      <c r="L1646" s="11"/>
      <c r="M1646" s="10"/>
      <c r="N1646" s="11"/>
      <c r="O1646" s="10"/>
      <c r="P1646" s="11"/>
      <c r="Q1646" s="11"/>
      <c r="R1646" s="12"/>
    </row>
    <row r="1647" spans="1:18" x14ac:dyDescent="0.25">
      <c r="A1647" s="8"/>
      <c r="B1647" s="9"/>
      <c r="C1647" s="10"/>
      <c r="D1647" s="10"/>
      <c r="E1647" s="9"/>
      <c r="F1647" s="11"/>
      <c r="G1647" s="9"/>
      <c r="H1647" s="10"/>
      <c r="I1647" s="10"/>
      <c r="J1647" s="11"/>
      <c r="K1647" s="11"/>
      <c r="L1647" s="11"/>
      <c r="M1647" s="10"/>
      <c r="N1647" s="11"/>
      <c r="O1647" s="10"/>
      <c r="P1647" s="11"/>
      <c r="Q1647" s="11"/>
      <c r="R1647" s="12"/>
    </row>
    <row r="1648" spans="1:18" x14ac:dyDescent="0.25">
      <c r="A1648" s="8"/>
      <c r="B1648" s="9"/>
      <c r="C1648" s="10"/>
      <c r="D1648" s="10"/>
      <c r="E1648" s="9"/>
      <c r="F1648" s="11"/>
      <c r="G1648" s="9"/>
      <c r="H1648" s="10"/>
      <c r="I1648" s="10"/>
      <c r="J1648" s="11"/>
      <c r="K1648" s="11"/>
      <c r="L1648" s="11"/>
      <c r="M1648" s="10"/>
      <c r="N1648" s="11"/>
      <c r="O1648" s="10"/>
      <c r="P1648" s="11"/>
      <c r="Q1648" s="11"/>
      <c r="R1648" s="12"/>
    </row>
    <row r="1649" spans="1:18" x14ac:dyDescent="0.25">
      <c r="A1649" s="8"/>
      <c r="B1649" s="9"/>
      <c r="C1649" s="10"/>
      <c r="D1649" s="10"/>
      <c r="E1649" s="9"/>
      <c r="F1649" s="11"/>
      <c r="G1649" s="9"/>
      <c r="H1649" s="10"/>
      <c r="I1649" s="10"/>
      <c r="J1649" s="11"/>
      <c r="K1649" s="11"/>
      <c r="L1649" s="11"/>
      <c r="M1649" s="10"/>
      <c r="N1649" s="11"/>
      <c r="O1649" s="10"/>
      <c r="P1649" s="11"/>
      <c r="Q1649" s="11"/>
      <c r="R1649" s="12"/>
    </row>
    <row r="1650" spans="1:18" x14ac:dyDescent="0.25">
      <c r="A1650" s="8"/>
      <c r="B1650" s="9"/>
      <c r="C1650" s="10"/>
      <c r="D1650" s="10"/>
      <c r="E1650" s="9"/>
      <c r="F1650" s="11"/>
      <c r="G1650" s="9"/>
      <c r="H1650" s="10"/>
      <c r="I1650" s="10"/>
      <c r="J1650" s="11"/>
      <c r="K1650" s="11"/>
      <c r="L1650" s="11"/>
      <c r="M1650" s="10"/>
      <c r="N1650" s="11"/>
      <c r="O1650" s="10"/>
      <c r="P1650" s="11"/>
      <c r="Q1650" s="11"/>
      <c r="R1650" s="12"/>
    </row>
    <row r="1651" spans="1:18" x14ac:dyDescent="0.25">
      <c r="A1651" s="8"/>
      <c r="B1651" s="9"/>
      <c r="C1651" s="10"/>
      <c r="D1651" s="10"/>
      <c r="E1651" s="9"/>
      <c r="F1651" s="11"/>
      <c r="G1651" s="9"/>
      <c r="H1651" s="10"/>
      <c r="I1651" s="10"/>
      <c r="J1651" s="11"/>
      <c r="K1651" s="11"/>
      <c r="L1651" s="11"/>
      <c r="M1651" s="10"/>
      <c r="N1651" s="11"/>
      <c r="O1651" s="10"/>
      <c r="P1651" s="11"/>
      <c r="Q1651" s="11"/>
      <c r="R1651" s="12"/>
    </row>
    <row r="1652" spans="1:18" x14ac:dyDescent="0.25">
      <c r="A1652" s="8"/>
      <c r="B1652" s="9"/>
      <c r="C1652" s="10"/>
      <c r="D1652" s="10"/>
      <c r="E1652" s="9"/>
      <c r="F1652" s="11"/>
      <c r="G1652" s="9"/>
      <c r="H1652" s="10"/>
      <c r="I1652" s="10"/>
      <c r="J1652" s="11"/>
      <c r="K1652" s="11"/>
      <c r="L1652" s="11"/>
      <c r="M1652" s="10"/>
      <c r="N1652" s="11"/>
      <c r="O1652" s="10"/>
      <c r="P1652" s="11"/>
      <c r="Q1652" s="11"/>
      <c r="R1652" s="12"/>
    </row>
    <row r="1653" spans="1:18" x14ac:dyDescent="0.25">
      <c r="A1653" s="8"/>
      <c r="B1653" s="9"/>
      <c r="C1653" s="10"/>
      <c r="D1653" s="10"/>
      <c r="E1653" s="9"/>
      <c r="F1653" s="11"/>
      <c r="G1653" s="9"/>
      <c r="H1653" s="10"/>
      <c r="I1653" s="10"/>
      <c r="J1653" s="11"/>
      <c r="K1653" s="11"/>
      <c r="L1653" s="11"/>
      <c r="M1653" s="10"/>
      <c r="N1653" s="11"/>
      <c r="O1653" s="10"/>
      <c r="P1653" s="11"/>
      <c r="Q1653" s="11"/>
      <c r="R1653" s="12"/>
    </row>
    <row r="1654" spans="1:18" x14ac:dyDescent="0.25">
      <c r="A1654" s="8"/>
      <c r="B1654" s="9"/>
      <c r="C1654" s="10"/>
      <c r="D1654" s="10"/>
      <c r="E1654" s="9"/>
      <c r="F1654" s="11"/>
      <c r="G1654" s="9"/>
      <c r="H1654" s="10"/>
      <c r="I1654" s="10"/>
      <c r="J1654" s="11"/>
      <c r="K1654" s="11"/>
      <c r="L1654" s="11"/>
      <c r="M1654" s="10"/>
      <c r="N1654" s="11"/>
      <c r="O1654" s="10"/>
      <c r="P1654" s="11"/>
      <c r="Q1654" s="11"/>
      <c r="R1654" s="12"/>
    </row>
    <row r="1655" spans="1:18" x14ac:dyDescent="0.25">
      <c r="A1655" s="8"/>
      <c r="B1655" s="9"/>
      <c r="C1655" s="10"/>
      <c r="D1655" s="10"/>
      <c r="E1655" s="9"/>
      <c r="F1655" s="11"/>
      <c r="G1655" s="9"/>
      <c r="H1655" s="10"/>
      <c r="I1655" s="10"/>
      <c r="J1655" s="11"/>
      <c r="K1655" s="11"/>
      <c r="L1655" s="11"/>
      <c r="M1655" s="10"/>
      <c r="N1655" s="11"/>
      <c r="O1655" s="10"/>
      <c r="P1655" s="11"/>
      <c r="Q1655" s="11"/>
      <c r="R1655" s="12"/>
    </row>
    <row r="1656" spans="1:18" x14ac:dyDescent="0.25">
      <c r="A1656" s="8"/>
      <c r="B1656" s="9"/>
      <c r="C1656" s="10"/>
      <c r="D1656" s="10"/>
      <c r="E1656" s="9"/>
      <c r="F1656" s="11"/>
      <c r="G1656" s="9"/>
      <c r="H1656" s="10"/>
      <c r="I1656" s="10"/>
      <c r="J1656" s="11"/>
      <c r="K1656" s="11"/>
      <c r="L1656" s="11"/>
      <c r="M1656" s="10"/>
      <c r="N1656" s="11"/>
      <c r="O1656" s="10"/>
      <c r="P1656" s="11"/>
      <c r="Q1656" s="11"/>
      <c r="R1656" s="12"/>
    </row>
    <row r="1657" spans="1:18" x14ac:dyDescent="0.25">
      <c r="A1657" s="8"/>
      <c r="B1657" s="9"/>
      <c r="C1657" s="10"/>
      <c r="D1657" s="10"/>
      <c r="E1657" s="9"/>
      <c r="F1657" s="11"/>
      <c r="G1657" s="9"/>
      <c r="H1657" s="10"/>
      <c r="I1657" s="10"/>
      <c r="J1657" s="11"/>
      <c r="K1657" s="11"/>
      <c r="L1657" s="11"/>
      <c r="M1657" s="10"/>
      <c r="N1657" s="11"/>
      <c r="O1657" s="10"/>
      <c r="P1657" s="11"/>
      <c r="Q1657" s="11"/>
      <c r="R1657" s="12"/>
    </row>
    <row r="1658" spans="1:18" x14ac:dyDescent="0.25">
      <c r="A1658" s="8"/>
      <c r="B1658" s="9"/>
      <c r="C1658" s="10"/>
      <c r="D1658" s="10"/>
      <c r="E1658" s="9"/>
      <c r="F1658" s="11"/>
      <c r="G1658" s="9"/>
      <c r="H1658" s="10"/>
      <c r="I1658" s="10"/>
      <c r="J1658" s="11"/>
      <c r="K1658" s="11"/>
      <c r="L1658" s="11"/>
      <c r="M1658" s="10"/>
      <c r="N1658" s="11"/>
      <c r="O1658" s="10"/>
      <c r="P1658" s="11"/>
      <c r="Q1658" s="11"/>
      <c r="R1658" s="12"/>
    </row>
    <row r="1659" spans="1:18" x14ac:dyDescent="0.25">
      <c r="A1659" s="8"/>
      <c r="B1659" s="9"/>
      <c r="C1659" s="10"/>
      <c r="D1659" s="10"/>
      <c r="E1659" s="9"/>
      <c r="F1659" s="11"/>
      <c r="G1659" s="9"/>
      <c r="H1659" s="10"/>
      <c r="I1659" s="10"/>
      <c r="J1659" s="11"/>
      <c r="K1659" s="11"/>
      <c r="L1659" s="11"/>
      <c r="M1659" s="10"/>
      <c r="N1659" s="11"/>
      <c r="O1659" s="10"/>
      <c r="P1659" s="11"/>
      <c r="Q1659" s="11"/>
      <c r="R1659" s="12"/>
    </row>
    <row r="1660" spans="1:18" x14ac:dyDescent="0.25">
      <c r="A1660" s="8"/>
      <c r="B1660" s="9"/>
      <c r="C1660" s="10"/>
      <c r="D1660" s="10"/>
      <c r="E1660" s="9"/>
      <c r="F1660" s="11"/>
      <c r="G1660" s="9"/>
      <c r="H1660" s="10"/>
      <c r="I1660" s="10"/>
      <c r="J1660" s="11"/>
      <c r="K1660" s="11"/>
      <c r="L1660" s="11"/>
      <c r="M1660" s="10"/>
      <c r="N1660" s="11"/>
      <c r="O1660" s="10"/>
      <c r="P1660" s="11"/>
      <c r="Q1660" s="11"/>
      <c r="R1660" s="12"/>
    </row>
    <row r="1661" spans="1:18" x14ac:dyDescent="0.25">
      <c r="A1661" s="8"/>
      <c r="B1661" s="9"/>
      <c r="C1661" s="10"/>
      <c r="D1661" s="10"/>
      <c r="E1661" s="9"/>
      <c r="F1661" s="11"/>
      <c r="G1661" s="9"/>
      <c r="H1661" s="10"/>
      <c r="I1661" s="10"/>
      <c r="J1661" s="11"/>
      <c r="K1661" s="11"/>
      <c r="L1661" s="11"/>
      <c r="M1661" s="10"/>
      <c r="N1661" s="11"/>
      <c r="O1661" s="10"/>
      <c r="P1661" s="11"/>
      <c r="Q1661" s="11"/>
      <c r="R1661" s="12"/>
    </row>
    <row r="1662" spans="1:18" x14ac:dyDescent="0.25">
      <c r="A1662" s="8"/>
      <c r="B1662" s="9"/>
      <c r="C1662" s="10"/>
      <c r="D1662" s="10"/>
      <c r="E1662" s="9"/>
      <c r="F1662" s="11"/>
      <c r="G1662" s="9"/>
      <c r="H1662" s="10"/>
      <c r="I1662" s="10"/>
      <c r="J1662" s="11"/>
      <c r="K1662" s="11"/>
      <c r="L1662" s="11"/>
      <c r="M1662" s="10"/>
      <c r="N1662" s="11"/>
      <c r="O1662" s="10"/>
      <c r="P1662" s="11"/>
      <c r="Q1662" s="11"/>
      <c r="R1662" s="12"/>
    </row>
    <row r="1663" spans="1:18" x14ac:dyDescent="0.25">
      <c r="A1663" s="8"/>
      <c r="B1663" s="9"/>
      <c r="C1663" s="10"/>
      <c r="D1663" s="10"/>
      <c r="E1663" s="9"/>
      <c r="F1663" s="11"/>
      <c r="G1663" s="9"/>
      <c r="H1663" s="10"/>
      <c r="I1663" s="10"/>
      <c r="J1663" s="11"/>
      <c r="K1663" s="11"/>
      <c r="L1663" s="11"/>
      <c r="M1663" s="10"/>
      <c r="N1663" s="11"/>
      <c r="O1663" s="10"/>
      <c r="P1663" s="11"/>
      <c r="Q1663" s="11"/>
      <c r="R1663" s="12"/>
    </row>
    <row r="1664" spans="1:18" x14ac:dyDescent="0.25">
      <c r="A1664" s="8"/>
      <c r="B1664" s="9"/>
      <c r="C1664" s="10"/>
      <c r="D1664" s="10"/>
      <c r="E1664" s="9"/>
      <c r="F1664" s="11"/>
      <c r="G1664" s="9"/>
      <c r="H1664" s="10"/>
      <c r="I1664" s="10"/>
      <c r="J1664" s="11"/>
      <c r="K1664" s="11"/>
      <c r="L1664" s="11"/>
      <c r="M1664" s="10"/>
      <c r="N1664" s="11"/>
      <c r="O1664" s="10"/>
      <c r="P1664" s="11"/>
      <c r="Q1664" s="11"/>
      <c r="R1664" s="12"/>
    </row>
    <row r="1665" spans="1:18" x14ac:dyDescent="0.25">
      <c r="A1665" s="8"/>
      <c r="B1665" s="9"/>
      <c r="C1665" s="10"/>
      <c r="D1665" s="10"/>
      <c r="E1665" s="9"/>
      <c r="F1665" s="11"/>
      <c r="G1665" s="9"/>
      <c r="H1665" s="10"/>
      <c r="I1665" s="10"/>
      <c r="J1665" s="11"/>
      <c r="K1665" s="11"/>
      <c r="L1665" s="11"/>
      <c r="M1665" s="10"/>
      <c r="N1665" s="11"/>
      <c r="O1665" s="10"/>
      <c r="P1665" s="11"/>
      <c r="Q1665" s="11"/>
      <c r="R1665" s="12"/>
    </row>
    <row r="1666" spans="1:18" x14ac:dyDescent="0.25">
      <c r="A1666" s="8"/>
      <c r="B1666" s="9"/>
      <c r="C1666" s="10"/>
      <c r="D1666" s="10"/>
      <c r="E1666" s="9"/>
      <c r="F1666" s="11"/>
      <c r="G1666" s="9"/>
      <c r="H1666" s="10"/>
      <c r="I1666" s="10"/>
      <c r="J1666" s="11"/>
      <c r="K1666" s="11"/>
      <c r="L1666" s="11"/>
      <c r="M1666" s="10"/>
      <c r="N1666" s="11"/>
      <c r="O1666" s="10"/>
      <c r="P1666" s="11"/>
      <c r="Q1666" s="11"/>
      <c r="R1666" s="12"/>
    </row>
    <row r="1667" spans="1:18" x14ac:dyDescent="0.25">
      <c r="A1667" s="8"/>
      <c r="B1667" s="9"/>
      <c r="C1667" s="10"/>
      <c r="D1667" s="10"/>
      <c r="E1667" s="9"/>
      <c r="F1667" s="11"/>
      <c r="G1667" s="9"/>
      <c r="H1667" s="10"/>
      <c r="I1667" s="10"/>
      <c r="J1667" s="11"/>
      <c r="K1667" s="11"/>
      <c r="L1667" s="11"/>
      <c r="M1667" s="10"/>
      <c r="N1667" s="11"/>
      <c r="O1667" s="10"/>
      <c r="P1667" s="11"/>
      <c r="Q1667" s="11"/>
      <c r="R1667" s="12"/>
    </row>
    <row r="1668" spans="1:18" x14ac:dyDescent="0.25">
      <c r="A1668" s="8"/>
      <c r="B1668" s="9"/>
      <c r="C1668" s="10"/>
      <c r="D1668" s="10"/>
      <c r="E1668" s="9"/>
      <c r="F1668" s="11"/>
      <c r="G1668" s="9"/>
      <c r="H1668" s="10"/>
      <c r="I1668" s="10"/>
      <c r="J1668" s="11"/>
      <c r="K1668" s="11"/>
      <c r="L1668" s="11"/>
      <c r="M1668" s="10"/>
      <c r="N1668" s="11"/>
      <c r="O1668" s="10"/>
      <c r="P1668" s="11"/>
      <c r="Q1668" s="11"/>
      <c r="R1668" s="12"/>
    </row>
    <row r="1669" spans="1:18" x14ac:dyDescent="0.25">
      <c r="A1669" s="8"/>
      <c r="B1669" s="9"/>
      <c r="C1669" s="10"/>
      <c r="D1669" s="10"/>
      <c r="E1669" s="9"/>
      <c r="F1669" s="11"/>
      <c r="G1669" s="9"/>
      <c r="H1669" s="10"/>
      <c r="I1669" s="10"/>
      <c r="J1669" s="11"/>
      <c r="K1669" s="11"/>
      <c r="L1669" s="11"/>
      <c r="M1669" s="10"/>
      <c r="N1669" s="11"/>
      <c r="O1669" s="10"/>
      <c r="P1669" s="11"/>
      <c r="Q1669" s="11"/>
      <c r="R1669" s="12"/>
    </row>
    <row r="1670" spans="1:18" x14ac:dyDescent="0.25">
      <c r="A1670" s="8"/>
      <c r="B1670" s="9"/>
      <c r="C1670" s="10"/>
      <c r="D1670" s="10"/>
      <c r="E1670" s="9"/>
      <c r="F1670" s="11"/>
      <c r="G1670" s="9"/>
      <c r="H1670" s="10"/>
      <c r="I1670" s="10"/>
      <c r="J1670" s="11"/>
      <c r="K1670" s="11"/>
      <c r="L1670" s="11"/>
      <c r="M1670" s="10"/>
      <c r="N1670" s="11"/>
      <c r="O1670" s="10"/>
      <c r="P1670" s="11"/>
      <c r="Q1670" s="11"/>
      <c r="R1670" s="12"/>
    </row>
    <row r="1671" spans="1:18" x14ac:dyDescent="0.25">
      <c r="A1671" s="8"/>
      <c r="B1671" s="9"/>
      <c r="C1671" s="10"/>
      <c r="D1671" s="10"/>
      <c r="E1671" s="9"/>
      <c r="F1671" s="11"/>
      <c r="G1671" s="9"/>
      <c r="H1671" s="10"/>
      <c r="I1671" s="10"/>
      <c r="J1671" s="11"/>
      <c r="K1671" s="11"/>
      <c r="L1671" s="11"/>
      <c r="M1671" s="10"/>
      <c r="N1671" s="11"/>
      <c r="O1671" s="10"/>
      <c r="P1671" s="11"/>
      <c r="Q1671" s="11"/>
      <c r="R1671" s="12"/>
    </row>
    <row r="1672" spans="1:18" x14ac:dyDescent="0.25">
      <c r="A1672" s="8"/>
      <c r="B1672" s="9"/>
      <c r="C1672" s="10"/>
      <c r="D1672" s="10"/>
      <c r="E1672" s="9"/>
      <c r="F1672" s="11"/>
      <c r="G1672" s="9"/>
      <c r="H1672" s="10"/>
      <c r="I1672" s="10"/>
      <c r="J1672" s="11"/>
      <c r="K1672" s="11"/>
      <c r="L1672" s="11"/>
      <c r="M1672" s="10"/>
      <c r="N1672" s="11"/>
      <c r="O1672" s="10"/>
      <c r="P1672" s="11"/>
      <c r="Q1672" s="11"/>
      <c r="R1672" s="12"/>
    </row>
    <row r="1673" spans="1:18" x14ac:dyDescent="0.25">
      <c r="A1673" s="8"/>
      <c r="B1673" s="9"/>
      <c r="C1673" s="10"/>
      <c r="D1673" s="10"/>
      <c r="E1673" s="9"/>
      <c r="F1673" s="11"/>
      <c r="G1673" s="9"/>
      <c r="H1673" s="10"/>
      <c r="I1673" s="10"/>
      <c r="J1673" s="11"/>
      <c r="K1673" s="11"/>
      <c r="L1673" s="11"/>
      <c r="M1673" s="10"/>
      <c r="N1673" s="11"/>
      <c r="O1673" s="10"/>
      <c r="P1673" s="11"/>
      <c r="Q1673" s="11"/>
      <c r="R1673" s="12"/>
    </row>
    <row r="1674" spans="1:18" x14ac:dyDescent="0.25">
      <c r="A1674" s="8"/>
      <c r="B1674" s="9"/>
      <c r="C1674" s="10"/>
      <c r="D1674" s="10"/>
      <c r="E1674" s="9"/>
      <c r="F1674" s="11"/>
      <c r="G1674" s="9"/>
      <c r="H1674" s="10"/>
      <c r="I1674" s="10"/>
      <c r="J1674" s="11"/>
      <c r="K1674" s="11"/>
      <c r="L1674" s="11"/>
      <c r="M1674" s="10"/>
      <c r="N1674" s="11"/>
      <c r="O1674" s="10"/>
      <c r="P1674" s="11"/>
      <c r="Q1674" s="11"/>
      <c r="R1674" s="12"/>
    </row>
    <row r="1675" spans="1:18" x14ac:dyDescent="0.25">
      <c r="A1675" s="8"/>
      <c r="B1675" s="9"/>
      <c r="C1675" s="10"/>
      <c r="D1675" s="10"/>
      <c r="E1675" s="9"/>
      <c r="F1675" s="11"/>
      <c r="G1675" s="9"/>
      <c r="H1675" s="10"/>
      <c r="I1675" s="10"/>
      <c r="J1675" s="11"/>
      <c r="K1675" s="11"/>
      <c r="L1675" s="11"/>
      <c r="M1675" s="10"/>
      <c r="N1675" s="11"/>
      <c r="O1675" s="10"/>
      <c r="P1675" s="11"/>
      <c r="Q1675" s="11"/>
      <c r="R1675" s="12"/>
    </row>
    <row r="1676" spans="1:18" x14ac:dyDescent="0.25">
      <c r="A1676" s="8"/>
      <c r="B1676" s="9"/>
      <c r="C1676" s="10"/>
      <c r="D1676" s="10"/>
      <c r="E1676" s="9"/>
      <c r="F1676" s="11"/>
      <c r="G1676" s="9"/>
      <c r="H1676" s="10"/>
      <c r="I1676" s="10"/>
      <c r="J1676" s="11"/>
      <c r="K1676" s="11"/>
      <c r="L1676" s="11"/>
      <c r="M1676" s="10"/>
      <c r="N1676" s="11"/>
      <c r="O1676" s="10"/>
      <c r="P1676" s="11"/>
      <c r="Q1676" s="11"/>
      <c r="R1676" s="12"/>
    </row>
    <row r="1677" spans="1:18" x14ac:dyDescent="0.25">
      <c r="A1677" s="8"/>
      <c r="B1677" s="9"/>
      <c r="C1677" s="10"/>
      <c r="D1677" s="10"/>
      <c r="E1677" s="9"/>
      <c r="F1677" s="11"/>
      <c r="G1677" s="9"/>
      <c r="H1677" s="10"/>
      <c r="I1677" s="10"/>
      <c r="J1677" s="11"/>
      <c r="K1677" s="11"/>
      <c r="L1677" s="11"/>
      <c r="M1677" s="10"/>
      <c r="N1677" s="11"/>
      <c r="O1677" s="10"/>
      <c r="P1677" s="11"/>
      <c r="Q1677" s="11"/>
      <c r="R1677" s="12"/>
    </row>
    <row r="1678" spans="1:18" x14ac:dyDescent="0.25">
      <c r="A1678" s="8"/>
      <c r="B1678" s="9"/>
      <c r="C1678" s="10"/>
      <c r="D1678" s="10"/>
      <c r="E1678" s="9"/>
      <c r="F1678" s="11"/>
      <c r="G1678" s="9"/>
      <c r="H1678" s="10"/>
      <c r="I1678" s="10"/>
      <c r="J1678" s="11"/>
      <c r="K1678" s="11"/>
      <c r="L1678" s="11"/>
      <c r="M1678" s="10"/>
      <c r="N1678" s="11"/>
      <c r="O1678" s="10"/>
      <c r="P1678" s="11"/>
      <c r="Q1678" s="11"/>
      <c r="R1678" s="12"/>
    </row>
    <row r="1679" spans="1:18" x14ac:dyDescent="0.25">
      <c r="A1679" s="8"/>
      <c r="B1679" s="9"/>
      <c r="C1679" s="10"/>
      <c r="D1679" s="10"/>
      <c r="E1679" s="9"/>
      <c r="F1679" s="11"/>
      <c r="G1679" s="9"/>
      <c r="H1679" s="10"/>
      <c r="I1679" s="10"/>
      <c r="J1679" s="11"/>
      <c r="K1679" s="11"/>
      <c r="L1679" s="11"/>
      <c r="M1679" s="10"/>
      <c r="N1679" s="11"/>
      <c r="O1679" s="10"/>
      <c r="P1679" s="11"/>
      <c r="Q1679" s="11"/>
      <c r="R1679" s="12"/>
    </row>
    <row r="1680" spans="1:18" x14ac:dyDescent="0.25">
      <c r="A1680" s="8"/>
      <c r="B1680" s="9"/>
      <c r="C1680" s="10"/>
      <c r="D1680" s="10"/>
      <c r="E1680" s="9"/>
      <c r="F1680" s="11"/>
      <c r="G1680" s="9"/>
      <c r="H1680" s="10"/>
      <c r="I1680" s="10"/>
      <c r="J1680" s="11"/>
      <c r="K1680" s="11"/>
      <c r="L1680" s="11"/>
      <c r="M1680" s="10"/>
      <c r="N1680" s="11"/>
      <c r="O1680" s="10"/>
      <c r="P1680" s="11"/>
      <c r="Q1680" s="11"/>
      <c r="R1680" s="12"/>
    </row>
    <row r="1681" spans="1:18" x14ac:dyDescent="0.25">
      <c r="A1681" s="8"/>
      <c r="B1681" s="9"/>
      <c r="C1681" s="10"/>
      <c r="D1681" s="10"/>
      <c r="E1681" s="9"/>
      <c r="F1681" s="11"/>
      <c r="G1681" s="9"/>
      <c r="H1681" s="10"/>
      <c r="I1681" s="10"/>
      <c r="J1681" s="11"/>
      <c r="K1681" s="11"/>
      <c r="L1681" s="11"/>
      <c r="M1681" s="10"/>
      <c r="N1681" s="11"/>
      <c r="O1681" s="10"/>
      <c r="P1681" s="11"/>
      <c r="Q1681" s="11"/>
      <c r="R1681" s="12"/>
    </row>
    <row r="1682" spans="1:18" x14ac:dyDescent="0.25">
      <c r="A1682" s="8"/>
      <c r="B1682" s="9"/>
      <c r="C1682" s="10"/>
      <c r="D1682" s="10"/>
      <c r="E1682" s="9"/>
      <c r="F1682" s="11"/>
      <c r="G1682" s="9"/>
      <c r="H1682" s="10"/>
      <c r="I1682" s="10"/>
      <c r="J1682" s="11"/>
      <c r="K1682" s="11"/>
      <c r="L1682" s="11"/>
      <c r="M1682" s="10"/>
      <c r="N1682" s="11"/>
      <c r="O1682" s="10"/>
      <c r="P1682" s="11"/>
      <c r="Q1682" s="11"/>
      <c r="R1682" s="12"/>
    </row>
    <row r="1683" spans="1:18" x14ac:dyDescent="0.25">
      <c r="A1683" s="8"/>
      <c r="B1683" s="9"/>
      <c r="C1683" s="10"/>
      <c r="D1683" s="10"/>
      <c r="E1683" s="9"/>
      <c r="F1683" s="11"/>
      <c r="G1683" s="9"/>
      <c r="H1683" s="10"/>
      <c r="I1683" s="10"/>
      <c r="J1683" s="11"/>
      <c r="K1683" s="11"/>
      <c r="L1683" s="11"/>
      <c r="M1683" s="10"/>
      <c r="N1683" s="11"/>
      <c r="O1683" s="10"/>
      <c r="P1683" s="11"/>
      <c r="Q1683" s="11"/>
      <c r="R1683" s="12"/>
    </row>
    <row r="1684" spans="1:18" x14ac:dyDescent="0.25">
      <c r="A1684" s="8"/>
      <c r="B1684" s="9"/>
      <c r="C1684" s="10"/>
      <c r="D1684" s="10"/>
      <c r="E1684" s="9"/>
      <c r="F1684" s="11"/>
      <c r="G1684" s="9"/>
      <c r="H1684" s="10"/>
      <c r="I1684" s="10"/>
      <c r="J1684" s="11"/>
      <c r="K1684" s="11"/>
      <c r="L1684" s="11"/>
      <c r="M1684" s="10"/>
      <c r="N1684" s="11"/>
      <c r="O1684" s="10"/>
      <c r="P1684" s="11"/>
      <c r="Q1684" s="11"/>
      <c r="R1684" s="12"/>
    </row>
    <row r="1685" spans="1:18" x14ac:dyDescent="0.25">
      <c r="A1685" s="8"/>
      <c r="B1685" s="9"/>
      <c r="C1685" s="10"/>
      <c r="D1685" s="10"/>
      <c r="E1685" s="9"/>
      <c r="F1685" s="11"/>
      <c r="G1685" s="9"/>
      <c r="H1685" s="10"/>
      <c r="I1685" s="10"/>
      <c r="J1685" s="11"/>
      <c r="K1685" s="11"/>
      <c r="L1685" s="11"/>
      <c r="M1685" s="10"/>
      <c r="N1685" s="11"/>
      <c r="O1685" s="10"/>
      <c r="P1685" s="11"/>
      <c r="Q1685" s="11"/>
      <c r="R1685" s="12"/>
    </row>
    <row r="1686" spans="1:18" x14ac:dyDescent="0.25">
      <c r="A1686" s="8"/>
      <c r="B1686" s="9"/>
      <c r="C1686" s="10"/>
      <c r="D1686" s="10"/>
      <c r="E1686" s="9"/>
      <c r="F1686" s="11"/>
      <c r="G1686" s="9"/>
      <c r="H1686" s="10"/>
      <c r="I1686" s="10"/>
      <c r="J1686" s="11"/>
      <c r="K1686" s="11"/>
      <c r="L1686" s="11"/>
      <c r="M1686" s="10"/>
      <c r="N1686" s="11"/>
      <c r="O1686" s="10"/>
      <c r="P1686" s="11"/>
      <c r="Q1686" s="11"/>
      <c r="R1686" s="12"/>
    </row>
    <row r="1687" spans="1:18" x14ac:dyDescent="0.25">
      <c r="A1687" s="8"/>
      <c r="B1687" s="9"/>
      <c r="C1687" s="10"/>
      <c r="D1687" s="10"/>
      <c r="E1687" s="9"/>
      <c r="F1687" s="11"/>
      <c r="G1687" s="9"/>
      <c r="H1687" s="10"/>
      <c r="I1687" s="10"/>
      <c r="J1687" s="11"/>
      <c r="K1687" s="11"/>
      <c r="L1687" s="11"/>
      <c r="M1687" s="10"/>
      <c r="N1687" s="11"/>
      <c r="O1687" s="10"/>
      <c r="P1687" s="11"/>
      <c r="Q1687" s="11"/>
      <c r="R1687" s="12"/>
    </row>
    <row r="1688" spans="1:18" x14ac:dyDescent="0.25">
      <c r="A1688" s="8"/>
      <c r="B1688" s="9"/>
      <c r="C1688" s="10"/>
      <c r="D1688" s="10"/>
      <c r="E1688" s="9"/>
      <c r="F1688" s="11"/>
      <c r="G1688" s="9"/>
      <c r="H1688" s="10"/>
      <c r="I1688" s="10"/>
      <c r="J1688" s="11"/>
      <c r="K1688" s="11"/>
      <c r="L1688" s="11"/>
      <c r="M1688" s="10"/>
      <c r="N1688" s="11"/>
      <c r="O1688" s="10"/>
      <c r="P1688" s="11"/>
      <c r="Q1688" s="11"/>
      <c r="R1688" s="12"/>
    </row>
    <row r="1689" spans="1:18" x14ac:dyDescent="0.25">
      <c r="A1689" s="8"/>
      <c r="B1689" s="9"/>
      <c r="C1689" s="10"/>
      <c r="D1689" s="10"/>
      <c r="E1689" s="9"/>
      <c r="F1689" s="11"/>
      <c r="G1689" s="9"/>
      <c r="H1689" s="10"/>
      <c r="I1689" s="10"/>
      <c r="J1689" s="11"/>
      <c r="K1689" s="11"/>
      <c r="L1689" s="11"/>
      <c r="M1689" s="10"/>
      <c r="N1689" s="11"/>
      <c r="O1689" s="10"/>
      <c r="P1689" s="11"/>
      <c r="Q1689" s="11"/>
      <c r="R1689" s="12"/>
    </row>
    <row r="1690" spans="1:18" x14ac:dyDescent="0.25">
      <c r="A1690" s="8"/>
      <c r="B1690" s="9"/>
      <c r="C1690" s="10"/>
      <c r="D1690" s="10"/>
      <c r="E1690" s="9"/>
      <c r="F1690" s="11"/>
      <c r="G1690" s="9"/>
      <c r="H1690" s="10"/>
      <c r="I1690" s="10"/>
      <c r="J1690" s="11"/>
      <c r="K1690" s="11"/>
      <c r="L1690" s="11"/>
      <c r="M1690" s="10"/>
      <c r="N1690" s="11"/>
      <c r="O1690" s="10"/>
      <c r="P1690" s="11"/>
      <c r="Q1690" s="11"/>
      <c r="R1690" s="12"/>
    </row>
    <row r="1691" spans="1:18" x14ac:dyDescent="0.25">
      <c r="A1691" s="8"/>
      <c r="B1691" s="9"/>
      <c r="C1691" s="10"/>
      <c r="D1691" s="10"/>
      <c r="E1691" s="9"/>
      <c r="F1691" s="11"/>
      <c r="G1691" s="9"/>
      <c r="H1691" s="10"/>
      <c r="I1691" s="10"/>
      <c r="J1691" s="11"/>
      <c r="K1691" s="11"/>
      <c r="L1691" s="11"/>
      <c r="M1691" s="10"/>
      <c r="N1691" s="11"/>
      <c r="O1691" s="10"/>
      <c r="P1691" s="11"/>
      <c r="Q1691" s="11"/>
      <c r="R1691" s="12"/>
    </row>
    <row r="1692" spans="1:18" x14ac:dyDescent="0.25">
      <c r="A1692" s="8"/>
      <c r="B1692" s="9"/>
      <c r="C1692" s="10"/>
      <c r="D1692" s="10"/>
      <c r="E1692" s="9"/>
      <c r="F1692" s="11"/>
      <c r="G1692" s="9"/>
      <c r="H1692" s="10"/>
      <c r="I1692" s="10"/>
      <c r="J1692" s="11"/>
      <c r="K1692" s="11"/>
      <c r="L1692" s="11"/>
      <c r="M1692" s="10"/>
      <c r="N1692" s="11"/>
      <c r="O1692" s="10"/>
      <c r="P1692" s="11"/>
      <c r="Q1692" s="11"/>
      <c r="R1692" s="12"/>
    </row>
    <row r="1693" spans="1:18" x14ac:dyDescent="0.25">
      <c r="A1693" s="8"/>
      <c r="B1693" s="9"/>
      <c r="C1693" s="10"/>
      <c r="D1693" s="10"/>
      <c r="E1693" s="9"/>
      <c r="F1693" s="11"/>
      <c r="G1693" s="9"/>
      <c r="H1693" s="10"/>
      <c r="I1693" s="10"/>
      <c r="J1693" s="11"/>
      <c r="K1693" s="11"/>
      <c r="L1693" s="11"/>
      <c r="M1693" s="10"/>
      <c r="N1693" s="11"/>
      <c r="O1693" s="10"/>
      <c r="P1693" s="11"/>
      <c r="Q1693" s="11"/>
      <c r="R1693" s="12"/>
    </row>
    <row r="1694" spans="1:18" x14ac:dyDescent="0.25">
      <c r="A1694" s="8"/>
      <c r="B1694" s="9"/>
      <c r="C1694" s="10"/>
      <c r="D1694" s="10"/>
      <c r="E1694" s="9"/>
      <c r="F1694" s="11"/>
      <c r="G1694" s="9"/>
      <c r="H1694" s="10"/>
      <c r="I1694" s="10"/>
      <c r="J1694" s="11"/>
      <c r="K1694" s="11"/>
      <c r="L1694" s="11"/>
      <c r="M1694" s="10"/>
      <c r="N1694" s="11"/>
      <c r="O1694" s="10"/>
      <c r="P1694" s="11"/>
      <c r="Q1694" s="11"/>
      <c r="R1694" s="12"/>
    </row>
    <row r="1695" spans="1:18" x14ac:dyDescent="0.25">
      <c r="A1695" s="8"/>
      <c r="B1695" s="9"/>
      <c r="C1695" s="10"/>
      <c r="D1695" s="10"/>
      <c r="E1695" s="9"/>
      <c r="F1695" s="11"/>
      <c r="G1695" s="9"/>
      <c r="H1695" s="10"/>
      <c r="I1695" s="10"/>
      <c r="J1695" s="11"/>
      <c r="K1695" s="11"/>
      <c r="L1695" s="11"/>
      <c r="M1695" s="10"/>
      <c r="N1695" s="11"/>
      <c r="O1695" s="10"/>
      <c r="P1695" s="11"/>
      <c r="Q1695" s="11"/>
      <c r="R1695" s="12"/>
    </row>
    <row r="1696" spans="1:18" x14ac:dyDescent="0.25">
      <c r="A1696" s="8"/>
      <c r="B1696" s="9"/>
      <c r="C1696" s="10"/>
      <c r="D1696" s="10"/>
      <c r="E1696" s="9"/>
      <c r="F1696" s="11"/>
      <c r="G1696" s="9"/>
      <c r="H1696" s="10"/>
      <c r="I1696" s="10"/>
      <c r="J1696" s="11"/>
      <c r="K1696" s="11"/>
      <c r="L1696" s="11"/>
      <c r="M1696" s="10"/>
      <c r="N1696" s="11"/>
      <c r="O1696" s="10"/>
      <c r="P1696" s="11"/>
      <c r="Q1696" s="11"/>
      <c r="R1696" s="12"/>
    </row>
    <row r="1697" spans="1:18" x14ac:dyDescent="0.25">
      <c r="A1697" s="8"/>
      <c r="B1697" s="9"/>
      <c r="C1697" s="10"/>
      <c r="D1697" s="10"/>
      <c r="E1697" s="9"/>
      <c r="F1697" s="11"/>
      <c r="G1697" s="9"/>
      <c r="H1697" s="10"/>
      <c r="I1697" s="10"/>
      <c r="J1697" s="11"/>
      <c r="K1697" s="11"/>
      <c r="L1697" s="11"/>
      <c r="M1697" s="10"/>
      <c r="N1697" s="11"/>
      <c r="O1697" s="10"/>
      <c r="P1697" s="11"/>
      <c r="Q1697" s="11"/>
      <c r="R1697" s="12"/>
    </row>
    <row r="1698" spans="1:18" x14ac:dyDescent="0.25">
      <c r="A1698" s="8"/>
      <c r="B1698" s="9"/>
      <c r="C1698" s="10"/>
      <c r="D1698" s="10"/>
      <c r="E1698" s="9"/>
      <c r="F1698" s="11"/>
      <c r="G1698" s="9"/>
      <c r="H1698" s="10"/>
      <c r="I1698" s="10"/>
      <c r="J1698" s="11"/>
      <c r="K1698" s="11"/>
      <c r="L1698" s="11"/>
      <c r="M1698" s="10"/>
      <c r="N1698" s="11"/>
      <c r="O1698" s="10"/>
      <c r="P1698" s="11"/>
      <c r="Q1698" s="11"/>
      <c r="R1698" s="12"/>
    </row>
    <row r="1699" spans="1:18" x14ac:dyDescent="0.25">
      <c r="A1699" s="8"/>
      <c r="B1699" s="9"/>
      <c r="C1699" s="10"/>
      <c r="D1699" s="10"/>
      <c r="E1699" s="9"/>
      <c r="F1699" s="11"/>
      <c r="G1699" s="9"/>
      <c r="H1699" s="10"/>
      <c r="I1699" s="10"/>
      <c r="J1699" s="11"/>
      <c r="K1699" s="11"/>
      <c r="L1699" s="11"/>
      <c r="M1699" s="10"/>
      <c r="N1699" s="11"/>
      <c r="O1699" s="10"/>
      <c r="P1699" s="11"/>
      <c r="Q1699" s="11"/>
      <c r="R1699" s="12"/>
    </row>
    <row r="1700" spans="1:18" x14ac:dyDescent="0.25">
      <c r="A1700" s="8"/>
      <c r="B1700" s="9"/>
      <c r="C1700" s="10"/>
      <c r="D1700" s="10"/>
      <c r="E1700" s="9"/>
      <c r="F1700" s="11"/>
      <c r="G1700" s="9"/>
      <c r="H1700" s="10"/>
      <c r="I1700" s="10"/>
      <c r="J1700" s="11"/>
      <c r="K1700" s="11"/>
      <c r="L1700" s="11"/>
      <c r="M1700" s="10"/>
      <c r="N1700" s="11"/>
      <c r="O1700" s="10"/>
      <c r="P1700" s="11"/>
      <c r="Q1700" s="11"/>
      <c r="R1700" s="12"/>
    </row>
    <row r="1701" spans="1:18" x14ac:dyDescent="0.25">
      <c r="A1701" s="8"/>
      <c r="B1701" s="9"/>
      <c r="C1701" s="10"/>
      <c r="D1701" s="10"/>
      <c r="E1701" s="9"/>
      <c r="F1701" s="11"/>
      <c r="G1701" s="9"/>
      <c r="H1701" s="10"/>
      <c r="I1701" s="10"/>
      <c r="J1701" s="11"/>
      <c r="K1701" s="11"/>
      <c r="L1701" s="11"/>
      <c r="M1701" s="10"/>
      <c r="N1701" s="11"/>
      <c r="O1701" s="10"/>
      <c r="P1701" s="11"/>
      <c r="Q1701" s="11"/>
      <c r="R1701" s="12"/>
    </row>
    <row r="1702" spans="1:18" x14ac:dyDescent="0.25">
      <c r="A1702" s="8"/>
      <c r="B1702" s="9"/>
      <c r="C1702" s="10"/>
      <c r="D1702" s="10"/>
      <c r="E1702" s="9"/>
      <c r="F1702" s="11"/>
      <c r="G1702" s="9"/>
      <c r="H1702" s="10"/>
      <c r="I1702" s="10"/>
      <c r="J1702" s="11"/>
      <c r="K1702" s="11"/>
      <c r="L1702" s="11"/>
      <c r="M1702" s="10"/>
      <c r="N1702" s="11"/>
      <c r="O1702" s="10"/>
      <c r="P1702" s="11"/>
      <c r="Q1702" s="11"/>
      <c r="R1702" s="12"/>
    </row>
    <row r="1703" spans="1:18" x14ac:dyDescent="0.25">
      <c r="A1703" s="8"/>
      <c r="B1703" s="9"/>
      <c r="C1703" s="10"/>
      <c r="D1703" s="10"/>
      <c r="E1703" s="9"/>
      <c r="F1703" s="11"/>
      <c r="G1703" s="9"/>
      <c r="H1703" s="10"/>
      <c r="I1703" s="10"/>
      <c r="J1703" s="11"/>
      <c r="K1703" s="11"/>
      <c r="L1703" s="11"/>
      <c r="M1703" s="10"/>
      <c r="N1703" s="11"/>
      <c r="O1703" s="10"/>
      <c r="P1703" s="11"/>
      <c r="Q1703" s="11"/>
      <c r="R1703" s="12"/>
    </row>
    <row r="1704" spans="1:18" x14ac:dyDescent="0.25">
      <c r="A1704" s="8"/>
      <c r="B1704" s="9"/>
      <c r="C1704" s="10"/>
      <c r="D1704" s="10"/>
      <c r="E1704" s="9"/>
      <c r="F1704" s="11"/>
      <c r="G1704" s="9"/>
      <c r="H1704" s="10"/>
      <c r="I1704" s="10"/>
      <c r="J1704" s="11"/>
      <c r="K1704" s="11"/>
      <c r="L1704" s="11"/>
      <c r="M1704" s="10"/>
      <c r="N1704" s="11"/>
      <c r="O1704" s="10"/>
      <c r="P1704" s="11"/>
      <c r="Q1704" s="11"/>
      <c r="R1704" s="12"/>
    </row>
    <row r="1705" spans="1:18" x14ac:dyDescent="0.25">
      <c r="A1705" s="8"/>
      <c r="B1705" s="9"/>
      <c r="C1705" s="10"/>
      <c r="D1705" s="10"/>
      <c r="E1705" s="9"/>
      <c r="F1705" s="11"/>
      <c r="G1705" s="9"/>
      <c r="H1705" s="10"/>
      <c r="I1705" s="10"/>
      <c r="J1705" s="11"/>
      <c r="K1705" s="11"/>
      <c r="L1705" s="11"/>
      <c r="M1705" s="10"/>
      <c r="N1705" s="11"/>
      <c r="O1705" s="10"/>
      <c r="P1705" s="11"/>
      <c r="Q1705" s="11"/>
      <c r="R1705" s="12"/>
    </row>
    <row r="1706" spans="1:18" x14ac:dyDescent="0.25">
      <c r="A1706" s="8"/>
      <c r="B1706" s="9"/>
      <c r="C1706" s="10"/>
      <c r="D1706" s="10"/>
      <c r="E1706" s="9"/>
      <c r="F1706" s="11"/>
      <c r="G1706" s="9"/>
      <c r="H1706" s="10"/>
      <c r="I1706" s="10"/>
      <c r="J1706" s="11"/>
      <c r="K1706" s="11"/>
      <c r="L1706" s="11"/>
      <c r="M1706" s="10"/>
      <c r="N1706" s="11"/>
      <c r="O1706" s="10"/>
      <c r="P1706" s="11"/>
      <c r="Q1706" s="11"/>
      <c r="R1706" s="12"/>
    </row>
    <row r="1707" spans="1:18" x14ac:dyDescent="0.25">
      <c r="A1707" s="8"/>
      <c r="B1707" s="9"/>
      <c r="C1707" s="10"/>
      <c r="D1707" s="10"/>
      <c r="E1707" s="9"/>
      <c r="F1707" s="11"/>
      <c r="G1707" s="9"/>
      <c r="H1707" s="10"/>
      <c r="I1707" s="10"/>
      <c r="J1707" s="11"/>
      <c r="K1707" s="11"/>
      <c r="L1707" s="11"/>
      <c r="M1707" s="10"/>
      <c r="N1707" s="11"/>
      <c r="O1707" s="10"/>
      <c r="P1707" s="11"/>
      <c r="Q1707" s="11"/>
      <c r="R1707" s="12"/>
    </row>
    <row r="1708" spans="1:18" x14ac:dyDescent="0.25">
      <c r="A1708" s="8"/>
      <c r="B1708" s="9"/>
      <c r="C1708" s="10"/>
      <c r="D1708" s="10"/>
      <c r="E1708" s="9"/>
      <c r="F1708" s="11"/>
      <c r="G1708" s="9"/>
      <c r="H1708" s="10"/>
      <c r="I1708" s="10"/>
      <c r="J1708" s="11"/>
      <c r="K1708" s="11"/>
      <c r="L1708" s="11"/>
      <c r="M1708" s="10"/>
      <c r="N1708" s="11"/>
      <c r="O1708" s="10"/>
      <c r="P1708" s="11"/>
      <c r="Q1708" s="11"/>
      <c r="R1708" s="12"/>
    </row>
    <row r="1709" spans="1:18" x14ac:dyDescent="0.25">
      <c r="A1709" s="8"/>
      <c r="B1709" s="9"/>
      <c r="C1709" s="10"/>
      <c r="D1709" s="10"/>
      <c r="E1709" s="9"/>
      <c r="F1709" s="11"/>
      <c r="G1709" s="9"/>
      <c r="H1709" s="10"/>
      <c r="I1709" s="10"/>
      <c r="J1709" s="11"/>
      <c r="K1709" s="11"/>
      <c r="L1709" s="11"/>
      <c r="M1709" s="10"/>
      <c r="N1709" s="11"/>
      <c r="O1709" s="10"/>
      <c r="P1709" s="11"/>
      <c r="Q1709" s="11"/>
      <c r="R1709" s="12"/>
    </row>
    <row r="1710" spans="1:18" x14ac:dyDescent="0.25">
      <c r="A1710" s="8"/>
      <c r="B1710" s="9"/>
      <c r="C1710" s="10"/>
      <c r="D1710" s="10"/>
      <c r="E1710" s="9"/>
      <c r="F1710" s="11"/>
      <c r="G1710" s="9"/>
      <c r="H1710" s="10"/>
      <c r="I1710" s="10"/>
      <c r="J1710" s="11"/>
      <c r="K1710" s="11"/>
      <c r="L1710" s="11"/>
      <c r="M1710" s="10"/>
      <c r="N1710" s="11"/>
      <c r="O1710" s="10"/>
      <c r="P1710" s="11"/>
      <c r="Q1710" s="11"/>
      <c r="R1710" s="12"/>
    </row>
    <row r="1711" spans="1:18" x14ac:dyDescent="0.25">
      <c r="A1711" s="8"/>
      <c r="B1711" s="9"/>
      <c r="C1711" s="10"/>
      <c r="D1711" s="10"/>
      <c r="E1711" s="9"/>
      <c r="F1711" s="11"/>
      <c r="G1711" s="9"/>
      <c r="H1711" s="10"/>
      <c r="I1711" s="10"/>
      <c r="J1711" s="11"/>
      <c r="K1711" s="11"/>
      <c r="L1711" s="11"/>
      <c r="M1711" s="10"/>
      <c r="N1711" s="11"/>
      <c r="O1711" s="10"/>
      <c r="P1711" s="11"/>
      <c r="Q1711" s="11"/>
      <c r="R1711" s="12"/>
    </row>
    <row r="1712" spans="1:18" x14ac:dyDescent="0.25">
      <c r="A1712" s="8"/>
      <c r="B1712" s="9"/>
      <c r="C1712" s="10"/>
      <c r="D1712" s="10"/>
      <c r="E1712" s="9"/>
      <c r="F1712" s="11"/>
      <c r="G1712" s="9"/>
      <c r="H1712" s="10"/>
      <c r="I1712" s="10"/>
      <c r="J1712" s="11"/>
      <c r="K1712" s="11"/>
      <c r="L1712" s="11"/>
      <c r="M1712" s="10"/>
      <c r="N1712" s="11"/>
      <c r="O1712" s="10"/>
      <c r="P1712" s="11"/>
      <c r="Q1712" s="11"/>
      <c r="R1712" s="12"/>
    </row>
    <row r="1713" spans="1:18" x14ac:dyDescent="0.25">
      <c r="A1713" s="8"/>
      <c r="B1713" s="9"/>
      <c r="C1713" s="10"/>
      <c r="D1713" s="10"/>
      <c r="E1713" s="9"/>
      <c r="F1713" s="11"/>
      <c r="G1713" s="9"/>
      <c r="H1713" s="10"/>
      <c r="I1713" s="10"/>
      <c r="J1713" s="11"/>
      <c r="K1713" s="11"/>
      <c r="L1713" s="11"/>
      <c r="M1713" s="10"/>
      <c r="N1713" s="11"/>
      <c r="O1713" s="10"/>
      <c r="P1713" s="11"/>
      <c r="Q1713" s="11"/>
      <c r="R1713" s="12"/>
    </row>
    <row r="1714" spans="1:18" x14ac:dyDescent="0.25">
      <c r="A1714" s="8"/>
      <c r="B1714" s="9"/>
      <c r="C1714" s="10"/>
      <c r="D1714" s="10"/>
      <c r="E1714" s="9"/>
      <c r="F1714" s="11"/>
      <c r="G1714" s="9"/>
      <c r="H1714" s="10"/>
      <c r="I1714" s="10"/>
      <c r="J1714" s="11"/>
      <c r="K1714" s="11"/>
      <c r="L1714" s="11"/>
      <c r="M1714" s="10"/>
      <c r="N1714" s="11"/>
      <c r="O1714" s="10"/>
      <c r="P1714" s="11"/>
      <c r="Q1714" s="11"/>
      <c r="R1714" s="12"/>
    </row>
    <row r="1715" spans="1:18" x14ac:dyDescent="0.25">
      <c r="A1715" s="8"/>
      <c r="B1715" s="9"/>
      <c r="C1715" s="10"/>
      <c r="D1715" s="10"/>
      <c r="E1715" s="9"/>
      <c r="F1715" s="11"/>
      <c r="G1715" s="9"/>
      <c r="H1715" s="10"/>
      <c r="I1715" s="10"/>
      <c r="J1715" s="11"/>
      <c r="K1715" s="11"/>
      <c r="L1715" s="11"/>
      <c r="M1715" s="10"/>
      <c r="N1715" s="11"/>
      <c r="O1715" s="10"/>
      <c r="P1715" s="11"/>
      <c r="Q1715" s="11"/>
      <c r="R1715" s="12"/>
    </row>
    <row r="1716" spans="1:18" x14ac:dyDescent="0.25">
      <c r="A1716" s="8"/>
      <c r="B1716" s="9"/>
      <c r="C1716" s="10"/>
      <c r="D1716" s="10"/>
      <c r="E1716" s="9"/>
      <c r="F1716" s="11"/>
      <c r="G1716" s="9"/>
      <c r="H1716" s="10"/>
      <c r="I1716" s="10"/>
      <c r="J1716" s="11"/>
      <c r="K1716" s="11"/>
      <c r="L1716" s="11"/>
      <c r="M1716" s="10"/>
      <c r="N1716" s="11"/>
      <c r="O1716" s="10"/>
      <c r="P1716" s="11"/>
      <c r="Q1716" s="11"/>
      <c r="R1716" s="12"/>
    </row>
    <row r="1717" spans="1:18" x14ac:dyDescent="0.25">
      <c r="A1717" s="8"/>
      <c r="B1717" s="9"/>
      <c r="C1717" s="10"/>
      <c r="D1717" s="10"/>
      <c r="E1717" s="9"/>
      <c r="F1717" s="11"/>
      <c r="G1717" s="9"/>
      <c r="H1717" s="10"/>
      <c r="I1717" s="10"/>
      <c r="J1717" s="11"/>
      <c r="K1717" s="11"/>
      <c r="L1717" s="11"/>
      <c r="M1717" s="10"/>
      <c r="N1717" s="11"/>
      <c r="O1717" s="10"/>
      <c r="P1717" s="11"/>
      <c r="Q1717" s="11"/>
      <c r="R1717" s="12"/>
    </row>
    <row r="1718" spans="1:18" x14ac:dyDescent="0.25">
      <c r="A1718" s="8"/>
      <c r="B1718" s="9"/>
      <c r="C1718" s="10"/>
      <c r="D1718" s="10"/>
      <c r="E1718" s="9"/>
      <c r="F1718" s="11"/>
      <c r="G1718" s="9"/>
      <c r="H1718" s="10"/>
      <c r="I1718" s="10"/>
      <c r="J1718" s="11"/>
      <c r="K1718" s="11"/>
      <c r="L1718" s="11"/>
      <c r="M1718" s="10"/>
      <c r="N1718" s="11"/>
      <c r="O1718" s="10"/>
      <c r="P1718" s="11"/>
      <c r="Q1718" s="11"/>
      <c r="R1718" s="12"/>
    </row>
    <row r="1719" spans="1:18" x14ac:dyDescent="0.25">
      <c r="A1719" s="8"/>
      <c r="B1719" s="9"/>
      <c r="C1719" s="10"/>
      <c r="D1719" s="10"/>
      <c r="E1719" s="9"/>
      <c r="F1719" s="11"/>
      <c r="G1719" s="9"/>
      <c r="H1719" s="10"/>
      <c r="I1719" s="10"/>
      <c r="J1719" s="11"/>
      <c r="K1719" s="11"/>
      <c r="L1719" s="11"/>
      <c r="M1719" s="10"/>
      <c r="N1719" s="11"/>
      <c r="O1719" s="10"/>
      <c r="P1719" s="11"/>
      <c r="Q1719" s="11"/>
      <c r="R1719" s="12"/>
    </row>
    <row r="1720" spans="1:18" x14ac:dyDescent="0.25">
      <c r="A1720" s="8"/>
      <c r="B1720" s="9"/>
      <c r="C1720" s="10"/>
      <c r="D1720" s="10"/>
      <c r="E1720" s="9"/>
      <c r="F1720" s="11"/>
      <c r="G1720" s="9"/>
      <c r="H1720" s="10"/>
      <c r="I1720" s="10"/>
      <c r="J1720" s="11"/>
      <c r="K1720" s="11"/>
      <c r="L1720" s="11"/>
      <c r="M1720" s="10"/>
      <c r="N1720" s="11"/>
      <c r="O1720" s="10"/>
      <c r="P1720" s="11"/>
      <c r="Q1720" s="11"/>
      <c r="R1720" s="12"/>
    </row>
    <row r="1721" spans="1:18" x14ac:dyDescent="0.25">
      <c r="A1721" s="8"/>
      <c r="B1721" s="9"/>
      <c r="C1721" s="10"/>
      <c r="D1721" s="10"/>
      <c r="E1721" s="9"/>
      <c r="F1721" s="11"/>
      <c r="G1721" s="9"/>
      <c r="H1721" s="10"/>
      <c r="I1721" s="10"/>
      <c r="J1721" s="11"/>
      <c r="K1721" s="11"/>
      <c r="L1721" s="11"/>
      <c r="M1721" s="10"/>
      <c r="N1721" s="11"/>
      <c r="O1721" s="10"/>
      <c r="P1721" s="11"/>
      <c r="Q1721" s="11"/>
      <c r="R1721" s="12"/>
    </row>
    <row r="1722" spans="1:18" x14ac:dyDescent="0.25">
      <c r="A1722" s="8"/>
      <c r="B1722" s="9"/>
      <c r="C1722" s="10"/>
      <c r="D1722" s="10"/>
      <c r="E1722" s="9"/>
      <c r="F1722" s="11"/>
      <c r="G1722" s="9"/>
      <c r="H1722" s="10"/>
      <c r="I1722" s="10"/>
      <c r="J1722" s="11"/>
      <c r="K1722" s="11"/>
      <c r="L1722" s="11"/>
      <c r="M1722" s="10"/>
      <c r="N1722" s="11"/>
      <c r="O1722" s="10"/>
      <c r="P1722" s="11"/>
      <c r="Q1722" s="11"/>
      <c r="R1722" s="12"/>
    </row>
    <row r="1723" spans="1:18" x14ac:dyDescent="0.25">
      <c r="A1723" s="8"/>
      <c r="B1723" s="9"/>
      <c r="C1723" s="10"/>
      <c r="D1723" s="10"/>
      <c r="E1723" s="9"/>
      <c r="F1723" s="11"/>
      <c r="G1723" s="9"/>
      <c r="H1723" s="10"/>
      <c r="I1723" s="10"/>
      <c r="J1723" s="11"/>
      <c r="K1723" s="11"/>
      <c r="L1723" s="11"/>
      <c r="M1723" s="10"/>
      <c r="N1723" s="11"/>
      <c r="O1723" s="10"/>
      <c r="P1723" s="11"/>
      <c r="Q1723" s="11"/>
      <c r="R1723" s="12"/>
    </row>
    <row r="1724" spans="1:18" x14ac:dyDescent="0.25">
      <c r="A1724" s="8"/>
      <c r="B1724" s="9"/>
      <c r="C1724" s="10"/>
      <c r="D1724" s="10"/>
      <c r="E1724" s="9"/>
      <c r="F1724" s="11"/>
      <c r="G1724" s="9"/>
      <c r="H1724" s="10"/>
      <c r="I1724" s="10"/>
      <c r="J1724" s="11"/>
      <c r="K1724" s="11"/>
      <c r="L1724" s="11"/>
      <c r="M1724" s="10"/>
      <c r="N1724" s="11"/>
      <c r="O1724" s="10"/>
      <c r="P1724" s="11"/>
      <c r="Q1724" s="11"/>
      <c r="R1724" s="12"/>
    </row>
    <row r="1725" spans="1:18" x14ac:dyDescent="0.25">
      <c r="A1725" s="8"/>
      <c r="B1725" s="9"/>
      <c r="C1725" s="10"/>
      <c r="D1725" s="10"/>
      <c r="E1725" s="9"/>
      <c r="F1725" s="11"/>
      <c r="G1725" s="9"/>
      <c r="H1725" s="10"/>
      <c r="I1725" s="10"/>
      <c r="J1725" s="11"/>
      <c r="K1725" s="11"/>
      <c r="L1725" s="11"/>
      <c r="M1725" s="10"/>
      <c r="N1725" s="11"/>
      <c r="O1725" s="10"/>
      <c r="P1725" s="11"/>
      <c r="Q1725" s="11"/>
      <c r="R1725" s="12"/>
    </row>
    <row r="1726" spans="1:18" x14ac:dyDescent="0.25">
      <c r="A1726" s="8"/>
      <c r="B1726" s="9"/>
      <c r="C1726" s="10"/>
      <c r="D1726" s="10"/>
      <c r="E1726" s="9"/>
      <c r="F1726" s="11"/>
      <c r="G1726" s="9"/>
      <c r="H1726" s="10"/>
      <c r="I1726" s="10"/>
      <c r="J1726" s="11"/>
      <c r="K1726" s="11"/>
      <c r="L1726" s="11"/>
      <c r="M1726" s="10"/>
      <c r="N1726" s="11"/>
      <c r="O1726" s="10"/>
      <c r="P1726" s="11"/>
      <c r="Q1726" s="11"/>
      <c r="R1726" s="12"/>
    </row>
    <row r="1727" spans="1:18" x14ac:dyDescent="0.25">
      <c r="A1727" s="8"/>
      <c r="B1727" s="9"/>
      <c r="C1727" s="10"/>
      <c r="D1727" s="10"/>
      <c r="E1727" s="9"/>
      <c r="F1727" s="11"/>
      <c r="G1727" s="9"/>
      <c r="H1727" s="10"/>
      <c r="I1727" s="10"/>
      <c r="J1727" s="11"/>
      <c r="K1727" s="11"/>
      <c r="L1727" s="11"/>
      <c r="M1727" s="10"/>
      <c r="N1727" s="11"/>
      <c r="O1727" s="10"/>
      <c r="P1727" s="11"/>
      <c r="Q1727" s="11"/>
      <c r="R1727" s="12"/>
    </row>
    <row r="1728" spans="1:18" x14ac:dyDescent="0.25">
      <c r="A1728" s="8"/>
      <c r="B1728" s="9"/>
      <c r="C1728" s="10"/>
      <c r="D1728" s="10"/>
      <c r="E1728" s="9"/>
      <c r="F1728" s="11"/>
      <c r="G1728" s="9"/>
      <c r="H1728" s="10"/>
      <c r="I1728" s="10"/>
      <c r="J1728" s="11"/>
      <c r="K1728" s="11"/>
      <c r="L1728" s="11"/>
      <c r="M1728" s="10"/>
      <c r="N1728" s="11"/>
      <c r="O1728" s="10"/>
      <c r="P1728" s="11"/>
      <c r="Q1728" s="11"/>
      <c r="R1728" s="12"/>
    </row>
    <row r="1729" spans="1:18" x14ac:dyDescent="0.25">
      <c r="A1729" s="8"/>
      <c r="B1729" s="9"/>
      <c r="C1729" s="10"/>
      <c r="D1729" s="10"/>
      <c r="E1729" s="9"/>
      <c r="F1729" s="11"/>
      <c r="G1729" s="9"/>
      <c r="H1729" s="10"/>
      <c r="I1729" s="10"/>
      <c r="J1729" s="11"/>
      <c r="K1729" s="11"/>
      <c r="L1729" s="11"/>
      <c r="M1729" s="10"/>
      <c r="N1729" s="11"/>
      <c r="O1729" s="10"/>
      <c r="P1729" s="11"/>
      <c r="Q1729" s="11"/>
      <c r="R1729" s="12"/>
    </row>
    <row r="1730" spans="1:18" x14ac:dyDescent="0.25">
      <c r="A1730" s="8"/>
      <c r="B1730" s="9"/>
      <c r="C1730" s="10"/>
      <c r="D1730" s="10"/>
      <c r="E1730" s="9"/>
      <c r="F1730" s="11"/>
      <c r="G1730" s="9"/>
      <c r="H1730" s="10"/>
      <c r="I1730" s="10"/>
      <c r="J1730" s="11"/>
      <c r="K1730" s="11"/>
      <c r="L1730" s="11"/>
      <c r="M1730" s="10"/>
      <c r="N1730" s="11"/>
      <c r="O1730" s="10"/>
      <c r="P1730" s="11"/>
      <c r="Q1730" s="11"/>
      <c r="R1730" s="12"/>
    </row>
    <row r="1731" spans="1:18" x14ac:dyDescent="0.25">
      <c r="A1731" s="8"/>
      <c r="B1731" s="9"/>
      <c r="C1731" s="10"/>
      <c r="D1731" s="10"/>
      <c r="E1731" s="9"/>
      <c r="F1731" s="11"/>
      <c r="G1731" s="9"/>
      <c r="H1731" s="10"/>
      <c r="I1731" s="10"/>
      <c r="J1731" s="11"/>
      <c r="K1731" s="11"/>
      <c r="L1731" s="11"/>
      <c r="M1731" s="10"/>
      <c r="N1731" s="11"/>
      <c r="O1731" s="10"/>
      <c r="P1731" s="11"/>
      <c r="Q1731" s="11"/>
      <c r="R1731" s="12"/>
    </row>
    <row r="1732" spans="1:18" x14ac:dyDescent="0.25">
      <c r="A1732" s="8"/>
      <c r="B1732" s="9"/>
      <c r="C1732" s="10"/>
      <c r="D1732" s="10"/>
      <c r="E1732" s="9"/>
      <c r="F1732" s="11"/>
      <c r="G1732" s="9"/>
      <c r="H1732" s="10"/>
      <c r="I1732" s="10"/>
      <c r="J1732" s="11"/>
      <c r="K1732" s="11"/>
      <c r="L1732" s="11"/>
      <c r="M1732" s="10"/>
      <c r="N1732" s="11"/>
      <c r="O1732" s="10"/>
      <c r="P1732" s="11"/>
      <c r="Q1732" s="11"/>
      <c r="R1732" s="12"/>
    </row>
    <row r="1733" spans="1:18" x14ac:dyDescent="0.25">
      <c r="A1733" s="8"/>
      <c r="B1733" s="9"/>
      <c r="C1733" s="10"/>
      <c r="D1733" s="10"/>
      <c r="E1733" s="9"/>
      <c r="F1733" s="11"/>
      <c r="G1733" s="9"/>
      <c r="H1733" s="10"/>
      <c r="I1733" s="10"/>
      <c r="J1733" s="11"/>
      <c r="K1733" s="11"/>
      <c r="L1733" s="11"/>
      <c r="M1733" s="10"/>
      <c r="N1733" s="11"/>
      <c r="O1733" s="10"/>
      <c r="P1733" s="11"/>
      <c r="Q1733" s="11"/>
      <c r="R1733" s="12"/>
    </row>
    <row r="1734" spans="1:18" x14ac:dyDescent="0.25">
      <c r="A1734" s="8"/>
      <c r="B1734" s="9"/>
      <c r="C1734" s="10"/>
      <c r="D1734" s="10"/>
      <c r="E1734" s="9"/>
      <c r="F1734" s="11"/>
      <c r="G1734" s="9"/>
      <c r="H1734" s="10"/>
      <c r="I1734" s="10"/>
      <c r="J1734" s="11"/>
      <c r="K1734" s="11"/>
      <c r="L1734" s="11"/>
      <c r="M1734" s="10"/>
      <c r="N1734" s="11"/>
      <c r="O1734" s="10"/>
      <c r="P1734" s="11"/>
      <c r="Q1734" s="11"/>
      <c r="R1734" s="12"/>
    </row>
    <row r="1735" spans="1:18" x14ac:dyDescent="0.25">
      <c r="A1735" s="8"/>
      <c r="B1735" s="9"/>
      <c r="C1735" s="10"/>
      <c r="D1735" s="10"/>
      <c r="E1735" s="9"/>
      <c r="F1735" s="11"/>
      <c r="G1735" s="9"/>
      <c r="H1735" s="10"/>
      <c r="I1735" s="10"/>
      <c r="J1735" s="11"/>
      <c r="K1735" s="11"/>
      <c r="L1735" s="11"/>
      <c r="M1735" s="10"/>
      <c r="N1735" s="11"/>
      <c r="O1735" s="10"/>
      <c r="P1735" s="11"/>
      <c r="Q1735" s="11"/>
      <c r="R1735" s="12"/>
    </row>
    <row r="1736" spans="1:18" x14ac:dyDescent="0.25">
      <c r="A1736" s="8"/>
      <c r="B1736" s="9"/>
      <c r="C1736" s="10"/>
      <c r="D1736" s="10"/>
      <c r="E1736" s="9"/>
      <c r="F1736" s="11"/>
      <c r="G1736" s="9"/>
      <c r="H1736" s="10"/>
      <c r="I1736" s="10"/>
      <c r="J1736" s="11"/>
      <c r="K1736" s="11"/>
      <c r="L1736" s="11"/>
      <c r="M1736" s="10"/>
      <c r="N1736" s="11"/>
      <c r="O1736" s="10"/>
      <c r="P1736" s="11"/>
      <c r="Q1736" s="11"/>
      <c r="R1736" s="12"/>
    </row>
    <row r="1737" spans="1:18" x14ac:dyDescent="0.25">
      <c r="A1737" s="8"/>
      <c r="B1737" s="9"/>
      <c r="C1737" s="10"/>
      <c r="D1737" s="10"/>
      <c r="E1737" s="9"/>
      <c r="F1737" s="11"/>
      <c r="G1737" s="9"/>
      <c r="H1737" s="10"/>
      <c r="I1737" s="10"/>
      <c r="J1737" s="11"/>
      <c r="K1737" s="11"/>
      <c r="L1737" s="11"/>
      <c r="M1737" s="10"/>
      <c r="N1737" s="11"/>
      <c r="O1737" s="10"/>
      <c r="P1737" s="11"/>
      <c r="Q1737" s="11"/>
      <c r="R1737" s="12"/>
    </row>
    <row r="1738" spans="1:18" x14ac:dyDescent="0.25">
      <c r="A1738" s="8"/>
      <c r="B1738" s="9"/>
      <c r="C1738" s="10"/>
      <c r="D1738" s="10"/>
      <c r="E1738" s="9"/>
      <c r="F1738" s="11"/>
      <c r="G1738" s="9"/>
      <c r="H1738" s="10"/>
      <c r="I1738" s="10"/>
      <c r="J1738" s="11"/>
      <c r="K1738" s="11"/>
      <c r="L1738" s="11"/>
      <c r="M1738" s="10"/>
      <c r="N1738" s="11"/>
      <c r="O1738" s="10"/>
      <c r="P1738" s="11"/>
      <c r="Q1738" s="11"/>
      <c r="R1738" s="12"/>
    </row>
    <row r="1739" spans="1:18" x14ac:dyDescent="0.25">
      <c r="A1739" s="8"/>
      <c r="B1739" s="9"/>
      <c r="C1739" s="10"/>
      <c r="D1739" s="10"/>
      <c r="E1739" s="9"/>
      <c r="F1739" s="11"/>
      <c r="G1739" s="9"/>
      <c r="H1739" s="10"/>
      <c r="I1739" s="10"/>
      <c r="J1739" s="11"/>
      <c r="K1739" s="11"/>
      <c r="L1739" s="11"/>
      <c r="M1739" s="10"/>
      <c r="N1739" s="11"/>
      <c r="O1739" s="10"/>
      <c r="P1739" s="11"/>
      <c r="Q1739" s="11"/>
      <c r="R1739" s="12"/>
    </row>
    <row r="1740" spans="1:18" x14ac:dyDescent="0.25">
      <c r="A1740" s="8"/>
      <c r="B1740" s="9"/>
      <c r="C1740" s="10"/>
      <c r="D1740" s="10"/>
      <c r="E1740" s="9"/>
      <c r="F1740" s="11"/>
      <c r="G1740" s="9"/>
      <c r="H1740" s="10"/>
      <c r="I1740" s="10"/>
      <c r="J1740" s="11"/>
      <c r="K1740" s="11"/>
      <c r="L1740" s="11"/>
      <c r="M1740" s="10"/>
      <c r="N1740" s="11"/>
      <c r="O1740" s="10"/>
      <c r="P1740" s="11"/>
      <c r="Q1740" s="11"/>
      <c r="R1740" s="12"/>
    </row>
    <row r="1741" spans="1:18" x14ac:dyDescent="0.25">
      <c r="A1741" s="8"/>
      <c r="B1741" s="9"/>
      <c r="C1741" s="10"/>
      <c r="D1741" s="10"/>
      <c r="E1741" s="9"/>
      <c r="F1741" s="11"/>
      <c r="G1741" s="9"/>
      <c r="H1741" s="10"/>
      <c r="I1741" s="10"/>
      <c r="J1741" s="11"/>
      <c r="K1741" s="11"/>
      <c r="L1741" s="11"/>
      <c r="M1741" s="10"/>
      <c r="N1741" s="11"/>
      <c r="O1741" s="10"/>
      <c r="P1741" s="11"/>
      <c r="Q1741" s="11"/>
      <c r="R1741" s="12"/>
    </row>
    <row r="1742" spans="1:18" x14ac:dyDescent="0.25">
      <c r="A1742" s="8"/>
      <c r="B1742" s="9"/>
      <c r="C1742" s="10"/>
      <c r="D1742" s="10"/>
      <c r="E1742" s="9"/>
      <c r="F1742" s="11"/>
      <c r="G1742" s="9"/>
      <c r="H1742" s="10"/>
      <c r="I1742" s="10"/>
      <c r="J1742" s="11"/>
      <c r="K1742" s="11"/>
      <c r="L1742" s="11"/>
      <c r="M1742" s="10"/>
      <c r="N1742" s="11"/>
      <c r="O1742" s="10"/>
      <c r="P1742" s="11"/>
      <c r="Q1742" s="11"/>
      <c r="R1742" s="12"/>
    </row>
    <row r="1743" spans="1:18" x14ac:dyDescent="0.25">
      <c r="A1743" s="8"/>
      <c r="B1743" s="9"/>
      <c r="C1743" s="10"/>
      <c r="D1743" s="10"/>
      <c r="E1743" s="9"/>
      <c r="F1743" s="11"/>
      <c r="G1743" s="9"/>
      <c r="H1743" s="10"/>
      <c r="I1743" s="10"/>
      <c r="J1743" s="11"/>
      <c r="K1743" s="11"/>
      <c r="L1743" s="11"/>
      <c r="M1743" s="10"/>
      <c r="N1743" s="11"/>
      <c r="O1743" s="10"/>
      <c r="P1743" s="11"/>
      <c r="Q1743" s="11"/>
      <c r="R1743" s="12"/>
    </row>
    <row r="1744" spans="1:18" x14ac:dyDescent="0.25">
      <c r="A1744" s="8"/>
      <c r="B1744" s="9"/>
      <c r="C1744" s="10"/>
      <c r="D1744" s="10"/>
      <c r="E1744" s="9"/>
      <c r="F1744" s="11"/>
      <c r="G1744" s="9"/>
      <c r="H1744" s="10"/>
      <c r="I1744" s="10"/>
      <c r="J1744" s="11"/>
      <c r="K1744" s="11"/>
      <c r="L1744" s="11"/>
      <c r="M1744" s="10"/>
      <c r="N1744" s="11"/>
      <c r="O1744" s="10"/>
      <c r="P1744" s="11"/>
      <c r="Q1744" s="11"/>
      <c r="R1744" s="12"/>
    </row>
    <row r="1745" spans="1:18" x14ac:dyDescent="0.25">
      <c r="A1745" s="8"/>
      <c r="B1745" s="9"/>
      <c r="C1745" s="10"/>
      <c r="D1745" s="10"/>
      <c r="E1745" s="9"/>
      <c r="F1745" s="11"/>
      <c r="G1745" s="9"/>
      <c r="H1745" s="10"/>
      <c r="I1745" s="10"/>
      <c r="J1745" s="11"/>
      <c r="K1745" s="11"/>
      <c r="L1745" s="11"/>
      <c r="M1745" s="10"/>
      <c r="N1745" s="11"/>
      <c r="O1745" s="10"/>
      <c r="P1745" s="11"/>
      <c r="Q1745" s="11"/>
      <c r="R1745" s="12"/>
    </row>
    <row r="1746" spans="1:18" x14ac:dyDescent="0.25">
      <c r="A1746" s="8"/>
      <c r="B1746" s="9"/>
      <c r="C1746" s="10"/>
      <c r="D1746" s="10"/>
      <c r="E1746" s="9"/>
      <c r="F1746" s="11"/>
      <c r="G1746" s="9"/>
      <c r="H1746" s="10"/>
      <c r="I1746" s="10"/>
      <c r="J1746" s="11"/>
      <c r="K1746" s="11"/>
      <c r="L1746" s="11"/>
      <c r="M1746" s="10"/>
      <c r="N1746" s="11"/>
      <c r="O1746" s="10"/>
      <c r="P1746" s="11"/>
      <c r="Q1746" s="11"/>
      <c r="R1746" s="12"/>
    </row>
    <row r="1747" spans="1:18" x14ac:dyDescent="0.25">
      <c r="A1747" s="8"/>
      <c r="B1747" s="9"/>
      <c r="C1747" s="10"/>
      <c r="D1747" s="10"/>
      <c r="E1747" s="9"/>
      <c r="F1747" s="11"/>
      <c r="G1747" s="9"/>
      <c r="H1747" s="10"/>
      <c r="I1747" s="10"/>
      <c r="J1747" s="11"/>
      <c r="K1747" s="11"/>
      <c r="L1747" s="11"/>
      <c r="M1747" s="10"/>
      <c r="N1747" s="11"/>
      <c r="O1747" s="10"/>
      <c r="P1747" s="11"/>
      <c r="Q1747" s="11"/>
      <c r="R1747" s="12"/>
    </row>
    <row r="1748" spans="1:18" x14ac:dyDescent="0.25">
      <c r="A1748" s="8"/>
      <c r="B1748" s="9"/>
      <c r="C1748" s="10"/>
      <c r="D1748" s="10"/>
      <c r="E1748" s="9"/>
      <c r="F1748" s="11"/>
      <c r="G1748" s="9"/>
      <c r="H1748" s="10"/>
      <c r="I1748" s="10"/>
      <c r="J1748" s="11"/>
      <c r="K1748" s="11"/>
      <c r="L1748" s="11"/>
      <c r="M1748" s="10"/>
      <c r="N1748" s="11"/>
      <c r="O1748" s="10"/>
      <c r="P1748" s="11"/>
      <c r="Q1748" s="11"/>
      <c r="R1748" s="12"/>
    </row>
    <row r="1749" spans="1:18" x14ac:dyDescent="0.25">
      <c r="A1749" s="8"/>
      <c r="B1749" s="9"/>
      <c r="C1749" s="10"/>
      <c r="D1749" s="10"/>
      <c r="E1749" s="9"/>
      <c r="F1749" s="11"/>
      <c r="G1749" s="9"/>
      <c r="H1749" s="10"/>
      <c r="I1749" s="10"/>
      <c r="J1749" s="11"/>
      <c r="K1749" s="11"/>
      <c r="L1749" s="11"/>
      <c r="M1749" s="10"/>
      <c r="N1749" s="11"/>
      <c r="O1749" s="10"/>
      <c r="P1749" s="11"/>
      <c r="Q1749" s="11"/>
      <c r="R1749" s="12"/>
    </row>
    <row r="1750" spans="1:18" x14ac:dyDescent="0.25">
      <c r="A1750" s="8"/>
      <c r="B1750" s="9"/>
      <c r="C1750" s="10"/>
      <c r="D1750" s="10"/>
      <c r="E1750" s="9"/>
      <c r="F1750" s="11"/>
      <c r="G1750" s="9"/>
      <c r="H1750" s="10"/>
      <c r="I1750" s="10"/>
      <c r="J1750" s="11"/>
      <c r="K1750" s="11"/>
      <c r="L1750" s="11"/>
      <c r="M1750" s="10"/>
      <c r="N1750" s="11"/>
      <c r="O1750" s="10"/>
      <c r="P1750" s="11"/>
      <c r="Q1750" s="11"/>
      <c r="R1750" s="12"/>
    </row>
    <row r="1751" spans="1:18" x14ac:dyDescent="0.25">
      <c r="A1751" s="8"/>
      <c r="B1751" s="9"/>
      <c r="C1751" s="10"/>
      <c r="D1751" s="10"/>
      <c r="E1751" s="9"/>
      <c r="F1751" s="11"/>
      <c r="G1751" s="9"/>
      <c r="H1751" s="10"/>
      <c r="I1751" s="10"/>
      <c r="J1751" s="11"/>
      <c r="K1751" s="11"/>
      <c r="L1751" s="11"/>
      <c r="M1751" s="10"/>
      <c r="N1751" s="11"/>
      <c r="O1751" s="10"/>
      <c r="P1751" s="11"/>
      <c r="Q1751" s="11"/>
      <c r="R1751" s="12"/>
    </row>
    <row r="1752" spans="1:18" x14ac:dyDescent="0.25">
      <c r="A1752" s="8"/>
      <c r="B1752" s="9"/>
      <c r="C1752" s="10"/>
      <c r="D1752" s="10"/>
      <c r="E1752" s="9"/>
      <c r="F1752" s="11"/>
      <c r="G1752" s="9"/>
      <c r="H1752" s="10"/>
      <c r="I1752" s="10"/>
      <c r="J1752" s="11"/>
      <c r="K1752" s="11"/>
      <c r="L1752" s="11"/>
      <c r="M1752" s="10"/>
      <c r="N1752" s="11"/>
      <c r="O1752" s="10"/>
      <c r="P1752" s="11"/>
      <c r="Q1752" s="11"/>
      <c r="R1752" s="12"/>
    </row>
    <row r="1753" spans="1:18" x14ac:dyDescent="0.25">
      <c r="A1753" s="8"/>
      <c r="B1753" s="9"/>
      <c r="C1753" s="10"/>
      <c r="D1753" s="10"/>
      <c r="E1753" s="9"/>
      <c r="F1753" s="11"/>
      <c r="G1753" s="9"/>
      <c r="H1753" s="10"/>
      <c r="I1753" s="10"/>
      <c r="J1753" s="11"/>
      <c r="K1753" s="11"/>
      <c r="L1753" s="11"/>
      <c r="M1753" s="10"/>
      <c r="N1753" s="11"/>
      <c r="O1753" s="10"/>
      <c r="P1753" s="11"/>
      <c r="Q1753" s="11"/>
      <c r="R1753" s="12"/>
    </row>
    <row r="1754" spans="1:18" x14ac:dyDescent="0.25">
      <c r="A1754" s="8"/>
      <c r="B1754" s="9"/>
      <c r="C1754" s="10"/>
      <c r="D1754" s="10"/>
      <c r="E1754" s="9"/>
      <c r="F1754" s="11"/>
      <c r="G1754" s="9"/>
      <c r="H1754" s="10"/>
      <c r="I1754" s="10"/>
      <c r="J1754" s="11"/>
      <c r="K1754" s="11"/>
      <c r="L1754" s="11"/>
      <c r="M1754" s="10"/>
      <c r="N1754" s="11"/>
      <c r="O1754" s="10"/>
      <c r="P1754" s="11"/>
      <c r="Q1754" s="11"/>
      <c r="R1754" s="12"/>
    </row>
    <row r="1755" spans="1:18" x14ac:dyDescent="0.25">
      <c r="A1755" s="8"/>
      <c r="B1755" s="9"/>
      <c r="C1755" s="10"/>
      <c r="D1755" s="10"/>
      <c r="E1755" s="9"/>
      <c r="F1755" s="11"/>
      <c r="G1755" s="9"/>
      <c r="H1755" s="10"/>
      <c r="I1755" s="10"/>
      <c r="J1755" s="11"/>
      <c r="K1755" s="11"/>
      <c r="L1755" s="11"/>
      <c r="M1755" s="10"/>
      <c r="N1755" s="11"/>
      <c r="O1755" s="10"/>
      <c r="P1755" s="11"/>
      <c r="Q1755" s="11"/>
      <c r="R1755" s="12"/>
    </row>
    <row r="1756" spans="1:18" x14ac:dyDescent="0.25">
      <c r="A1756" s="8"/>
      <c r="B1756" s="9"/>
      <c r="C1756" s="10"/>
      <c r="D1756" s="10"/>
      <c r="E1756" s="9"/>
      <c r="F1756" s="11"/>
      <c r="G1756" s="9"/>
      <c r="H1756" s="10"/>
      <c r="I1756" s="10"/>
      <c r="J1756" s="11"/>
      <c r="K1756" s="11"/>
      <c r="L1756" s="11"/>
      <c r="M1756" s="10"/>
      <c r="N1756" s="11"/>
      <c r="O1756" s="10"/>
      <c r="P1756" s="11"/>
      <c r="Q1756" s="11"/>
      <c r="R1756" s="12"/>
    </row>
    <row r="1757" spans="1:18" x14ac:dyDescent="0.25">
      <c r="A1757" s="8"/>
      <c r="B1757" s="9"/>
      <c r="C1757" s="10"/>
      <c r="D1757" s="10"/>
      <c r="E1757" s="9"/>
      <c r="F1757" s="11"/>
      <c r="G1757" s="9"/>
      <c r="H1757" s="10"/>
      <c r="I1757" s="10"/>
      <c r="J1757" s="11"/>
      <c r="K1757" s="11"/>
      <c r="L1757" s="11"/>
      <c r="M1757" s="10"/>
      <c r="N1757" s="11"/>
      <c r="O1757" s="10"/>
      <c r="P1757" s="11"/>
      <c r="Q1757" s="11"/>
      <c r="R1757" s="12"/>
    </row>
    <row r="1758" spans="1:18" x14ac:dyDescent="0.25">
      <c r="A1758" s="8"/>
      <c r="B1758" s="9"/>
      <c r="C1758" s="10"/>
      <c r="D1758" s="10"/>
      <c r="E1758" s="9"/>
      <c r="F1758" s="11"/>
      <c r="G1758" s="9"/>
      <c r="H1758" s="10"/>
      <c r="I1758" s="10"/>
      <c r="J1758" s="11"/>
      <c r="K1758" s="11"/>
      <c r="L1758" s="11"/>
      <c r="M1758" s="10"/>
      <c r="N1758" s="11"/>
      <c r="O1758" s="10"/>
      <c r="P1758" s="11"/>
      <c r="Q1758" s="11"/>
      <c r="R1758" s="12"/>
    </row>
    <row r="1759" spans="1:18" x14ac:dyDescent="0.25">
      <c r="A1759" s="8"/>
      <c r="B1759" s="9"/>
      <c r="C1759" s="10"/>
      <c r="D1759" s="10"/>
      <c r="E1759" s="9"/>
      <c r="F1759" s="11"/>
      <c r="G1759" s="9"/>
      <c r="H1759" s="10"/>
      <c r="I1759" s="10"/>
      <c r="J1759" s="11"/>
      <c r="K1759" s="11"/>
      <c r="L1759" s="11"/>
      <c r="M1759" s="10"/>
      <c r="N1759" s="11"/>
      <c r="O1759" s="10"/>
      <c r="P1759" s="11"/>
      <c r="Q1759" s="11"/>
      <c r="R1759" s="12"/>
    </row>
    <row r="1760" spans="1:18" x14ac:dyDescent="0.25">
      <c r="A1760" s="8"/>
      <c r="B1760" s="9"/>
      <c r="C1760" s="10"/>
      <c r="D1760" s="10"/>
      <c r="E1760" s="9"/>
      <c r="F1760" s="11"/>
      <c r="G1760" s="9"/>
      <c r="H1760" s="10"/>
      <c r="I1760" s="10"/>
      <c r="J1760" s="11"/>
      <c r="K1760" s="11"/>
      <c r="L1760" s="11"/>
      <c r="M1760" s="10"/>
      <c r="N1760" s="11"/>
      <c r="O1760" s="10"/>
      <c r="P1760" s="11"/>
      <c r="Q1760" s="11"/>
      <c r="R1760" s="12"/>
    </row>
    <row r="1761" spans="1:18" x14ac:dyDescent="0.25">
      <c r="A1761" s="8"/>
      <c r="B1761" s="9"/>
      <c r="C1761" s="10"/>
      <c r="D1761" s="10"/>
      <c r="E1761" s="9"/>
      <c r="F1761" s="11"/>
      <c r="G1761" s="9"/>
      <c r="H1761" s="10"/>
      <c r="I1761" s="10"/>
      <c r="J1761" s="11"/>
      <c r="K1761" s="11"/>
      <c r="L1761" s="11"/>
      <c r="M1761" s="10"/>
      <c r="N1761" s="11"/>
      <c r="O1761" s="10"/>
      <c r="P1761" s="11"/>
      <c r="Q1761" s="11"/>
      <c r="R1761" s="12"/>
    </row>
    <row r="1762" spans="1:18" x14ac:dyDescent="0.25">
      <c r="A1762" s="8"/>
      <c r="B1762" s="9"/>
      <c r="C1762" s="10"/>
      <c r="D1762" s="10"/>
      <c r="E1762" s="9"/>
      <c r="F1762" s="11"/>
      <c r="G1762" s="9"/>
      <c r="H1762" s="10"/>
      <c r="I1762" s="10"/>
      <c r="J1762" s="11"/>
      <c r="K1762" s="11"/>
      <c r="L1762" s="11"/>
      <c r="M1762" s="10"/>
      <c r="N1762" s="11"/>
      <c r="O1762" s="10"/>
      <c r="P1762" s="11"/>
      <c r="Q1762" s="11"/>
      <c r="R1762" s="12"/>
    </row>
    <row r="1763" spans="1:18" x14ac:dyDescent="0.25">
      <c r="A1763" s="8"/>
      <c r="B1763" s="9"/>
      <c r="C1763" s="10"/>
      <c r="D1763" s="10"/>
      <c r="E1763" s="9"/>
      <c r="F1763" s="11"/>
      <c r="G1763" s="9"/>
      <c r="H1763" s="10"/>
      <c r="I1763" s="10"/>
      <c r="J1763" s="11"/>
      <c r="K1763" s="11"/>
      <c r="L1763" s="11"/>
      <c r="M1763" s="10"/>
      <c r="N1763" s="11"/>
      <c r="O1763" s="10"/>
      <c r="P1763" s="11"/>
      <c r="Q1763" s="11"/>
      <c r="R1763" s="12"/>
    </row>
    <row r="1764" spans="1:18" x14ac:dyDescent="0.25">
      <c r="A1764" s="8"/>
      <c r="B1764" s="9"/>
      <c r="C1764" s="10"/>
      <c r="D1764" s="10"/>
      <c r="E1764" s="9"/>
      <c r="F1764" s="11"/>
      <c r="G1764" s="9"/>
      <c r="H1764" s="10"/>
      <c r="I1764" s="10"/>
      <c r="J1764" s="11"/>
      <c r="K1764" s="11"/>
      <c r="L1764" s="11"/>
      <c r="M1764" s="10"/>
      <c r="N1764" s="11"/>
      <c r="O1764" s="10"/>
      <c r="P1764" s="11"/>
      <c r="Q1764" s="11"/>
      <c r="R1764" s="12"/>
    </row>
    <row r="1765" spans="1:18" x14ac:dyDescent="0.25">
      <c r="A1765" s="8"/>
      <c r="B1765" s="9"/>
      <c r="C1765" s="10"/>
      <c r="D1765" s="10"/>
      <c r="E1765" s="9"/>
      <c r="F1765" s="11"/>
      <c r="G1765" s="9"/>
      <c r="H1765" s="10"/>
      <c r="I1765" s="10"/>
      <c r="J1765" s="11"/>
      <c r="K1765" s="11"/>
      <c r="L1765" s="11"/>
      <c r="M1765" s="10"/>
      <c r="N1765" s="11"/>
      <c r="O1765" s="10"/>
      <c r="P1765" s="11"/>
      <c r="Q1765" s="11"/>
      <c r="R1765" s="12"/>
    </row>
    <row r="1766" spans="1:18" x14ac:dyDescent="0.25">
      <c r="A1766" s="8"/>
      <c r="B1766" s="9"/>
      <c r="C1766" s="10"/>
      <c r="D1766" s="10"/>
      <c r="E1766" s="9"/>
      <c r="F1766" s="11"/>
      <c r="G1766" s="9"/>
      <c r="H1766" s="10"/>
      <c r="I1766" s="10"/>
      <c r="J1766" s="11"/>
      <c r="K1766" s="11"/>
      <c r="L1766" s="11"/>
      <c r="M1766" s="10"/>
      <c r="N1766" s="11"/>
      <c r="O1766" s="10"/>
      <c r="P1766" s="11"/>
      <c r="Q1766" s="11"/>
      <c r="R1766" s="12"/>
    </row>
    <row r="1767" spans="1:18" x14ac:dyDescent="0.25">
      <c r="A1767" s="8"/>
      <c r="B1767" s="9"/>
      <c r="C1767" s="10"/>
      <c r="D1767" s="10"/>
      <c r="E1767" s="9"/>
      <c r="F1767" s="11"/>
      <c r="G1767" s="9"/>
      <c r="H1767" s="10"/>
      <c r="I1767" s="10"/>
      <c r="J1767" s="11"/>
      <c r="K1767" s="11"/>
      <c r="L1767" s="11"/>
      <c r="M1767" s="10"/>
      <c r="N1767" s="11"/>
      <c r="O1767" s="10"/>
      <c r="P1767" s="11"/>
      <c r="Q1767" s="11"/>
      <c r="R1767" s="12"/>
    </row>
    <row r="1768" spans="1:18" x14ac:dyDescent="0.25">
      <c r="A1768" s="8"/>
      <c r="B1768" s="9"/>
      <c r="C1768" s="10"/>
      <c r="D1768" s="10"/>
      <c r="E1768" s="9"/>
      <c r="F1768" s="11"/>
      <c r="G1768" s="9"/>
      <c r="H1768" s="10"/>
      <c r="I1768" s="10"/>
      <c r="J1768" s="11"/>
      <c r="K1768" s="11"/>
      <c r="L1768" s="11"/>
      <c r="M1768" s="10"/>
      <c r="N1768" s="11"/>
      <c r="O1768" s="10"/>
      <c r="P1768" s="11"/>
      <c r="Q1768" s="11"/>
      <c r="R1768" s="12"/>
    </row>
    <row r="1769" spans="1:18" x14ac:dyDescent="0.25">
      <c r="A1769" s="8"/>
      <c r="B1769" s="9"/>
      <c r="C1769" s="10"/>
      <c r="D1769" s="10"/>
      <c r="E1769" s="9"/>
      <c r="F1769" s="11"/>
      <c r="G1769" s="9"/>
      <c r="H1769" s="10"/>
      <c r="I1769" s="10"/>
      <c r="J1769" s="11"/>
      <c r="K1769" s="11"/>
      <c r="L1769" s="11"/>
      <c r="M1769" s="10"/>
      <c r="N1769" s="11"/>
      <c r="O1769" s="10"/>
      <c r="P1769" s="11"/>
      <c r="Q1769" s="11"/>
      <c r="R1769" s="12"/>
    </row>
    <row r="1770" spans="1:18" x14ac:dyDescent="0.25">
      <c r="A1770" s="8"/>
      <c r="B1770" s="9"/>
      <c r="C1770" s="10"/>
      <c r="D1770" s="10"/>
      <c r="E1770" s="9"/>
      <c r="F1770" s="11"/>
      <c r="G1770" s="9"/>
      <c r="H1770" s="10"/>
      <c r="I1770" s="10"/>
      <c r="J1770" s="11"/>
      <c r="K1770" s="11"/>
      <c r="L1770" s="11"/>
      <c r="M1770" s="10"/>
      <c r="N1770" s="11"/>
      <c r="O1770" s="10"/>
      <c r="P1770" s="11"/>
      <c r="Q1770" s="11"/>
      <c r="R1770" s="12"/>
    </row>
    <row r="1771" spans="1:18" x14ac:dyDescent="0.25">
      <c r="A1771" s="8"/>
      <c r="B1771" s="9"/>
      <c r="C1771" s="10"/>
      <c r="D1771" s="10"/>
      <c r="E1771" s="9"/>
      <c r="F1771" s="11"/>
      <c r="G1771" s="9"/>
      <c r="H1771" s="10"/>
      <c r="I1771" s="10"/>
      <c r="J1771" s="11"/>
      <c r="K1771" s="11"/>
      <c r="L1771" s="11"/>
      <c r="M1771" s="10"/>
      <c r="N1771" s="11"/>
      <c r="O1771" s="10"/>
      <c r="P1771" s="11"/>
      <c r="Q1771" s="11"/>
      <c r="R1771" s="12"/>
    </row>
    <row r="1772" spans="1:18" x14ac:dyDescent="0.25">
      <c r="A1772" s="8"/>
      <c r="B1772" s="9"/>
      <c r="C1772" s="10"/>
      <c r="D1772" s="10"/>
      <c r="E1772" s="9"/>
      <c r="F1772" s="11"/>
      <c r="G1772" s="9"/>
      <c r="H1772" s="10"/>
      <c r="I1772" s="10"/>
      <c r="J1772" s="11"/>
      <c r="K1772" s="11"/>
      <c r="L1772" s="11"/>
      <c r="M1772" s="10"/>
      <c r="N1772" s="11"/>
      <c r="O1772" s="10"/>
      <c r="P1772" s="11"/>
      <c r="Q1772" s="11"/>
      <c r="R1772" s="12"/>
    </row>
    <row r="1773" spans="1:18" x14ac:dyDescent="0.25">
      <c r="A1773" s="8"/>
      <c r="B1773" s="9"/>
      <c r="C1773" s="10"/>
      <c r="D1773" s="10"/>
      <c r="E1773" s="9"/>
      <c r="F1773" s="11"/>
      <c r="G1773" s="9"/>
      <c r="H1773" s="10"/>
      <c r="I1773" s="10"/>
      <c r="J1773" s="11"/>
      <c r="K1773" s="11"/>
      <c r="L1773" s="11"/>
      <c r="M1773" s="10"/>
      <c r="N1773" s="11"/>
      <c r="O1773" s="10"/>
      <c r="P1773" s="11"/>
      <c r="Q1773" s="11"/>
      <c r="R1773" s="12"/>
    </row>
    <row r="1774" spans="1:18" x14ac:dyDescent="0.25">
      <c r="A1774" s="8"/>
      <c r="B1774" s="9"/>
      <c r="C1774" s="10"/>
      <c r="D1774" s="10"/>
      <c r="E1774" s="9"/>
      <c r="F1774" s="11"/>
      <c r="G1774" s="9"/>
      <c r="H1774" s="10"/>
      <c r="I1774" s="10"/>
      <c r="J1774" s="11"/>
      <c r="K1774" s="11"/>
      <c r="L1774" s="11"/>
      <c r="M1774" s="10"/>
      <c r="N1774" s="11"/>
      <c r="O1774" s="10"/>
      <c r="P1774" s="11"/>
      <c r="Q1774" s="11"/>
      <c r="R1774" s="12"/>
    </row>
    <row r="1775" spans="1:18" x14ac:dyDescent="0.25">
      <c r="A1775" s="8"/>
      <c r="B1775" s="9"/>
      <c r="C1775" s="10"/>
      <c r="D1775" s="10"/>
      <c r="E1775" s="9"/>
      <c r="F1775" s="11"/>
      <c r="G1775" s="9"/>
      <c r="H1775" s="10"/>
      <c r="I1775" s="10"/>
      <c r="J1775" s="11"/>
      <c r="K1775" s="11"/>
      <c r="L1775" s="11"/>
      <c r="M1775" s="10"/>
      <c r="N1775" s="11"/>
      <c r="O1775" s="10"/>
      <c r="P1775" s="11"/>
      <c r="Q1775" s="11"/>
      <c r="R1775" s="12"/>
    </row>
    <row r="1776" spans="1:18" x14ac:dyDescent="0.25">
      <c r="A1776" s="8"/>
      <c r="B1776" s="9"/>
      <c r="C1776" s="10"/>
      <c r="D1776" s="10"/>
      <c r="E1776" s="9"/>
      <c r="F1776" s="11"/>
      <c r="G1776" s="9"/>
      <c r="H1776" s="10"/>
      <c r="I1776" s="10"/>
      <c r="J1776" s="11"/>
      <c r="K1776" s="11"/>
      <c r="L1776" s="11"/>
      <c r="M1776" s="10"/>
      <c r="N1776" s="11"/>
      <c r="O1776" s="10"/>
      <c r="P1776" s="11"/>
      <c r="Q1776" s="11"/>
      <c r="R1776" s="12"/>
    </row>
    <row r="1777" spans="1:18" x14ac:dyDescent="0.25">
      <c r="A1777" s="8"/>
      <c r="B1777" s="9"/>
      <c r="C1777" s="10"/>
      <c r="D1777" s="10"/>
      <c r="E1777" s="9"/>
      <c r="F1777" s="11"/>
      <c r="G1777" s="9"/>
      <c r="H1777" s="10"/>
      <c r="I1777" s="10"/>
      <c r="J1777" s="11"/>
      <c r="K1777" s="11"/>
      <c r="L1777" s="11"/>
      <c r="M1777" s="10"/>
      <c r="N1777" s="11"/>
      <c r="O1777" s="10"/>
      <c r="P1777" s="11"/>
      <c r="Q1777" s="11"/>
      <c r="R1777" s="12"/>
    </row>
    <row r="1778" spans="1:18" x14ac:dyDescent="0.25">
      <c r="A1778" s="8"/>
      <c r="B1778" s="9"/>
      <c r="C1778" s="10"/>
      <c r="D1778" s="10"/>
      <c r="E1778" s="9"/>
      <c r="F1778" s="11"/>
      <c r="G1778" s="9"/>
      <c r="H1778" s="10"/>
      <c r="I1778" s="10"/>
      <c r="J1778" s="11"/>
      <c r="K1778" s="11"/>
      <c r="L1778" s="11"/>
      <c r="M1778" s="10"/>
      <c r="N1778" s="11"/>
      <c r="O1778" s="10"/>
      <c r="P1778" s="11"/>
      <c r="Q1778" s="11"/>
      <c r="R1778" s="12"/>
    </row>
    <row r="1779" spans="1:18" x14ac:dyDescent="0.25">
      <c r="A1779" s="8"/>
      <c r="B1779" s="9"/>
      <c r="C1779" s="10"/>
      <c r="D1779" s="10"/>
      <c r="E1779" s="9"/>
      <c r="F1779" s="11"/>
      <c r="G1779" s="9"/>
      <c r="H1779" s="10"/>
      <c r="I1779" s="10"/>
      <c r="J1779" s="11"/>
      <c r="K1779" s="11"/>
      <c r="L1779" s="11"/>
      <c r="M1779" s="10"/>
      <c r="N1779" s="11"/>
      <c r="O1779" s="10"/>
      <c r="P1779" s="11"/>
      <c r="Q1779" s="11"/>
      <c r="R1779" s="12"/>
    </row>
    <row r="1780" spans="1:18" x14ac:dyDescent="0.25">
      <c r="A1780" s="8"/>
      <c r="B1780" s="9"/>
      <c r="C1780" s="10"/>
      <c r="D1780" s="10"/>
      <c r="E1780" s="9"/>
      <c r="F1780" s="11"/>
      <c r="G1780" s="9"/>
      <c r="H1780" s="10"/>
      <c r="I1780" s="10"/>
      <c r="J1780" s="11"/>
      <c r="K1780" s="11"/>
      <c r="L1780" s="11"/>
      <c r="M1780" s="10"/>
      <c r="N1780" s="11"/>
      <c r="O1780" s="10"/>
      <c r="P1780" s="11"/>
      <c r="Q1780" s="11"/>
      <c r="R1780" s="12"/>
    </row>
    <row r="1781" spans="1:18" x14ac:dyDescent="0.25">
      <c r="A1781" s="8"/>
      <c r="B1781" s="9"/>
      <c r="C1781" s="10"/>
      <c r="D1781" s="10"/>
      <c r="E1781" s="9"/>
      <c r="F1781" s="11"/>
      <c r="G1781" s="9"/>
      <c r="H1781" s="10"/>
      <c r="I1781" s="10"/>
      <c r="J1781" s="11"/>
      <c r="K1781" s="11"/>
      <c r="L1781" s="11"/>
      <c r="M1781" s="10"/>
      <c r="N1781" s="11"/>
      <c r="O1781" s="10"/>
      <c r="P1781" s="11"/>
      <c r="Q1781" s="11"/>
      <c r="R1781" s="12"/>
    </row>
    <row r="1782" spans="1:18" x14ac:dyDescent="0.25">
      <c r="A1782" s="8"/>
      <c r="B1782" s="9"/>
      <c r="C1782" s="10"/>
      <c r="D1782" s="10"/>
      <c r="E1782" s="9"/>
      <c r="F1782" s="11"/>
      <c r="G1782" s="9"/>
      <c r="H1782" s="10"/>
      <c r="I1782" s="10"/>
      <c r="J1782" s="11"/>
      <c r="K1782" s="11"/>
      <c r="L1782" s="11"/>
      <c r="M1782" s="10"/>
      <c r="N1782" s="11"/>
      <c r="O1782" s="10"/>
      <c r="P1782" s="11"/>
      <c r="Q1782" s="11"/>
      <c r="R1782" s="12"/>
    </row>
    <row r="1783" spans="1:18" x14ac:dyDescent="0.25">
      <c r="A1783" s="8"/>
      <c r="B1783" s="9"/>
      <c r="C1783" s="10"/>
      <c r="D1783" s="10"/>
      <c r="E1783" s="9"/>
      <c r="F1783" s="11"/>
      <c r="G1783" s="9"/>
      <c r="H1783" s="10"/>
      <c r="I1783" s="10"/>
      <c r="J1783" s="11"/>
      <c r="K1783" s="11"/>
      <c r="L1783" s="11"/>
      <c r="M1783" s="10"/>
      <c r="N1783" s="11"/>
      <c r="O1783" s="10"/>
      <c r="P1783" s="11"/>
      <c r="Q1783" s="11"/>
      <c r="R1783" s="12"/>
    </row>
    <row r="1784" spans="1:18" x14ac:dyDescent="0.25">
      <c r="A1784" s="8"/>
      <c r="B1784" s="9"/>
      <c r="C1784" s="10"/>
      <c r="D1784" s="10"/>
      <c r="E1784" s="9"/>
      <c r="F1784" s="11"/>
      <c r="G1784" s="9"/>
      <c r="H1784" s="10"/>
      <c r="I1784" s="10"/>
      <c r="J1784" s="11"/>
      <c r="K1784" s="11"/>
      <c r="L1784" s="11"/>
      <c r="M1784" s="10"/>
      <c r="N1784" s="11"/>
      <c r="O1784" s="10"/>
      <c r="P1784" s="11"/>
      <c r="Q1784" s="11"/>
      <c r="R1784" s="12"/>
    </row>
    <row r="1785" spans="1:18" x14ac:dyDescent="0.25">
      <c r="A1785" s="8"/>
      <c r="B1785" s="9"/>
      <c r="C1785" s="10"/>
      <c r="D1785" s="10"/>
      <c r="E1785" s="9"/>
      <c r="F1785" s="11"/>
      <c r="G1785" s="9"/>
      <c r="H1785" s="10"/>
      <c r="I1785" s="10"/>
      <c r="J1785" s="11"/>
      <c r="K1785" s="11"/>
      <c r="L1785" s="11"/>
      <c r="M1785" s="10"/>
      <c r="N1785" s="11"/>
      <c r="O1785" s="10"/>
      <c r="P1785" s="11"/>
      <c r="Q1785" s="11"/>
      <c r="R1785" s="12"/>
    </row>
    <row r="1786" spans="1:18" x14ac:dyDescent="0.25">
      <c r="A1786" s="8"/>
      <c r="B1786" s="9"/>
      <c r="C1786" s="10"/>
      <c r="D1786" s="10"/>
      <c r="E1786" s="9"/>
      <c r="F1786" s="11"/>
      <c r="G1786" s="9"/>
      <c r="H1786" s="10"/>
      <c r="I1786" s="10"/>
      <c r="J1786" s="11"/>
      <c r="K1786" s="11"/>
      <c r="L1786" s="11"/>
      <c r="M1786" s="10"/>
      <c r="N1786" s="11"/>
      <c r="O1786" s="10"/>
      <c r="P1786" s="11"/>
      <c r="Q1786" s="11"/>
      <c r="R1786" s="12"/>
    </row>
    <row r="1787" spans="1:18" x14ac:dyDescent="0.25">
      <c r="A1787" s="8"/>
      <c r="B1787" s="9"/>
      <c r="C1787" s="10"/>
      <c r="D1787" s="10"/>
      <c r="E1787" s="9"/>
      <c r="F1787" s="11"/>
      <c r="G1787" s="9"/>
      <c r="H1787" s="10"/>
      <c r="I1787" s="10"/>
      <c r="J1787" s="11"/>
      <c r="K1787" s="11"/>
      <c r="L1787" s="11"/>
      <c r="M1787" s="10"/>
      <c r="N1787" s="11"/>
      <c r="O1787" s="10"/>
      <c r="P1787" s="11"/>
      <c r="Q1787" s="11"/>
      <c r="R1787" s="12"/>
    </row>
    <row r="1788" spans="1:18" x14ac:dyDescent="0.25">
      <c r="A1788" s="8"/>
      <c r="B1788" s="9"/>
      <c r="C1788" s="10"/>
      <c r="D1788" s="10"/>
      <c r="E1788" s="9"/>
      <c r="F1788" s="11"/>
      <c r="G1788" s="9"/>
      <c r="H1788" s="10"/>
      <c r="I1788" s="10"/>
      <c r="J1788" s="11"/>
      <c r="K1788" s="11"/>
      <c r="L1788" s="11"/>
      <c r="M1788" s="10"/>
      <c r="N1788" s="11"/>
      <c r="O1788" s="10"/>
      <c r="P1788" s="11"/>
      <c r="Q1788" s="11"/>
      <c r="R1788" s="12"/>
    </row>
    <row r="1789" spans="1:18" x14ac:dyDescent="0.25">
      <c r="A1789" s="8"/>
      <c r="B1789" s="9"/>
      <c r="C1789" s="10"/>
      <c r="D1789" s="10"/>
      <c r="E1789" s="9"/>
      <c r="F1789" s="11"/>
      <c r="G1789" s="9"/>
      <c r="H1789" s="10"/>
      <c r="I1789" s="10"/>
      <c r="J1789" s="11"/>
      <c r="K1789" s="11"/>
      <c r="L1789" s="11"/>
      <c r="M1789" s="10"/>
      <c r="N1789" s="11"/>
      <c r="O1789" s="10"/>
      <c r="P1789" s="11"/>
      <c r="Q1789" s="11"/>
      <c r="R1789" s="12"/>
    </row>
    <row r="1790" spans="1:18" x14ac:dyDescent="0.25">
      <c r="A1790" s="8"/>
      <c r="B1790" s="9"/>
      <c r="C1790" s="10"/>
      <c r="D1790" s="10"/>
      <c r="E1790" s="9"/>
      <c r="F1790" s="11"/>
      <c r="G1790" s="9"/>
      <c r="H1790" s="10"/>
      <c r="I1790" s="10"/>
      <c r="J1790" s="11"/>
      <c r="K1790" s="11"/>
      <c r="L1790" s="11"/>
      <c r="M1790" s="10"/>
      <c r="N1790" s="11"/>
      <c r="O1790" s="10"/>
      <c r="P1790" s="11"/>
      <c r="Q1790" s="11"/>
      <c r="R1790" s="12"/>
    </row>
    <row r="1791" spans="1:18" x14ac:dyDescent="0.25">
      <c r="A1791" s="8"/>
      <c r="B1791" s="9"/>
      <c r="C1791" s="10"/>
      <c r="D1791" s="10"/>
      <c r="E1791" s="9"/>
      <c r="F1791" s="11"/>
      <c r="G1791" s="9"/>
      <c r="H1791" s="10"/>
      <c r="I1791" s="10"/>
      <c r="J1791" s="11"/>
      <c r="K1791" s="11"/>
      <c r="L1791" s="11"/>
      <c r="M1791" s="10"/>
      <c r="N1791" s="11"/>
      <c r="O1791" s="10"/>
      <c r="P1791" s="11"/>
      <c r="Q1791" s="11"/>
      <c r="R1791" s="12"/>
    </row>
    <row r="1792" spans="1:18" x14ac:dyDescent="0.25">
      <c r="A1792" s="8"/>
      <c r="B1792" s="9"/>
      <c r="C1792" s="10"/>
      <c r="D1792" s="10"/>
      <c r="E1792" s="9"/>
      <c r="F1792" s="11"/>
      <c r="G1792" s="9"/>
      <c r="H1792" s="10"/>
      <c r="I1792" s="10"/>
      <c r="J1792" s="11"/>
      <c r="K1792" s="11"/>
      <c r="L1792" s="11"/>
      <c r="M1792" s="10"/>
      <c r="N1792" s="11"/>
      <c r="O1792" s="10"/>
      <c r="P1792" s="11"/>
      <c r="Q1792" s="11"/>
      <c r="R1792" s="12"/>
    </row>
    <row r="1793" spans="1:18" x14ac:dyDescent="0.25">
      <c r="A1793" s="8"/>
      <c r="B1793" s="9"/>
      <c r="C1793" s="10"/>
      <c r="D1793" s="10"/>
      <c r="E1793" s="9"/>
      <c r="F1793" s="11"/>
      <c r="G1793" s="9"/>
      <c r="H1793" s="10"/>
      <c r="I1793" s="10"/>
      <c r="J1793" s="11"/>
      <c r="K1793" s="11"/>
      <c r="L1793" s="11"/>
      <c r="M1793" s="10"/>
      <c r="N1793" s="11"/>
      <c r="O1793" s="10"/>
      <c r="P1793" s="11"/>
      <c r="Q1793" s="11"/>
      <c r="R1793" s="12"/>
    </row>
    <row r="1794" spans="1:18" x14ac:dyDescent="0.25">
      <c r="A1794" s="8"/>
      <c r="B1794" s="9"/>
      <c r="C1794" s="10"/>
      <c r="D1794" s="10"/>
      <c r="E1794" s="9"/>
      <c r="F1794" s="11"/>
      <c r="G1794" s="9"/>
      <c r="H1794" s="10"/>
      <c r="I1794" s="10"/>
      <c r="J1794" s="11"/>
      <c r="K1794" s="11"/>
      <c r="L1794" s="11"/>
      <c r="M1794" s="10"/>
      <c r="N1794" s="11"/>
      <c r="O1794" s="10"/>
      <c r="P1794" s="11"/>
      <c r="Q1794" s="11"/>
      <c r="R1794" s="12"/>
    </row>
    <row r="1795" spans="1:18" x14ac:dyDescent="0.25">
      <c r="A1795" s="8"/>
      <c r="B1795" s="9"/>
      <c r="C1795" s="10"/>
      <c r="D1795" s="10"/>
      <c r="E1795" s="9"/>
      <c r="F1795" s="11"/>
      <c r="G1795" s="9"/>
      <c r="H1795" s="10"/>
      <c r="I1795" s="10"/>
      <c r="J1795" s="11"/>
      <c r="K1795" s="11"/>
      <c r="L1795" s="11"/>
      <c r="M1795" s="10"/>
      <c r="N1795" s="11"/>
      <c r="O1795" s="10"/>
      <c r="P1795" s="11"/>
      <c r="Q1795" s="11"/>
      <c r="R1795" s="12"/>
    </row>
    <row r="1796" spans="1:18" x14ac:dyDescent="0.25">
      <c r="A1796" s="8"/>
      <c r="B1796" s="9"/>
      <c r="C1796" s="10"/>
      <c r="D1796" s="10"/>
      <c r="E1796" s="9"/>
      <c r="F1796" s="11"/>
      <c r="G1796" s="9"/>
      <c r="H1796" s="10"/>
      <c r="I1796" s="10"/>
      <c r="J1796" s="11"/>
      <c r="K1796" s="11"/>
      <c r="L1796" s="11"/>
      <c r="M1796" s="10"/>
      <c r="N1796" s="11"/>
      <c r="O1796" s="10"/>
      <c r="P1796" s="11"/>
      <c r="Q1796" s="11"/>
      <c r="R1796" s="12"/>
    </row>
    <row r="1797" spans="1:18" x14ac:dyDescent="0.25">
      <c r="A1797" s="8"/>
      <c r="B1797" s="9"/>
      <c r="C1797" s="10"/>
      <c r="D1797" s="10"/>
      <c r="E1797" s="9"/>
      <c r="F1797" s="11"/>
      <c r="G1797" s="9"/>
      <c r="H1797" s="10"/>
      <c r="I1797" s="10"/>
      <c r="J1797" s="11"/>
      <c r="K1797" s="11"/>
      <c r="L1797" s="11"/>
      <c r="M1797" s="10"/>
      <c r="N1797" s="11"/>
      <c r="O1797" s="10"/>
      <c r="P1797" s="11"/>
      <c r="Q1797" s="11"/>
      <c r="R1797" s="12"/>
    </row>
    <row r="1798" spans="1:18" x14ac:dyDescent="0.25">
      <c r="A1798" s="8"/>
      <c r="B1798" s="9"/>
      <c r="C1798" s="10"/>
      <c r="D1798" s="10"/>
      <c r="E1798" s="9"/>
      <c r="F1798" s="11"/>
      <c r="G1798" s="9"/>
      <c r="H1798" s="10"/>
      <c r="I1798" s="10"/>
      <c r="J1798" s="11"/>
      <c r="K1798" s="11"/>
      <c r="L1798" s="11"/>
      <c r="M1798" s="10"/>
      <c r="N1798" s="11"/>
      <c r="O1798" s="10"/>
      <c r="P1798" s="11"/>
      <c r="Q1798" s="11"/>
      <c r="R1798" s="12"/>
    </row>
    <row r="1799" spans="1:18" x14ac:dyDescent="0.25">
      <c r="A1799" s="8"/>
      <c r="B1799" s="9"/>
      <c r="C1799" s="10"/>
      <c r="D1799" s="10"/>
      <c r="E1799" s="9"/>
      <c r="F1799" s="11"/>
      <c r="G1799" s="9"/>
      <c r="H1799" s="10"/>
      <c r="I1799" s="10"/>
      <c r="J1799" s="11"/>
      <c r="K1799" s="11"/>
      <c r="L1799" s="11"/>
      <c r="M1799" s="10"/>
      <c r="N1799" s="11"/>
      <c r="O1799" s="10"/>
      <c r="P1799" s="11"/>
      <c r="Q1799" s="11"/>
      <c r="R1799" s="12"/>
    </row>
    <row r="1800" spans="1:18" x14ac:dyDescent="0.25">
      <c r="A1800" s="8"/>
      <c r="B1800" s="9"/>
      <c r="C1800" s="10"/>
      <c r="D1800" s="10"/>
      <c r="E1800" s="9"/>
      <c r="F1800" s="11"/>
      <c r="G1800" s="9"/>
      <c r="H1800" s="10"/>
      <c r="I1800" s="10"/>
      <c r="J1800" s="11"/>
      <c r="K1800" s="11"/>
      <c r="L1800" s="11"/>
      <c r="M1800" s="10"/>
      <c r="N1800" s="11"/>
      <c r="O1800" s="10"/>
      <c r="P1800" s="11"/>
      <c r="Q1800" s="11"/>
      <c r="R1800" s="12"/>
    </row>
    <row r="1801" spans="1:18" x14ac:dyDescent="0.25">
      <c r="A1801" s="8"/>
      <c r="B1801" s="9"/>
      <c r="C1801" s="10"/>
      <c r="D1801" s="10"/>
      <c r="E1801" s="9"/>
      <c r="F1801" s="11"/>
      <c r="G1801" s="9"/>
      <c r="H1801" s="10"/>
      <c r="I1801" s="10"/>
      <c r="J1801" s="11"/>
      <c r="K1801" s="11"/>
      <c r="L1801" s="11"/>
      <c r="M1801" s="10"/>
      <c r="N1801" s="11"/>
      <c r="O1801" s="10"/>
      <c r="P1801" s="11"/>
      <c r="Q1801" s="11"/>
      <c r="R1801" s="12"/>
    </row>
    <row r="1802" spans="1:18" x14ac:dyDescent="0.25">
      <c r="A1802" s="8"/>
      <c r="B1802" s="9"/>
      <c r="C1802" s="10"/>
      <c r="D1802" s="10"/>
      <c r="E1802" s="9"/>
      <c r="F1802" s="11"/>
      <c r="G1802" s="9"/>
      <c r="H1802" s="10"/>
      <c r="I1802" s="10"/>
      <c r="J1802" s="11"/>
      <c r="K1802" s="11"/>
      <c r="L1802" s="11"/>
      <c r="M1802" s="10"/>
      <c r="N1802" s="11"/>
      <c r="O1802" s="10"/>
      <c r="P1802" s="11"/>
      <c r="Q1802" s="11"/>
      <c r="R1802" s="12"/>
    </row>
    <row r="1803" spans="1:18" x14ac:dyDescent="0.25">
      <c r="A1803" s="8"/>
      <c r="B1803" s="9"/>
      <c r="C1803" s="10"/>
      <c r="D1803" s="10"/>
      <c r="E1803" s="9"/>
      <c r="F1803" s="11"/>
      <c r="G1803" s="9"/>
      <c r="H1803" s="10"/>
      <c r="I1803" s="10"/>
      <c r="J1803" s="11"/>
      <c r="K1803" s="11"/>
      <c r="L1803" s="11"/>
      <c r="M1803" s="10"/>
      <c r="N1803" s="11"/>
      <c r="O1803" s="10"/>
      <c r="P1803" s="11"/>
      <c r="Q1803" s="11"/>
      <c r="R1803" s="12"/>
    </row>
    <row r="1804" spans="1:18" x14ac:dyDescent="0.25">
      <c r="A1804" s="8"/>
      <c r="B1804" s="9"/>
      <c r="C1804" s="10"/>
      <c r="D1804" s="10"/>
      <c r="E1804" s="9"/>
      <c r="F1804" s="11"/>
      <c r="G1804" s="9"/>
      <c r="H1804" s="10"/>
      <c r="I1804" s="10"/>
      <c r="J1804" s="11"/>
      <c r="K1804" s="11"/>
      <c r="L1804" s="11"/>
      <c r="M1804" s="10"/>
      <c r="N1804" s="11"/>
      <c r="O1804" s="10"/>
      <c r="P1804" s="11"/>
      <c r="Q1804" s="11"/>
      <c r="R1804" s="12"/>
    </row>
    <row r="1805" spans="1:18" x14ac:dyDescent="0.25">
      <c r="A1805" s="8"/>
      <c r="B1805" s="9"/>
      <c r="C1805" s="10"/>
      <c r="D1805" s="10"/>
      <c r="E1805" s="9"/>
      <c r="F1805" s="11"/>
      <c r="G1805" s="9"/>
      <c r="H1805" s="10"/>
      <c r="I1805" s="10"/>
      <c r="J1805" s="11"/>
      <c r="K1805" s="11"/>
      <c r="L1805" s="11"/>
      <c r="M1805" s="10"/>
      <c r="N1805" s="11"/>
      <c r="O1805" s="10"/>
      <c r="P1805" s="11"/>
      <c r="Q1805" s="11"/>
      <c r="R1805" s="12"/>
    </row>
    <row r="1806" spans="1:18" x14ac:dyDescent="0.25">
      <c r="A1806" s="8"/>
      <c r="B1806" s="9"/>
      <c r="C1806" s="10"/>
      <c r="D1806" s="10"/>
      <c r="E1806" s="9"/>
      <c r="F1806" s="11"/>
      <c r="G1806" s="9"/>
      <c r="H1806" s="10"/>
      <c r="I1806" s="10"/>
      <c r="J1806" s="11"/>
      <c r="K1806" s="11"/>
      <c r="L1806" s="11"/>
      <c r="M1806" s="10"/>
      <c r="N1806" s="11"/>
      <c r="O1806" s="10"/>
      <c r="P1806" s="11"/>
      <c r="Q1806" s="11"/>
      <c r="R1806" s="12"/>
    </row>
    <row r="1807" spans="1:18" x14ac:dyDescent="0.25">
      <c r="A1807" s="8"/>
      <c r="B1807" s="9"/>
      <c r="C1807" s="10"/>
      <c r="D1807" s="10"/>
      <c r="E1807" s="9"/>
      <c r="F1807" s="11"/>
      <c r="G1807" s="9"/>
      <c r="H1807" s="10"/>
      <c r="I1807" s="10"/>
      <c r="J1807" s="11"/>
      <c r="K1807" s="11"/>
      <c r="L1807" s="11"/>
      <c r="M1807" s="10"/>
      <c r="N1807" s="11"/>
      <c r="O1807" s="10"/>
      <c r="P1807" s="11"/>
      <c r="Q1807" s="11"/>
      <c r="R1807" s="12"/>
    </row>
    <row r="1808" spans="1:18" x14ac:dyDescent="0.25">
      <c r="A1808" s="8"/>
      <c r="B1808" s="9"/>
      <c r="C1808" s="10"/>
      <c r="D1808" s="10"/>
      <c r="E1808" s="9"/>
      <c r="F1808" s="11"/>
      <c r="G1808" s="9"/>
      <c r="H1808" s="10"/>
      <c r="I1808" s="10"/>
      <c r="J1808" s="11"/>
      <c r="K1808" s="11"/>
      <c r="L1808" s="11"/>
      <c r="M1808" s="10"/>
      <c r="N1808" s="11"/>
      <c r="O1808" s="10"/>
      <c r="P1808" s="11"/>
      <c r="Q1808" s="11"/>
      <c r="R1808" s="12"/>
    </row>
    <row r="1809" spans="1:18" x14ac:dyDescent="0.25">
      <c r="A1809" s="8"/>
      <c r="B1809" s="9"/>
      <c r="C1809" s="10"/>
      <c r="D1809" s="10"/>
      <c r="E1809" s="9"/>
      <c r="F1809" s="11"/>
      <c r="G1809" s="9"/>
      <c r="H1809" s="10"/>
      <c r="I1809" s="10"/>
      <c r="J1809" s="11"/>
      <c r="K1809" s="11"/>
      <c r="L1809" s="11"/>
      <c r="M1809" s="10"/>
      <c r="N1809" s="11"/>
      <c r="O1809" s="10"/>
      <c r="P1809" s="11"/>
      <c r="Q1809" s="11"/>
      <c r="R1809" s="12"/>
    </row>
    <row r="1810" spans="1:18" x14ac:dyDescent="0.25">
      <c r="A1810" s="8"/>
      <c r="B1810" s="9"/>
      <c r="C1810" s="10"/>
      <c r="D1810" s="10"/>
      <c r="E1810" s="9"/>
      <c r="F1810" s="11"/>
      <c r="G1810" s="9"/>
      <c r="H1810" s="10"/>
      <c r="I1810" s="10"/>
      <c r="J1810" s="11"/>
      <c r="K1810" s="11"/>
      <c r="L1810" s="11"/>
      <c r="M1810" s="10"/>
      <c r="N1810" s="11"/>
      <c r="O1810" s="10"/>
      <c r="P1810" s="11"/>
      <c r="Q1810" s="11"/>
      <c r="R1810" s="12"/>
    </row>
    <row r="1811" spans="1:18" x14ac:dyDescent="0.25">
      <c r="A1811" s="8"/>
      <c r="B1811" s="9"/>
      <c r="C1811" s="10"/>
      <c r="D1811" s="10"/>
      <c r="E1811" s="9"/>
      <c r="F1811" s="11"/>
      <c r="G1811" s="9"/>
      <c r="H1811" s="10"/>
      <c r="I1811" s="10"/>
      <c r="J1811" s="11"/>
      <c r="K1811" s="11"/>
      <c r="L1811" s="11"/>
      <c r="M1811" s="10"/>
      <c r="N1811" s="11"/>
      <c r="O1811" s="10"/>
      <c r="P1811" s="11"/>
      <c r="Q1811" s="11"/>
      <c r="R1811" s="12"/>
    </row>
    <row r="1812" spans="1:18" x14ac:dyDescent="0.25">
      <c r="A1812" s="8"/>
      <c r="B1812" s="9"/>
      <c r="C1812" s="10"/>
      <c r="D1812" s="10"/>
      <c r="E1812" s="9"/>
      <c r="F1812" s="11"/>
      <c r="G1812" s="9"/>
      <c r="H1812" s="10"/>
      <c r="I1812" s="10"/>
      <c r="J1812" s="11"/>
      <c r="K1812" s="11"/>
      <c r="L1812" s="11"/>
      <c r="M1812" s="10"/>
      <c r="N1812" s="11"/>
      <c r="O1812" s="10"/>
      <c r="P1812" s="11"/>
      <c r="Q1812" s="11"/>
      <c r="R1812" s="12"/>
    </row>
    <row r="1813" spans="1:18" x14ac:dyDescent="0.25">
      <c r="A1813" s="8"/>
      <c r="B1813" s="9"/>
      <c r="C1813" s="10"/>
      <c r="D1813" s="10"/>
      <c r="E1813" s="9"/>
      <c r="F1813" s="11"/>
      <c r="G1813" s="9"/>
      <c r="H1813" s="10"/>
      <c r="I1813" s="10"/>
      <c r="J1813" s="11"/>
      <c r="K1813" s="11"/>
      <c r="L1813" s="11"/>
      <c r="M1813" s="10"/>
      <c r="N1813" s="11"/>
      <c r="O1813" s="10"/>
      <c r="P1813" s="11"/>
      <c r="Q1813" s="11"/>
      <c r="R1813" s="12"/>
    </row>
    <row r="1814" spans="1:18" x14ac:dyDescent="0.25">
      <c r="A1814" s="8"/>
      <c r="B1814" s="9"/>
      <c r="C1814" s="10"/>
      <c r="D1814" s="10"/>
      <c r="E1814" s="9"/>
      <c r="F1814" s="11"/>
      <c r="G1814" s="9"/>
      <c r="H1814" s="10"/>
      <c r="I1814" s="10"/>
      <c r="J1814" s="11"/>
      <c r="K1814" s="11"/>
      <c r="L1814" s="11"/>
      <c r="M1814" s="10"/>
      <c r="N1814" s="11"/>
      <c r="O1814" s="10"/>
      <c r="P1814" s="11"/>
      <c r="Q1814" s="11"/>
      <c r="R1814" s="12"/>
    </row>
    <row r="1815" spans="1:18" x14ac:dyDescent="0.25">
      <c r="A1815" s="8"/>
      <c r="B1815" s="9"/>
      <c r="C1815" s="10"/>
      <c r="D1815" s="10"/>
      <c r="E1815" s="9"/>
      <c r="F1815" s="11"/>
      <c r="G1815" s="9"/>
      <c r="H1815" s="10"/>
      <c r="I1815" s="10"/>
      <c r="J1815" s="11"/>
      <c r="K1815" s="11"/>
      <c r="L1815" s="11"/>
      <c r="M1815" s="10"/>
      <c r="N1815" s="11"/>
      <c r="O1815" s="10"/>
      <c r="P1815" s="11"/>
      <c r="Q1815" s="11"/>
      <c r="R1815" s="12"/>
    </row>
    <row r="1816" spans="1:18" x14ac:dyDescent="0.25">
      <c r="A1816" s="8"/>
      <c r="B1816" s="9"/>
      <c r="C1816" s="10"/>
      <c r="D1816" s="10"/>
      <c r="E1816" s="9"/>
      <c r="F1816" s="11"/>
      <c r="G1816" s="9"/>
      <c r="H1816" s="10"/>
      <c r="I1816" s="10"/>
      <c r="J1816" s="11"/>
      <c r="K1816" s="11"/>
      <c r="L1816" s="11"/>
      <c r="M1816" s="10"/>
      <c r="N1816" s="11"/>
      <c r="O1816" s="10"/>
      <c r="P1816" s="11"/>
      <c r="Q1816" s="11"/>
      <c r="R1816" s="12"/>
    </row>
    <row r="1817" spans="1:18" x14ac:dyDescent="0.25">
      <c r="A1817" s="8"/>
      <c r="B1817" s="9"/>
      <c r="C1817" s="10"/>
      <c r="D1817" s="10"/>
      <c r="E1817" s="9"/>
      <c r="F1817" s="11"/>
      <c r="G1817" s="9"/>
      <c r="H1817" s="10"/>
      <c r="I1817" s="10"/>
      <c r="J1817" s="11"/>
      <c r="K1817" s="11"/>
      <c r="L1817" s="11"/>
      <c r="M1817" s="10"/>
      <c r="N1817" s="11"/>
      <c r="O1817" s="10"/>
      <c r="P1817" s="11"/>
      <c r="Q1817" s="11"/>
      <c r="R1817" s="12"/>
    </row>
    <row r="1818" spans="1:18" x14ac:dyDescent="0.25">
      <c r="A1818" s="8"/>
      <c r="B1818" s="9"/>
      <c r="C1818" s="10"/>
      <c r="D1818" s="10"/>
      <c r="E1818" s="9"/>
      <c r="F1818" s="11"/>
      <c r="G1818" s="9"/>
      <c r="H1818" s="10"/>
      <c r="I1818" s="10"/>
      <c r="J1818" s="11"/>
      <c r="K1818" s="11"/>
      <c r="L1818" s="11"/>
      <c r="M1818" s="10"/>
      <c r="N1818" s="11"/>
      <c r="O1818" s="10"/>
      <c r="P1818" s="11"/>
      <c r="Q1818" s="11"/>
      <c r="R1818" s="12"/>
    </row>
    <row r="1819" spans="1:18" x14ac:dyDescent="0.25">
      <c r="A1819" s="8"/>
      <c r="B1819" s="9"/>
      <c r="C1819" s="10"/>
      <c r="D1819" s="10"/>
      <c r="E1819" s="9"/>
      <c r="F1819" s="11"/>
      <c r="G1819" s="9"/>
      <c r="H1819" s="10"/>
      <c r="I1819" s="10"/>
      <c r="J1819" s="11"/>
      <c r="K1819" s="11"/>
      <c r="L1819" s="11"/>
      <c r="M1819" s="10"/>
      <c r="N1819" s="11"/>
      <c r="O1819" s="10"/>
      <c r="P1819" s="11"/>
      <c r="Q1819" s="11"/>
      <c r="R1819" s="12"/>
    </row>
    <row r="1820" spans="1:18" x14ac:dyDescent="0.25">
      <c r="A1820" s="8"/>
      <c r="B1820" s="9"/>
      <c r="C1820" s="10"/>
      <c r="D1820" s="10"/>
      <c r="E1820" s="9"/>
      <c r="F1820" s="11"/>
      <c r="G1820" s="9"/>
      <c r="H1820" s="10"/>
      <c r="I1820" s="10"/>
      <c r="J1820" s="11"/>
      <c r="K1820" s="11"/>
      <c r="L1820" s="11"/>
      <c r="M1820" s="10"/>
      <c r="N1820" s="11"/>
      <c r="O1820" s="10"/>
      <c r="P1820" s="11"/>
      <c r="Q1820" s="11"/>
      <c r="R1820" s="12"/>
    </row>
    <row r="1821" spans="1:18" x14ac:dyDescent="0.25">
      <c r="A1821" s="8"/>
      <c r="B1821" s="9"/>
      <c r="C1821" s="10"/>
      <c r="D1821" s="10"/>
      <c r="E1821" s="9"/>
      <c r="F1821" s="11"/>
      <c r="G1821" s="9"/>
      <c r="H1821" s="10"/>
      <c r="I1821" s="10"/>
      <c r="J1821" s="11"/>
      <c r="K1821" s="11"/>
      <c r="L1821" s="11"/>
      <c r="M1821" s="10"/>
      <c r="N1821" s="11"/>
      <c r="O1821" s="10"/>
      <c r="P1821" s="11"/>
      <c r="Q1821" s="11"/>
      <c r="R1821" s="12"/>
    </row>
    <row r="1822" spans="1:18" x14ac:dyDescent="0.25">
      <c r="A1822" s="8"/>
      <c r="B1822" s="9"/>
      <c r="C1822" s="10"/>
      <c r="D1822" s="10"/>
      <c r="E1822" s="9"/>
      <c r="F1822" s="11"/>
      <c r="G1822" s="9"/>
      <c r="H1822" s="10"/>
      <c r="I1822" s="10"/>
      <c r="J1822" s="11"/>
      <c r="K1822" s="11"/>
      <c r="L1822" s="11"/>
      <c r="M1822" s="10"/>
      <c r="N1822" s="11"/>
      <c r="O1822" s="10"/>
      <c r="P1822" s="11"/>
      <c r="Q1822" s="11"/>
      <c r="R1822" s="12"/>
    </row>
    <row r="1823" spans="1:18" x14ac:dyDescent="0.25">
      <c r="A1823" s="8"/>
      <c r="B1823" s="9"/>
      <c r="C1823" s="10"/>
      <c r="D1823" s="10"/>
      <c r="E1823" s="9"/>
      <c r="F1823" s="11"/>
      <c r="G1823" s="9"/>
      <c r="H1823" s="10"/>
      <c r="I1823" s="10"/>
      <c r="J1823" s="11"/>
      <c r="K1823" s="11"/>
      <c r="L1823" s="11"/>
      <c r="M1823" s="10"/>
      <c r="N1823" s="11"/>
      <c r="O1823" s="10"/>
      <c r="P1823" s="11"/>
      <c r="Q1823" s="11"/>
      <c r="R1823" s="12"/>
    </row>
    <row r="1824" spans="1:18" x14ac:dyDescent="0.25">
      <c r="A1824" s="8"/>
      <c r="B1824" s="9"/>
      <c r="C1824" s="10"/>
      <c r="D1824" s="10"/>
      <c r="E1824" s="9"/>
      <c r="F1824" s="11"/>
      <c r="G1824" s="9"/>
      <c r="H1824" s="10"/>
      <c r="I1824" s="10"/>
      <c r="J1824" s="11"/>
      <c r="K1824" s="11"/>
      <c r="L1824" s="11"/>
      <c r="M1824" s="10"/>
      <c r="N1824" s="11"/>
      <c r="O1824" s="10"/>
      <c r="P1824" s="11"/>
      <c r="Q1824" s="11"/>
      <c r="R1824" s="12"/>
    </row>
    <row r="1825" spans="1:18" x14ac:dyDescent="0.25">
      <c r="A1825" s="8"/>
      <c r="B1825" s="9"/>
      <c r="C1825" s="10"/>
      <c r="D1825" s="10"/>
      <c r="E1825" s="9"/>
      <c r="F1825" s="11"/>
      <c r="G1825" s="9"/>
      <c r="H1825" s="10"/>
      <c r="I1825" s="10"/>
      <c r="J1825" s="11"/>
      <c r="K1825" s="11"/>
      <c r="L1825" s="11"/>
      <c r="M1825" s="10"/>
      <c r="N1825" s="11"/>
      <c r="O1825" s="10"/>
      <c r="P1825" s="11"/>
      <c r="Q1825" s="11"/>
      <c r="R1825" s="12"/>
    </row>
    <row r="1826" spans="1:18" x14ac:dyDescent="0.25">
      <c r="A1826" s="8"/>
      <c r="B1826" s="9"/>
      <c r="C1826" s="10"/>
      <c r="D1826" s="10"/>
      <c r="E1826" s="9"/>
      <c r="F1826" s="11"/>
      <c r="G1826" s="9"/>
      <c r="H1826" s="10"/>
      <c r="I1826" s="10"/>
      <c r="J1826" s="11"/>
      <c r="K1826" s="11"/>
      <c r="L1826" s="11"/>
      <c r="M1826" s="10"/>
      <c r="N1826" s="11"/>
      <c r="O1826" s="10"/>
      <c r="P1826" s="11"/>
      <c r="Q1826" s="11"/>
      <c r="R1826" s="12"/>
    </row>
    <row r="1827" spans="1:18" x14ac:dyDescent="0.25">
      <c r="A1827" s="8"/>
      <c r="B1827" s="9"/>
      <c r="C1827" s="10"/>
      <c r="D1827" s="10"/>
      <c r="E1827" s="9"/>
      <c r="F1827" s="11"/>
      <c r="G1827" s="9"/>
      <c r="H1827" s="10"/>
      <c r="I1827" s="10"/>
      <c r="J1827" s="11"/>
      <c r="K1827" s="11"/>
      <c r="L1827" s="11"/>
      <c r="M1827" s="10"/>
      <c r="N1827" s="11"/>
      <c r="O1827" s="10"/>
      <c r="P1827" s="11"/>
      <c r="Q1827" s="11"/>
      <c r="R1827" s="12"/>
    </row>
    <row r="1828" spans="1:18" x14ac:dyDescent="0.25">
      <c r="A1828" s="8"/>
      <c r="B1828" s="9"/>
      <c r="C1828" s="10"/>
      <c r="D1828" s="10"/>
      <c r="E1828" s="9"/>
      <c r="F1828" s="11"/>
      <c r="G1828" s="9"/>
      <c r="H1828" s="10"/>
      <c r="I1828" s="10"/>
      <c r="J1828" s="11"/>
      <c r="K1828" s="11"/>
      <c r="L1828" s="11"/>
      <c r="M1828" s="10"/>
      <c r="N1828" s="11"/>
      <c r="O1828" s="10"/>
      <c r="P1828" s="11"/>
      <c r="Q1828" s="11"/>
      <c r="R1828" s="12"/>
    </row>
    <row r="1829" spans="1:18" x14ac:dyDescent="0.25">
      <c r="A1829" s="8"/>
      <c r="B1829" s="9"/>
      <c r="C1829" s="10"/>
      <c r="D1829" s="10"/>
      <c r="E1829" s="9"/>
      <c r="F1829" s="11"/>
      <c r="G1829" s="9"/>
      <c r="H1829" s="10"/>
      <c r="I1829" s="10"/>
      <c r="J1829" s="11"/>
      <c r="K1829" s="11"/>
      <c r="L1829" s="11"/>
      <c r="M1829" s="10"/>
      <c r="N1829" s="11"/>
      <c r="O1829" s="10"/>
      <c r="P1829" s="11"/>
      <c r="Q1829" s="11"/>
      <c r="R1829" s="12"/>
    </row>
    <row r="1830" spans="1:18" x14ac:dyDescent="0.25">
      <c r="A1830" s="8"/>
      <c r="B1830" s="9"/>
      <c r="C1830" s="10"/>
      <c r="D1830" s="10"/>
      <c r="E1830" s="9"/>
      <c r="F1830" s="11"/>
      <c r="G1830" s="9"/>
      <c r="H1830" s="10"/>
      <c r="I1830" s="10"/>
      <c r="J1830" s="11"/>
      <c r="K1830" s="11"/>
      <c r="L1830" s="11"/>
      <c r="M1830" s="10"/>
      <c r="N1830" s="11"/>
      <c r="O1830" s="10"/>
      <c r="P1830" s="11"/>
      <c r="Q1830" s="11"/>
      <c r="R1830" s="12"/>
    </row>
    <row r="1831" spans="1:18" x14ac:dyDescent="0.25">
      <c r="A1831" s="8"/>
      <c r="B1831" s="9"/>
      <c r="C1831" s="10"/>
      <c r="D1831" s="10"/>
      <c r="E1831" s="9"/>
      <c r="F1831" s="11"/>
      <c r="G1831" s="9"/>
      <c r="H1831" s="10"/>
      <c r="I1831" s="10"/>
      <c r="J1831" s="11"/>
      <c r="K1831" s="11"/>
      <c r="L1831" s="11"/>
      <c r="M1831" s="10"/>
      <c r="N1831" s="11"/>
      <c r="O1831" s="10"/>
      <c r="P1831" s="11"/>
      <c r="Q1831" s="11"/>
      <c r="R1831" s="12"/>
    </row>
    <row r="1832" spans="1:18" x14ac:dyDescent="0.25">
      <c r="A1832" s="8"/>
      <c r="B1832" s="9"/>
      <c r="C1832" s="10"/>
      <c r="D1832" s="10"/>
      <c r="E1832" s="9"/>
      <c r="F1832" s="11"/>
      <c r="G1832" s="9"/>
      <c r="H1832" s="10"/>
      <c r="I1832" s="10"/>
      <c r="J1832" s="11"/>
      <c r="K1832" s="11"/>
      <c r="L1832" s="11"/>
      <c r="M1832" s="10"/>
      <c r="N1832" s="11"/>
      <c r="O1832" s="10"/>
      <c r="P1832" s="11"/>
      <c r="Q1832" s="11"/>
      <c r="R1832" s="12"/>
    </row>
    <row r="1833" spans="1:18" x14ac:dyDescent="0.25">
      <c r="A1833" s="8"/>
      <c r="B1833" s="9"/>
      <c r="C1833" s="10"/>
      <c r="D1833" s="10"/>
      <c r="E1833" s="9"/>
      <c r="F1833" s="11"/>
      <c r="G1833" s="9"/>
      <c r="H1833" s="10"/>
      <c r="I1833" s="10"/>
      <c r="J1833" s="11"/>
      <c r="K1833" s="11"/>
      <c r="L1833" s="11"/>
      <c r="M1833" s="10"/>
      <c r="N1833" s="11"/>
      <c r="O1833" s="10"/>
      <c r="P1833" s="11"/>
      <c r="Q1833" s="11"/>
      <c r="R1833" s="12"/>
    </row>
    <row r="1834" spans="1:18" x14ac:dyDescent="0.25">
      <c r="A1834" s="8"/>
      <c r="B1834" s="9"/>
      <c r="C1834" s="10"/>
      <c r="D1834" s="10"/>
      <c r="E1834" s="9"/>
      <c r="F1834" s="11"/>
      <c r="G1834" s="9"/>
      <c r="H1834" s="10"/>
      <c r="I1834" s="10"/>
      <c r="J1834" s="11"/>
      <c r="K1834" s="11"/>
      <c r="L1834" s="11"/>
      <c r="M1834" s="10"/>
      <c r="N1834" s="11"/>
      <c r="O1834" s="10"/>
      <c r="P1834" s="11"/>
      <c r="Q1834" s="11"/>
      <c r="R1834" s="12"/>
    </row>
    <row r="1835" spans="1:18" x14ac:dyDescent="0.25">
      <c r="A1835" s="8"/>
      <c r="B1835" s="9"/>
      <c r="C1835" s="10"/>
      <c r="D1835" s="10"/>
      <c r="E1835" s="9"/>
      <c r="F1835" s="11"/>
      <c r="G1835" s="9"/>
      <c r="H1835" s="10"/>
      <c r="I1835" s="10"/>
      <c r="J1835" s="11"/>
      <c r="K1835" s="11"/>
      <c r="L1835" s="11"/>
      <c r="M1835" s="10"/>
      <c r="N1835" s="11"/>
      <c r="O1835" s="10"/>
      <c r="P1835" s="11"/>
      <c r="Q1835" s="11"/>
      <c r="R1835" s="12"/>
    </row>
    <row r="1836" spans="1:18" x14ac:dyDescent="0.25">
      <c r="A1836" s="8"/>
      <c r="B1836" s="9"/>
      <c r="C1836" s="10"/>
      <c r="D1836" s="10"/>
      <c r="E1836" s="9"/>
      <c r="F1836" s="11"/>
      <c r="G1836" s="9"/>
      <c r="H1836" s="10"/>
      <c r="I1836" s="10"/>
      <c r="J1836" s="11"/>
      <c r="K1836" s="11"/>
      <c r="L1836" s="11"/>
      <c r="M1836" s="10"/>
      <c r="N1836" s="11"/>
      <c r="O1836" s="10"/>
      <c r="P1836" s="11"/>
      <c r="Q1836" s="11"/>
      <c r="R1836" s="12"/>
    </row>
    <row r="1837" spans="1:18" x14ac:dyDescent="0.25">
      <c r="A1837" s="8"/>
      <c r="B1837" s="9"/>
      <c r="C1837" s="10"/>
      <c r="D1837" s="10"/>
      <c r="E1837" s="9"/>
      <c r="F1837" s="11"/>
      <c r="G1837" s="9"/>
      <c r="H1837" s="10"/>
      <c r="I1837" s="10"/>
      <c r="J1837" s="11"/>
      <c r="K1837" s="11"/>
      <c r="L1837" s="11"/>
      <c r="M1837" s="10"/>
      <c r="N1837" s="11"/>
      <c r="O1837" s="10"/>
      <c r="P1837" s="11"/>
      <c r="Q1837" s="11"/>
      <c r="R1837" s="12"/>
    </row>
    <row r="1838" spans="1:18" x14ac:dyDescent="0.25">
      <c r="A1838" s="8"/>
      <c r="B1838" s="9"/>
      <c r="C1838" s="10"/>
      <c r="D1838" s="10"/>
      <c r="E1838" s="9"/>
      <c r="F1838" s="11"/>
      <c r="G1838" s="9"/>
      <c r="H1838" s="10"/>
      <c r="I1838" s="10"/>
      <c r="J1838" s="11"/>
      <c r="K1838" s="11"/>
      <c r="L1838" s="11"/>
      <c r="M1838" s="10"/>
      <c r="N1838" s="11"/>
      <c r="O1838" s="10"/>
      <c r="P1838" s="11"/>
      <c r="Q1838" s="11"/>
      <c r="R1838" s="12"/>
    </row>
    <row r="1839" spans="1:18" x14ac:dyDescent="0.25">
      <c r="A1839" s="8"/>
      <c r="B1839" s="9"/>
      <c r="C1839" s="10"/>
      <c r="D1839" s="10"/>
      <c r="E1839" s="9"/>
      <c r="F1839" s="11"/>
      <c r="G1839" s="9"/>
      <c r="H1839" s="10"/>
      <c r="I1839" s="10"/>
      <c r="J1839" s="11"/>
      <c r="K1839" s="11"/>
      <c r="L1839" s="11"/>
      <c r="M1839" s="10"/>
      <c r="N1839" s="11"/>
      <c r="O1839" s="10"/>
      <c r="P1839" s="11"/>
      <c r="Q1839" s="11"/>
      <c r="R1839" s="12"/>
    </row>
    <row r="1840" spans="1:18" x14ac:dyDescent="0.25">
      <c r="A1840" s="8"/>
      <c r="B1840" s="9"/>
      <c r="C1840" s="10"/>
      <c r="D1840" s="10"/>
      <c r="E1840" s="9"/>
      <c r="F1840" s="11"/>
      <c r="G1840" s="9"/>
      <c r="H1840" s="10"/>
      <c r="I1840" s="10"/>
      <c r="J1840" s="11"/>
      <c r="K1840" s="11"/>
      <c r="L1840" s="11"/>
      <c r="M1840" s="10"/>
      <c r="N1840" s="11"/>
      <c r="O1840" s="10"/>
      <c r="P1840" s="11"/>
      <c r="Q1840" s="11"/>
      <c r="R1840" s="12"/>
    </row>
    <row r="1841" spans="1:18" x14ac:dyDescent="0.25">
      <c r="A1841" s="8"/>
      <c r="B1841" s="9"/>
      <c r="C1841" s="10"/>
      <c r="D1841" s="10"/>
      <c r="E1841" s="9"/>
      <c r="F1841" s="11"/>
      <c r="G1841" s="9"/>
      <c r="H1841" s="10"/>
      <c r="I1841" s="10"/>
      <c r="J1841" s="11"/>
      <c r="K1841" s="11"/>
      <c r="L1841" s="11"/>
      <c r="M1841" s="10"/>
      <c r="N1841" s="11"/>
      <c r="O1841" s="10"/>
      <c r="P1841" s="11"/>
      <c r="Q1841" s="11"/>
      <c r="R1841" s="12"/>
    </row>
    <row r="1842" spans="1:18" x14ac:dyDescent="0.25">
      <c r="A1842" s="8"/>
      <c r="B1842" s="9"/>
      <c r="C1842" s="10"/>
      <c r="D1842" s="10"/>
      <c r="E1842" s="9"/>
      <c r="F1842" s="11"/>
      <c r="G1842" s="9"/>
      <c r="H1842" s="10"/>
      <c r="I1842" s="10"/>
      <c r="J1842" s="11"/>
      <c r="K1842" s="11"/>
      <c r="L1842" s="11"/>
      <c r="M1842" s="10"/>
      <c r="N1842" s="11"/>
      <c r="O1842" s="10"/>
      <c r="P1842" s="11"/>
      <c r="Q1842" s="11"/>
      <c r="R1842" s="12"/>
    </row>
    <row r="1843" spans="1:18" x14ac:dyDescent="0.25">
      <c r="A1843" s="8"/>
      <c r="B1843" s="9"/>
      <c r="C1843" s="10"/>
      <c r="D1843" s="10"/>
      <c r="E1843" s="9"/>
      <c r="F1843" s="11"/>
      <c r="G1843" s="9"/>
      <c r="H1843" s="10"/>
      <c r="I1843" s="10"/>
      <c r="J1843" s="11"/>
      <c r="K1843" s="11"/>
      <c r="L1843" s="11"/>
      <c r="M1843" s="10"/>
      <c r="N1843" s="11"/>
      <c r="O1843" s="10"/>
      <c r="P1843" s="11"/>
      <c r="Q1843" s="11"/>
      <c r="R1843" s="12"/>
    </row>
    <row r="1844" spans="1:18" x14ac:dyDescent="0.25">
      <c r="A1844" s="8"/>
      <c r="B1844" s="9"/>
      <c r="C1844" s="10"/>
      <c r="D1844" s="10"/>
      <c r="E1844" s="9"/>
      <c r="F1844" s="11"/>
      <c r="G1844" s="9"/>
      <c r="H1844" s="10"/>
      <c r="I1844" s="10"/>
      <c r="J1844" s="11"/>
      <c r="K1844" s="11"/>
      <c r="L1844" s="11"/>
      <c r="M1844" s="10"/>
      <c r="N1844" s="11"/>
      <c r="O1844" s="10"/>
      <c r="P1844" s="11"/>
      <c r="Q1844" s="11"/>
      <c r="R1844" s="12"/>
    </row>
    <row r="1845" spans="1:18" x14ac:dyDescent="0.25">
      <c r="A1845" s="8"/>
      <c r="B1845" s="9"/>
      <c r="C1845" s="10"/>
      <c r="D1845" s="10"/>
      <c r="E1845" s="9"/>
      <c r="F1845" s="11"/>
      <c r="G1845" s="9"/>
      <c r="H1845" s="10"/>
      <c r="I1845" s="10"/>
      <c r="J1845" s="11"/>
      <c r="K1845" s="11"/>
      <c r="L1845" s="11"/>
      <c r="M1845" s="10"/>
      <c r="N1845" s="11"/>
      <c r="O1845" s="10"/>
      <c r="P1845" s="11"/>
      <c r="Q1845" s="11"/>
      <c r="R1845" s="12"/>
    </row>
    <row r="1846" spans="1:18" x14ac:dyDescent="0.25">
      <c r="A1846" s="8"/>
      <c r="B1846" s="9"/>
      <c r="C1846" s="10"/>
      <c r="D1846" s="10"/>
      <c r="E1846" s="9"/>
      <c r="F1846" s="11"/>
      <c r="G1846" s="9"/>
      <c r="H1846" s="10"/>
      <c r="I1846" s="10"/>
      <c r="J1846" s="11"/>
      <c r="K1846" s="11"/>
      <c r="L1846" s="11"/>
      <c r="M1846" s="10"/>
      <c r="N1846" s="11"/>
      <c r="O1846" s="10"/>
      <c r="P1846" s="11"/>
      <c r="Q1846" s="11"/>
      <c r="R1846" s="12"/>
    </row>
    <row r="1847" spans="1:18" x14ac:dyDescent="0.25">
      <c r="A1847" s="8"/>
      <c r="B1847" s="9"/>
      <c r="C1847" s="10"/>
      <c r="D1847" s="10"/>
      <c r="E1847" s="9"/>
      <c r="F1847" s="11"/>
      <c r="G1847" s="9"/>
      <c r="H1847" s="10"/>
      <c r="I1847" s="10"/>
      <c r="J1847" s="11"/>
      <c r="K1847" s="11"/>
      <c r="L1847" s="11"/>
      <c r="M1847" s="10"/>
      <c r="N1847" s="11"/>
      <c r="O1847" s="10"/>
      <c r="P1847" s="11"/>
      <c r="Q1847" s="11"/>
      <c r="R1847" s="12"/>
    </row>
    <row r="1848" spans="1:18" x14ac:dyDescent="0.25">
      <c r="A1848" s="8"/>
      <c r="B1848" s="9"/>
      <c r="C1848" s="10"/>
      <c r="D1848" s="10"/>
      <c r="E1848" s="9"/>
      <c r="F1848" s="11"/>
      <c r="G1848" s="9"/>
      <c r="H1848" s="10"/>
      <c r="I1848" s="10"/>
      <c r="J1848" s="11"/>
      <c r="K1848" s="11"/>
      <c r="L1848" s="11"/>
      <c r="M1848" s="10"/>
      <c r="N1848" s="11"/>
      <c r="O1848" s="10"/>
      <c r="P1848" s="11"/>
      <c r="Q1848" s="11"/>
      <c r="R1848" s="12"/>
    </row>
    <row r="1849" spans="1:18" x14ac:dyDescent="0.25">
      <c r="A1849" s="8"/>
      <c r="B1849" s="9"/>
      <c r="C1849" s="10"/>
      <c r="D1849" s="10"/>
      <c r="E1849" s="9"/>
      <c r="F1849" s="11"/>
      <c r="G1849" s="9"/>
      <c r="H1849" s="10"/>
      <c r="I1849" s="10"/>
      <c r="J1849" s="11"/>
      <c r="K1849" s="11"/>
      <c r="L1849" s="11"/>
      <c r="M1849" s="10"/>
      <c r="N1849" s="11"/>
      <c r="O1849" s="10"/>
      <c r="P1849" s="11"/>
      <c r="Q1849" s="11"/>
      <c r="R1849" s="12"/>
    </row>
    <row r="1850" spans="1:18" x14ac:dyDescent="0.25">
      <c r="A1850" s="8"/>
      <c r="B1850" s="9"/>
      <c r="C1850" s="10"/>
      <c r="D1850" s="10"/>
      <c r="E1850" s="9"/>
      <c r="F1850" s="11"/>
      <c r="G1850" s="9"/>
      <c r="H1850" s="10"/>
      <c r="I1850" s="10"/>
      <c r="J1850" s="11"/>
      <c r="K1850" s="11"/>
      <c r="L1850" s="11"/>
      <c r="M1850" s="10"/>
      <c r="N1850" s="11"/>
      <c r="O1850" s="10"/>
      <c r="P1850" s="11"/>
      <c r="Q1850" s="11"/>
      <c r="R1850" s="12"/>
    </row>
    <row r="1851" spans="1:18" x14ac:dyDescent="0.25">
      <c r="A1851" s="8"/>
      <c r="B1851" s="9"/>
      <c r="C1851" s="10"/>
      <c r="D1851" s="10"/>
      <c r="E1851" s="9"/>
      <c r="F1851" s="11"/>
      <c r="G1851" s="9"/>
      <c r="H1851" s="10"/>
      <c r="I1851" s="10"/>
      <c r="J1851" s="11"/>
      <c r="K1851" s="11"/>
      <c r="L1851" s="11"/>
      <c r="M1851" s="10"/>
      <c r="N1851" s="11"/>
      <c r="O1851" s="10"/>
      <c r="P1851" s="11"/>
      <c r="Q1851" s="11"/>
      <c r="R1851" s="12"/>
    </row>
    <row r="1852" spans="1:18" x14ac:dyDescent="0.25">
      <c r="A1852" s="8"/>
      <c r="B1852" s="9"/>
      <c r="C1852" s="10"/>
      <c r="D1852" s="10"/>
      <c r="E1852" s="9"/>
      <c r="F1852" s="11"/>
      <c r="G1852" s="9"/>
      <c r="H1852" s="10"/>
      <c r="I1852" s="10"/>
      <c r="J1852" s="11"/>
      <c r="K1852" s="11"/>
      <c r="L1852" s="11"/>
      <c r="M1852" s="10"/>
      <c r="N1852" s="11"/>
      <c r="O1852" s="10"/>
      <c r="P1852" s="11"/>
      <c r="Q1852" s="11"/>
      <c r="R1852" s="12"/>
    </row>
    <row r="1853" spans="1:18" x14ac:dyDescent="0.25">
      <c r="A1853" s="8"/>
      <c r="B1853" s="9"/>
      <c r="C1853" s="10"/>
      <c r="D1853" s="10"/>
      <c r="E1853" s="9"/>
      <c r="F1853" s="11"/>
      <c r="G1853" s="9"/>
      <c r="H1853" s="10"/>
      <c r="I1853" s="10"/>
      <c r="J1853" s="11"/>
      <c r="K1853" s="11"/>
      <c r="L1853" s="11"/>
      <c r="M1853" s="10"/>
      <c r="N1853" s="11"/>
      <c r="O1853" s="10"/>
      <c r="P1853" s="11"/>
      <c r="Q1853" s="11"/>
      <c r="R1853" s="12"/>
    </row>
    <row r="1854" spans="1:18" x14ac:dyDescent="0.25">
      <c r="A1854" s="8"/>
      <c r="B1854" s="9"/>
      <c r="C1854" s="10"/>
      <c r="D1854" s="10"/>
      <c r="E1854" s="9"/>
      <c r="F1854" s="11"/>
      <c r="G1854" s="9"/>
      <c r="H1854" s="10"/>
      <c r="I1854" s="10"/>
      <c r="J1854" s="11"/>
      <c r="K1854" s="11"/>
      <c r="L1854" s="11"/>
      <c r="M1854" s="10"/>
      <c r="N1854" s="11"/>
      <c r="O1854" s="10"/>
      <c r="P1854" s="11"/>
      <c r="Q1854" s="11"/>
      <c r="R1854" s="12"/>
    </row>
    <row r="1855" spans="1:18" x14ac:dyDescent="0.25">
      <c r="A1855" s="8"/>
      <c r="B1855" s="9"/>
      <c r="C1855" s="10"/>
      <c r="D1855" s="10"/>
      <c r="E1855" s="9"/>
      <c r="F1855" s="11"/>
      <c r="G1855" s="9"/>
      <c r="H1855" s="10"/>
      <c r="I1855" s="10"/>
      <c r="J1855" s="11"/>
      <c r="K1855" s="11"/>
      <c r="L1855" s="11"/>
      <c r="M1855" s="10"/>
      <c r="N1855" s="11"/>
      <c r="O1855" s="10"/>
      <c r="P1855" s="11"/>
      <c r="Q1855" s="11"/>
      <c r="R1855" s="12"/>
    </row>
    <row r="1856" spans="1:18" x14ac:dyDescent="0.25">
      <c r="A1856" s="8"/>
      <c r="B1856" s="9"/>
      <c r="C1856" s="10"/>
      <c r="D1856" s="10"/>
      <c r="E1856" s="9"/>
      <c r="F1856" s="11"/>
      <c r="G1856" s="9"/>
      <c r="H1856" s="10"/>
      <c r="I1856" s="10"/>
      <c r="J1856" s="11"/>
      <c r="K1856" s="11"/>
      <c r="L1856" s="11"/>
      <c r="M1856" s="10"/>
      <c r="N1856" s="11"/>
      <c r="O1856" s="10"/>
      <c r="P1856" s="11"/>
      <c r="Q1856" s="11"/>
      <c r="R1856" s="12"/>
    </row>
    <row r="1857" spans="1:18" x14ac:dyDescent="0.25">
      <c r="A1857" s="8"/>
      <c r="B1857" s="9"/>
      <c r="C1857" s="10"/>
      <c r="D1857" s="10"/>
      <c r="E1857" s="9"/>
      <c r="F1857" s="11"/>
      <c r="G1857" s="9"/>
      <c r="H1857" s="10"/>
      <c r="I1857" s="10"/>
      <c r="J1857" s="11"/>
      <c r="K1857" s="11"/>
      <c r="L1857" s="11"/>
      <c r="M1857" s="10"/>
      <c r="N1857" s="11"/>
      <c r="O1857" s="10"/>
      <c r="P1857" s="11"/>
      <c r="Q1857" s="11"/>
      <c r="R1857" s="12"/>
    </row>
    <row r="1858" spans="1:18" x14ac:dyDescent="0.25">
      <c r="A1858" s="8"/>
      <c r="B1858" s="9"/>
      <c r="C1858" s="10"/>
      <c r="D1858" s="10"/>
      <c r="E1858" s="9"/>
      <c r="F1858" s="11"/>
      <c r="G1858" s="9"/>
      <c r="H1858" s="10"/>
      <c r="I1858" s="10"/>
      <c r="J1858" s="11"/>
      <c r="K1858" s="11"/>
      <c r="L1858" s="11"/>
      <c r="M1858" s="10"/>
      <c r="N1858" s="11"/>
      <c r="O1858" s="10"/>
      <c r="P1858" s="11"/>
      <c r="Q1858" s="11"/>
      <c r="R1858" s="12"/>
    </row>
    <row r="1859" spans="1:18" x14ac:dyDescent="0.25">
      <c r="A1859" s="8"/>
      <c r="B1859" s="9"/>
      <c r="C1859" s="10"/>
      <c r="D1859" s="10"/>
      <c r="E1859" s="9"/>
      <c r="F1859" s="11"/>
      <c r="G1859" s="9"/>
      <c r="H1859" s="10"/>
      <c r="I1859" s="10"/>
      <c r="J1859" s="11"/>
      <c r="K1859" s="11"/>
      <c r="L1859" s="11"/>
      <c r="M1859" s="10"/>
      <c r="N1859" s="11"/>
      <c r="O1859" s="10"/>
      <c r="P1859" s="11"/>
      <c r="Q1859" s="11"/>
      <c r="R1859" s="12"/>
    </row>
    <row r="1860" spans="1:18" x14ac:dyDescent="0.25">
      <c r="A1860" s="8"/>
      <c r="B1860" s="9"/>
      <c r="C1860" s="10"/>
      <c r="D1860" s="10"/>
      <c r="E1860" s="9"/>
      <c r="F1860" s="11"/>
      <c r="G1860" s="9"/>
      <c r="H1860" s="10"/>
      <c r="I1860" s="10"/>
      <c r="J1860" s="11"/>
      <c r="K1860" s="11"/>
      <c r="L1860" s="11"/>
      <c r="M1860" s="10"/>
      <c r="N1860" s="11"/>
      <c r="O1860" s="10"/>
      <c r="P1860" s="11"/>
      <c r="Q1860" s="11"/>
      <c r="R1860" s="12"/>
    </row>
    <row r="1861" spans="1:18" x14ac:dyDescent="0.25">
      <c r="A1861" s="8"/>
      <c r="B1861" s="9"/>
      <c r="C1861" s="10"/>
      <c r="D1861" s="10"/>
      <c r="E1861" s="9"/>
      <c r="F1861" s="11"/>
      <c r="G1861" s="9"/>
      <c r="H1861" s="10"/>
      <c r="I1861" s="10"/>
      <c r="J1861" s="11"/>
      <c r="K1861" s="11"/>
      <c r="L1861" s="11"/>
      <c r="M1861" s="10"/>
      <c r="N1861" s="11"/>
      <c r="O1861" s="10"/>
      <c r="P1861" s="11"/>
      <c r="Q1861" s="11"/>
      <c r="R1861" s="12"/>
    </row>
    <row r="1862" spans="1:18" x14ac:dyDescent="0.25">
      <c r="A1862" s="8"/>
      <c r="B1862" s="9"/>
      <c r="C1862" s="10"/>
      <c r="D1862" s="10"/>
      <c r="E1862" s="9"/>
      <c r="F1862" s="11"/>
      <c r="G1862" s="9"/>
      <c r="H1862" s="10"/>
      <c r="I1862" s="10"/>
      <c r="J1862" s="11"/>
      <c r="K1862" s="11"/>
      <c r="L1862" s="11"/>
      <c r="M1862" s="10"/>
      <c r="N1862" s="11"/>
      <c r="O1862" s="10"/>
      <c r="P1862" s="11"/>
      <c r="Q1862" s="11"/>
      <c r="R1862" s="12"/>
    </row>
    <row r="1863" spans="1:18" x14ac:dyDescent="0.25">
      <c r="A1863" s="8"/>
      <c r="B1863" s="9"/>
      <c r="C1863" s="10"/>
      <c r="D1863" s="10"/>
      <c r="E1863" s="9"/>
      <c r="F1863" s="11"/>
      <c r="G1863" s="9"/>
      <c r="H1863" s="10"/>
      <c r="I1863" s="10"/>
      <c r="J1863" s="11"/>
      <c r="K1863" s="11"/>
      <c r="L1863" s="11"/>
      <c r="M1863" s="10"/>
      <c r="N1863" s="11"/>
      <c r="O1863" s="10"/>
      <c r="P1863" s="11"/>
      <c r="Q1863" s="11"/>
      <c r="R1863" s="12"/>
    </row>
    <row r="1864" spans="1:18" x14ac:dyDescent="0.25">
      <c r="A1864" s="8"/>
      <c r="B1864" s="9"/>
      <c r="C1864" s="10"/>
      <c r="D1864" s="10"/>
      <c r="E1864" s="9"/>
      <c r="F1864" s="11"/>
      <c r="G1864" s="9"/>
      <c r="H1864" s="10"/>
      <c r="I1864" s="10"/>
      <c r="J1864" s="11"/>
      <c r="K1864" s="11"/>
      <c r="L1864" s="11"/>
      <c r="M1864" s="10"/>
      <c r="N1864" s="11"/>
      <c r="O1864" s="10"/>
      <c r="P1864" s="11"/>
      <c r="Q1864" s="11"/>
      <c r="R1864" s="12"/>
    </row>
    <row r="1865" spans="1:18" x14ac:dyDescent="0.25">
      <c r="A1865" s="8"/>
      <c r="B1865" s="9"/>
      <c r="C1865" s="10"/>
      <c r="D1865" s="10"/>
      <c r="E1865" s="9"/>
      <c r="F1865" s="11"/>
      <c r="G1865" s="9"/>
      <c r="H1865" s="10"/>
      <c r="I1865" s="10"/>
      <c r="J1865" s="11"/>
      <c r="K1865" s="11"/>
      <c r="L1865" s="11"/>
      <c r="M1865" s="10"/>
      <c r="N1865" s="11"/>
      <c r="O1865" s="10"/>
      <c r="P1865" s="11"/>
      <c r="Q1865" s="11"/>
      <c r="R1865" s="12"/>
    </row>
    <row r="1866" spans="1:18" x14ac:dyDescent="0.25">
      <c r="A1866" s="8"/>
      <c r="B1866" s="9"/>
      <c r="C1866" s="10"/>
      <c r="D1866" s="10"/>
      <c r="E1866" s="9"/>
      <c r="F1866" s="11"/>
      <c r="G1866" s="9"/>
      <c r="H1866" s="10"/>
      <c r="I1866" s="10"/>
      <c r="J1866" s="11"/>
      <c r="K1866" s="11"/>
      <c r="L1866" s="11"/>
      <c r="M1866" s="10"/>
      <c r="N1866" s="11"/>
      <c r="O1866" s="10"/>
      <c r="P1866" s="11"/>
      <c r="Q1866" s="11"/>
      <c r="R1866" s="12"/>
    </row>
    <row r="1867" spans="1:18" x14ac:dyDescent="0.25">
      <c r="A1867" s="8"/>
      <c r="B1867" s="9"/>
      <c r="C1867" s="10"/>
      <c r="D1867" s="10"/>
      <c r="E1867" s="9"/>
      <c r="F1867" s="11"/>
      <c r="G1867" s="9"/>
      <c r="H1867" s="10"/>
      <c r="I1867" s="10"/>
      <c r="J1867" s="11"/>
      <c r="K1867" s="11"/>
      <c r="L1867" s="11"/>
      <c r="M1867" s="10"/>
      <c r="N1867" s="11"/>
      <c r="O1867" s="10"/>
      <c r="P1867" s="11"/>
      <c r="Q1867" s="11"/>
      <c r="R1867" s="12"/>
    </row>
    <row r="1868" spans="1:18" x14ac:dyDescent="0.25">
      <c r="A1868" s="8"/>
      <c r="B1868" s="9"/>
      <c r="C1868" s="10"/>
      <c r="D1868" s="10"/>
      <c r="E1868" s="9"/>
      <c r="F1868" s="11"/>
      <c r="G1868" s="9"/>
      <c r="H1868" s="10"/>
      <c r="I1868" s="10"/>
      <c r="J1868" s="11"/>
      <c r="K1868" s="11"/>
      <c r="L1868" s="11"/>
      <c r="M1868" s="10"/>
      <c r="N1868" s="11"/>
      <c r="O1868" s="10"/>
      <c r="P1868" s="11"/>
      <c r="Q1868" s="11"/>
      <c r="R1868" s="12"/>
    </row>
    <row r="1869" spans="1:18" x14ac:dyDescent="0.25">
      <c r="A1869" s="8"/>
      <c r="B1869" s="9"/>
      <c r="C1869" s="10"/>
      <c r="D1869" s="10"/>
      <c r="E1869" s="9"/>
      <c r="F1869" s="11"/>
      <c r="G1869" s="9"/>
      <c r="H1869" s="10"/>
      <c r="I1869" s="10"/>
      <c r="J1869" s="11"/>
      <c r="K1869" s="11"/>
      <c r="L1869" s="11"/>
      <c r="M1869" s="10"/>
      <c r="N1869" s="11"/>
      <c r="O1869" s="10"/>
      <c r="P1869" s="11"/>
      <c r="Q1869" s="11"/>
      <c r="R1869" s="12"/>
    </row>
    <row r="1870" spans="1:18" x14ac:dyDescent="0.25">
      <c r="A1870" s="8"/>
      <c r="B1870" s="9"/>
      <c r="C1870" s="10"/>
      <c r="D1870" s="10"/>
      <c r="E1870" s="9"/>
      <c r="F1870" s="11"/>
      <c r="G1870" s="9"/>
      <c r="H1870" s="10"/>
      <c r="I1870" s="10"/>
      <c r="J1870" s="11"/>
      <c r="K1870" s="11"/>
      <c r="L1870" s="11"/>
      <c r="M1870" s="10"/>
      <c r="N1870" s="11"/>
      <c r="O1870" s="10"/>
      <c r="P1870" s="11"/>
      <c r="Q1870" s="11"/>
      <c r="R1870" s="12"/>
    </row>
    <row r="1871" spans="1:18" x14ac:dyDescent="0.25">
      <c r="A1871" s="8"/>
      <c r="B1871" s="9"/>
      <c r="C1871" s="10"/>
      <c r="D1871" s="10"/>
      <c r="E1871" s="9"/>
      <c r="F1871" s="11"/>
      <c r="G1871" s="9"/>
      <c r="H1871" s="10"/>
      <c r="I1871" s="10"/>
      <c r="J1871" s="11"/>
      <c r="K1871" s="11"/>
      <c r="L1871" s="11"/>
      <c r="M1871" s="10"/>
      <c r="N1871" s="11"/>
      <c r="O1871" s="10"/>
      <c r="P1871" s="11"/>
      <c r="Q1871" s="11"/>
      <c r="R1871" s="12"/>
    </row>
    <row r="1872" spans="1:18" x14ac:dyDescent="0.25">
      <c r="A1872" s="8"/>
      <c r="B1872" s="9"/>
      <c r="C1872" s="10"/>
      <c r="D1872" s="10"/>
      <c r="E1872" s="9"/>
      <c r="F1872" s="11"/>
      <c r="G1872" s="9"/>
      <c r="H1872" s="10"/>
      <c r="I1872" s="10"/>
      <c r="J1872" s="11"/>
      <c r="K1872" s="11"/>
      <c r="L1872" s="11"/>
      <c r="M1872" s="10"/>
      <c r="N1872" s="11"/>
      <c r="O1872" s="10"/>
      <c r="P1872" s="11"/>
      <c r="Q1872" s="11"/>
      <c r="R1872" s="12"/>
    </row>
    <row r="1873" spans="1:18" x14ac:dyDescent="0.25">
      <c r="A1873" s="8"/>
      <c r="B1873" s="9"/>
      <c r="C1873" s="10"/>
      <c r="D1873" s="10"/>
      <c r="E1873" s="9"/>
      <c r="F1873" s="11"/>
      <c r="G1873" s="9"/>
      <c r="H1873" s="10"/>
      <c r="I1873" s="10"/>
      <c r="J1873" s="11"/>
      <c r="K1873" s="11"/>
      <c r="L1873" s="11"/>
      <c r="M1873" s="10"/>
      <c r="N1873" s="11"/>
      <c r="O1873" s="10"/>
      <c r="P1873" s="11"/>
      <c r="Q1873" s="11"/>
      <c r="R1873" s="12"/>
    </row>
    <row r="1874" spans="1:18" x14ac:dyDescent="0.25">
      <c r="A1874" s="8"/>
      <c r="B1874" s="9"/>
      <c r="C1874" s="10"/>
      <c r="D1874" s="10"/>
      <c r="E1874" s="9"/>
      <c r="F1874" s="11"/>
      <c r="G1874" s="9"/>
      <c r="H1874" s="10"/>
      <c r="I1874" s="10"/>
      <c r="J1874" s="11"/>
      <c r="K1874" s="11"/>
      <c r="L1874" s="11"/>
      <c r="M1874" s="10"/>
      <c r="N1874" s="11"/>
      <c r="O1874" s="10"/>
      <c r="P1874" s="11"/>
      <c r="Q1874" s="11"/>
      <c r="R1874" s="12"/>
    </row>
    <row r="1875" spans="1:18" x14ac:dyDescent="0.25">
      <c r="A1875" s="8"/>
      <c r="B1875" s="9"/>
      <c r="C1875" s="10"/>
      <c r="D1875" s="10"/>
      <c r="E1875" s="9"/>
      <c r="F1875" s="11"/>
      <c r="G1875" s="9"/>
      <c r="H1875" s="10"/>
      <c r="I1875" s="10"/>
      <c r="J1875" s="11"/>
      <c r="K1875" s="11"/>
      <c r="L1875" s="11"/>
      <c r="M1875" s="10"/>
      <c r="N1875" s="11"/>
      <c r="O1875" s="10"/>
      <c r="P1875" s="11"/>
      <c r="Q1875" s="11"/>
      <c r="R1875" s="12"/>
    </row>
    <row r="1876" spans="1:18" x14ac:dyDescent="0.25">
      <c r="A1876" s="8"/>
      <c r="B1876" s="9"/>
      <c r="C1876" s="10"/>
      <c r="D1876" s="10"/>
      <c r="E1876" s="9"/>
      <c r="F1876" s="11"/>
      <c r="G1876" s="9"/>
      <c r="H1876" s="10"/>
      <c r="I1876" s="10"/>
      <c r="J1876" s="11"/>
      <c r="K1876" s="11"/>
      <c r="L1876" s="11"/>
      <c r="M1876" s="10"/>
      <c r="N1876" s="11"/>
      <c r="O1876" s="10"/>
      <c r="P1876" s="11"/>
      <c r="Q1876" s="11"/>
      <c r="R1876" s="12"/>
    </row>
    <row r="1877" spans="1:18" x14ac:dyDescent="0.25">
      <c r="A1877" s="8"/>
      <c r="B1877" s="9"/>
      <c r="C1877" s="10"/>
      <c r="D1877" s="10"/>
      <c r="E1877" s="9"/>
      <c r="F1877" s="11"/>
      <c r="G1877" s="9"/>
      <c r="H1877" s="10"/>
      <c r="I1877" s="10"/>
      <c r="J1877" s="11"/>
      <c r="K1877" s="11"/>
      <c r="L1877" s="11"/>
      <c r="M1877" s="10"/>
      <c r="N1877" s="11"/>
      <c r="O1877" s="10"/>
      <c r="P1877" s="11"/>
      <c r="Q1877" s="11"/>
      <c r="R1877" s="12"/>
    </row>
    <row r="1878" spans="1:18" x14ac:dyDescent="0.25">
      <c r="A1878" s="8"/>
      <c r="B1878" s="9"/>
      <c r="C1878" s="10"/>
      <c r="D1878" s="10"/>
      <c r="E1878" s="9"/>
      <c r="F1878" s="11"/>
      <c r="G1878" s="9"/>
      <c r="H1878" s="10"/>
      <c r="I1878" s="10"/>
      <c r="J1878" s="11"/>
      <c r="K1878" s="11"/>
      <c r="L1878" s="11"/>
      <c r="M1878" s="10"/>
      <c r="N1878" s="11"/>
      <c r="O1878" s="10"/>
      <c r="P1878" s="11"/>
      <c r="Q1878" s="11"/>
      <c r="R1878" s="12"/>
    </row>
    <row r="1879" spans="1:18" x14ac:dyDescent="0.25">
      <c r="A1879" s="8"/>
      <c r="B1879" s="9"/>
      <c r="C1879" s="10"/>
      <c r="D1879" s="10"/>
      <c r="E1879" s="9"/>
      <c r="F1879" s="11"/>
      <c r="G1879" s="9"/>
      <c r="H1879" s="10"/>
      <c r="I1879" s="10"/>
      <c r="J1879" s="11"/>
      <c r="K1879" s="11"/>
      <c r="L1879" s="11"/>
      <c r="M1879" s="10"/>
      <c r="N1879" s="11"/>
      <c r="O1879" s="10"/>
      <c r="P1879" s="11"/>
      <c r="Q1879" s="11"/>
      <c r="R1879" s="12"/>
    </row>
    <row r="1880" spans="1:18" x14ac:dyDescent="0.25">
      <c r="A1880" s="8"/>
      <c r="B1880" s="9"/>
      <c r="C1880" s="10"/>
      <c r="D1880" s="10"/>
      <c r="E1880" s="9"/>
      <c r="F1880" s="11"/>
      <c r="G1880" s="9"/>
      <c r="H1880" s="10"/>
      <c r="I1880" s="10"/>
      <c r="J1880" s="11"/>
      <c r="K1880" s="11"/>
      <c r="L1880" s="11"/>
      <c r="M1880" s="10"/>
      <c r="N1880" s="11"/>
      <c r="O1880" s="10"/>
      <c r="P1880" s="11"/>
      <c r="Q1880" s="11"/>
      <c r="R1880" s="12"/>
    </row>
    <row r="1881" spans="1:18" x14ac:dyDescent="0.25">
      <c r="A1881" s="8"/>
      <c r="B1881" s="9"/>
      <c r="C1881" s="10"/>
      <c r="D1881" s="10"/>
      <c r="E1881" s="9"/>
      <c r="F1881" s="11"/>
      <c r="G1881" s="9"/>
      <c r="H1881" s="10"/>
      <c r="I1881" s="10"/>
      <c r="J1881" s="11"/>
      <c r="K1881" s="11"/>
      <c r="L1881" s="11"/>
      <c r="M1881" s="10"/>
      <c r="N1881" s="11"/>
      <c r="O1881" s="10"/>
      <c r="P1881" s="11"/>
      <c r="Q1881" s="11"/>
      <c r="R1881" s="12"/>
    </row>
    <row r="1882" spans="1:18" x14ac:dyDescent="0.25">
      <c r="A1882" s="8"/>
      <c r="B1882" s="9"/>
      <c r="C1882" s="10"/>
      <c r="D1882" s="10"/>
      <c r="E1882" s="9"/>
      <c r="F1882" s="11"/>
      <c r="G1882" s="9"/>
      <c r="H1882" s="10"/>
      <c r="I1882" s="10"/>
      <c r="J1882" s="11"/>
      <c r="K1882" s="11"/>
      <c r="L1882" s="11"/>
      <c r="M1882" s="10"/>
      <c r="N1882" s="11"/>
      <c r="O1882" s="10"/>
      <c r="P1882" s="11"/>
      <c r="Q1882" s="11"/>
      <c r="R1882" s="12"/>
    </row>
    <row r="1883" spans="1:18" x14ac:dyDescent="0.25">
      <c r="A1883" s="8"/>
      <c r="B1883" s="9"/>
      <c r="C1883" s="10"/>
      <c r="D1883" s="10"/>
      <c r="E1883" s="9"/>
      <c r="F1883" s="11"/>
      <c r="G1883" s="9"/>
      <c r="H1883" s="10"/>
      <c r="I1883" s="10"/>
      <c r="J1883" s="11"/>
      <c r="K1883" s="11"/>
      <c r="L1883" s="11"/>
      <c r="M1883" s="10"/>
      <c r="N1883" s="11"/>
      <c r="O1883" s="10"/>
      <c r="P1883" s="11"/>
      <c r="Q1883" s="11"/>
      <c r="R1883" s="12"/>
    </row>
    <row r="1884" spans="1:18" x14ac:dyDescent="0.25">
      <c r="A1884" s="8"/>
      <c r="B1884" s="9"/>
      <c r="C1884" s="10"/>
      <c r="D1884" s="10"/>
      <c r="E1884" s="9"/>
      <c r="F1884" s="11"/>
      <c r="G1884" s="9"/>
      <c r="H1884" s="10"/>
      <c r="I1884" s="10"/>
      <c r="J1884" s="11"/>
      <c r="K1884" s="11"/>
      <c r="L1884" s="11"/>
      <c r="M1884" s="10"/>
      <c r="N1884" s="11"/>
      <c r="O1884" s="10"/>
      <c r="P1884" s="11"/>
      <c r="Q1884" s="11"/>
      <c r="R1884" s="12"/>
    </row>
    <row r="1885" spans="1:18" x14ac:dyDescent="0.25">
      <c r="A1885" s="8"/>
      <c r="B1885" s="9"/>
      <c r="C1885" s="10"/>
      <c r="D1885" s="10"/>
      <c r="E1885" s="9"/>
      <c r="F1885" s="11"/>
      <c r="G1885" s="9"/>
      <c r="H1885" s="10"/>
      <c r="I1885" s="10"/>
      <c r="J1885" s="11"/>
      <c r="K1885" s="11"/>
      <c r="L1885" s="11"/>
      <c r="M1885" s="10"/>
      <c r="N1885" s="11"/>
      <c r="O1885" s="10"/>
      <c r="P1885" s="11"/>
      <c r="Q1885" s="11"/>
      <c r="R1885" s="12"/>
    </row>
    <row r="1886" spans="1:18" x14ac:dyDescent="0.25">
      <c r="A1886" s="8"/>
      <c r="B1886" s="9"/>
      <c r="C1886" s="10"/>
      <c r="D1886" s="10"/>
      <c r="E1886" s="9"/>
      <c r="F1886" s="11"/>
      <c r="G1886" s="9"/>
      <c r="H1886" s="10"/>
      <c r="I1886" s="10"/>
      <c r="J1886" s="11"/>
      <c r="K1886" s="11"/>
      <c r="L1886" s="11"/>
      <c r="M1886" s="10"/>
      <c r="N1886" s="11"/>
      <c r="O1886" s="10"/>
      <c r="P1886" s="11"/>
      <c r="Q1886" s="11"/>
      <c r="R1886" s="12"/>
    </row>
    <row r="1887" spans="1:18" x14ac:dyDescent="0.25">
      <c r="A1887" s="8"/>
      <c r="B1887" s="9"/>
      <c r="C1887" s="10"/>
      <c r="D1887" s="10"/>
      <c r="E1887" s="9"/>
      <c r="F1887" s="11"/>
      <c r="G1887" s="9"/>
      <c r="H1887" s="10"/>
      <c r="I1887" s="10"/>
      <c r="J1887" s="11"/>
      <c r="K1887" s="11"/>
      <c r="L1887" s="11"/>
      <c r="M1887" s="10"/>
      <c r="N1887" s="11"/>
      <c r="O1887" s="10"/>
      <c r="P1887" s="11"/>
      <c r="Q1887" s="11"/>
      <c r="R1887" s="12"/>
    </row>
    <row r="1888" spans="1:18" x14ac:dyDescent="0.25">
      <c r="A1888" s="8"/>
      <c r="B1888" s="9"/>
      <c r="C1888" s="10"/>
      <c r="D1888" s="10"/>
      <c r="E1888" s="9"/>
      <c r="F1888" s="11"/>
      <c r="G1888" s="9"/>
      <c r="H1888" s="10"/>
      <c r="I1888" s="10"/>
      <c r="J1888" s="11"/>
      <c r="K1888" s="11"/>
      <c r="L1888" s="11"/>
      <c r="M1888" s="10"/>
      <c r="N1888" s="11"/>
      <c r="O1888" s="10"/>
      <c r="P1888" s="11"/>
      <c r="Q1888" s="11"/>
      <c r="R1888" s="12"/>
    </row>
    <row r="1889" spans="1:18" x14ac:dyDescent="0.25">
      <c r="A1889" s="8"/>
      <c r="B1889" s="9"/>
      <c r="C1889" s="10"/>
      <c r="D1889" s="10"/>
      <c r="E1889" s="9"/>
      <c r="F1889" s="11"/>
      <c r="G1889" s="9"/>
      <c r="H1889" s="10"/>
      <c r="I1889" s="10"/>
      <c r="J1889" s="11"/>
      <c r="K1889" s="11"/>
      <c r="L1889" s="11"/>
      <c r="M1889" s="10"/>
      <c r="N1889" s="11"/>
      <c r="O1889" s="10"/>
      <c r="P1889" s="11"/>
      <c r="Q1889" s="11"/>
      <c r="R1889" s="12"/>
    </row>
    <row r="1890" spans="1:18" x14ac:dyDescent="0.25">
      <c r="A1890" s="8"/>
      <c r="B1890" s="9"/>
      <c r="C1890" s="10"/>
      <c r="D1890" s="10"/>
      <c r="E1890" s="9"/>
      <c r="F1890" s="11"/>
      <c r="G1890" s="9"/>
      <c r="H1890" s="10"/>
      <c r="I1890" s="10"/>
      <c r="J1890" s="11"/>
      <c r="K1890" s="11"/>
      <c r="L1890" s="11"/>
      <c r="M1890" s="10"/>
      <c r="N1890" s="11"/>
      <c r="O1890" s="10"/>
      <c r="P1890" s="11"/>
      <c r="Q1890" s="11"/>
      <c r="R1890" s="12"/>
    </row>
    <row r="1891" spans="1:18" x14ac:dyDescent="0.25">
      <c r="A1891" s="8"/>
      <c r="B1891" s="9"/>
      <c r="C1891" s="10"/>
      <c r="D1891" s="10"/>
      <c r="E1891" s="9"/>
      <c r="F1891" s="11"/>
      <c r="G1891" s="9"/>
      <c r="H1891" s="10"/>
      <c r="I1891" s="10"/>
      <c r="J1891" s="11"/>
      <c r="K1891" s="11"/>
      <c r="L1891" s="11"/>
      <c r="M1891" s="10"/>
      <c r="N1891" s="11"/>
      <c r="O1891" s="10"/>
      <c r="P1891" s="11"/>
      <c r="Q1891" s="11"/>
      <c r="R1891" s="12"/>
    </row>
    <row r="1892" spans="1:18" x14ac:dyDescent="0.25">
      <c r="A1892" s="8"/>
      <c r="B1892" s="9"/>
      <c r="C1892" s="10"/>
      <c r="D1892" s="10"/>
      <c r="E1892" s="9"/>
      <c r="F1892" s="11"/>
      <c r="G1892" s="9"/>
      <c r="H1892" s="10"/>
      <c r="I1892" s="10"/>
      <c r="J1892" s="11"/>
      <c r="K1892" s="11"/>
      <c r="L1892" s="11"/>
      <c r="M1892" s="10"/>
      <c r="N1892" s="11"/>
      <c r="O1892" s="10"/>
      <c r="P1892" s="11"/>
      <c r="Q1892" s="11"/>
      <c r="R1892" s="12"/>
    </row>
    <row r="1893" spans="1:18" x14ac:dyDescent="0.25">
      <c r="A1893" s="8"/>
      <c r="B1893" s="9"/>
      <c r="C1893" s="10"/>
      <c r="D1893" s="10"/>
      <c r="E1893" s="9"/>
      <c r="F1893" s="11"/>
      <c r="G1893" s="9"/>
      <c r="H1893" s="10"/>
      <c r="I1893" s="10"/>
      <c r="J1893" s="11"/>
      <c r="K1893" s="11"/>
      <c r="L1893" s="11"/>
      <c r="M1893" s="10"/>
      <c r="N1893" s="11"/>
      <c r="O1893" s="10"/>
      <c r="P1893" s="11"/>
      <c r="Q1893" s="11"/>
      <c r="R1893" s="12"/>
    </row>
    <row r="1894" spans="1:18" x14ac:dyDescent="0.25">
      <c r="A1894" s="8"/>
      <c r="B1894" s="9"/>
      <c r="C1894" s="10"/>
      <c r="D1894" s="10"/>
      <c r="E1894" s="9"/>
      <c r="F1894" s="11"/>
      <c r="G1894" s="9"/>
      <c r="H1894" s="10"/>
      <c r="I1894" s="10"/>
      <c r="J1894" s="11"/>
      <c r="K1894" s="11"/>
      <c r="L1894" s="11"/>
      <c r="M1894" s="10"/>
      <c r="N1894" s="11"/>
      <c r="O1894" s="10"/>
      <c r="P1894" s="11"/>
      <c r="Q1894" s="11"/>
      <c r="R1894" s="12"/>
    </row>
    <row r="1895" spans="1:18" x14ac:dyDescent="0.25">
      <c r="A1895" s="8"/>
      <c r="B1895" s="9"/>
      <c r="C1895" s="10"/>
      <c r="D1895" s="10"/>
      <c r="E1895" s="9"/>
      <c r="F1895" s="11"/>
      <c r="G1895" s="9"/>
      <c r="H1895" s="10"/>
      <c r="I1895" s="10"/>
      <c r="J1895" s="11"/>
      <c r="K1895" s="11"/>
      <c r="L1895" s="11"/>
      <c r="M1895" s="10"/>
      <c r="N1895" s="11"/>
      <c r="O1895" s="10"/>
      <c r="P1895" s="11"/>
      <c r="Q1895" s="11"/>
      <c r="R1895" s="12"/>
    </row>
    <row r="1896" spans="1:18" x14ac:dyDescent="0.25">
      <c r="A1896" s="8"/>
      <c r="B1896" s="9"/>
      <c r="C1896" s="10"/>
      <c r="D1896" s="10"/>
      <c r="E1896" s="9"/>
      <c r="F1896" s="11"/>
      <c r="G1896" s="9"/>
      <c r="H1896" s="10"/>
      <c r="I1896" s="10"/>
      <c r="J1896" s="11"/>
      <c r="K1896" s="11"/>
      <c r="L1896" s="11"/>
      <c r="M1896" s="10"/>
      <c r="N1896" s="11"/>
      <c r="O1896" s="10"/>
      <c r="P1896" s="11"/>
      <c r="Q1896" s="11"/>
      <c r="R1896" s="12"/>
    </row>
    <row r="1897" spans="1:18" x14ac:dyDescent="0.25">
      <c r="A1897" s="8"/>
      <c r="B1897" s="9"/>
      <c r="C1897" s="10"/>
      <c r="D1897" s="10"/>
      <c r="E1897" s="9"/>
      <c r="F1897" s="11"/>
      <c r="G1897" s="9"/>
      <c r="H1897" s="10"/>
      <c r="I1897" s="10"/>
      <c r="J1897" s="11"/>
      <c r="K1897" s="11"/>
      <c r="L1897" s="11"/>
      <c r="M1897" s="10"/>
      <c r="N1897" s="11"/>
      <c r="O1897" s="10"/>
      <c r="P1897" s="11"/>
      <c r="Q1897" s="11"/>
      <c r="R1897" s="12"/>
    </row>
    <row r="1898" spans="1:18" x14ac:dyDescent="0.25">
      <c r="A1898" s="8"/>
      <c r="B1898" s="9"/>
      <c r="C1898" s="10"/>
      <c r="D1898" s="10"/>
      <c r="E1898" s="9"/>
      <c r="F1898" s="11"/>
      <c r="G1898" s="9"/>
      <c r="H1898" s="10"/>
      <c r="I1898" s="10"/>
      <c r="J1898" s="11"/>
      <c r="K1898" s="11"/>
      <c r="L1898" s="11"/>
      <c r="M1898" s="10"/>
      <c r="N1898" s="11"/>
      <c r="O1898" s="10"/>
      <c r="P1898" s="11"/>
      <c r="Q1898" s="11"/>
      <c r="R1898" s="12"/>
    </row>
    <row r="1899" spans="1:18" x14ac:dyDescent="0.25">
      <c r="A1899" s="8"/>
      <c r="B1899" s="9"/>
      <c r="C1899" s="10"/>
      <c r="D1899" s="10"/>
      <c r="E1899" s="9"/>
      <c r="F1899" s="11"/>
      <c r="G1899" s="9"/>
      <c r="H1899" s="10"/>
      <c r="I1899" s="10"/>
      <c r="J1899" s="11"/>
      <c r="K1899" s="11"/>
      <c r="L1899" s="11"/>
      <c r="M1899" s="10"/>
      <c r="N1899" s="11"/>
      <c r="O1899" s="10"/>
      <c r="P1899" s="11"/>
      <c r="Q1899" s="11"/>
      <c r="R1899" s="12"/>
    </row>
    <row r="1900" spans="1:18" x14ac:dyDescent="0.25">
      <c r="A1900" s="8"/>
      <c r="B1900" s="9"/>
      <c r="C1900" s="10"/>
      <c r="D1900" s="10"/>
      <c r="E1900" s="9"/>
      <c r="F1900" s="11"/>
      <c r="G1900" s="9"/>
      <c r="H1900" s="10"/>
      <c r="I1900" s="10"/>
      <c r="J1900" s="11"/>
      <c r="K1900" s="11"/>
      <c r="L1900" s="11"/>
      <c r="M1900" s="10"/>
      <c r="N1900" s="11"/>
      <c r="O1900" s="10"/>
      <c r="P1900" s="11"/>
      <c r="Q1900" s="11"/>
      <c r="R1900" s="12"/>
    </row>
    <row r="1901" spans="1:18" x14ac:dyDescent="0.25">
      <c r="A1901" s="8"/>
      <c r="B1901" s="9"/>
      <c r="C1901" s="10"/>
      <c r="D1901" s="10"/>
      <c r="E1901" s="9"/>
      <c r="F1901" s="11"/>
      <c r="G1901" s="9"/>
      <c r="H1901" s="10"/>
      <c r="I1901" s="10"/>
      <c r="J1901" s="11"/>
      <c r="K1901" s="11"/>
      <c r="L1901" s="11"/>
      <c r="M1901" s="10"/>
      <c r="N1901" s="11"/>
      <c r="O1901" s="10"/>
      <c r="P1901" s="11"/>
      <c r="Q1901" s="11"/>
      <c r="R1901" s="12"/>
    </row>
    <row r="1902" spans="1:18" x14ac:dyDescent="0.25">
      <c r="A1902" s="8"/>
      <c r="B1902" s="9"/>
      <c r="C1902" s="10"/>
      <c r="D1902" s="10"/>
      <c r="E1902" s="9"/>
      <c r="F1902" s="11"/>
      <c r="G1902" s="9"/>
      <c r="H1902" s="10"/>
      <c r="I1902" s="10"/>
      <c r="J1902" s="11"/>
      <c r="K1902" s="11"/>
      <c r="L1902" s="11"/>
      <c r="M1902" s="10"/>
      <c r="N1902" s="11"/>
      <c r="O1902" s="10"/>
      <c r="P1902" s="11"/>
      <c r="Q1902" s="11"/>
      <c r="R1902" s="12"/>
    </row>
    <row r="1903" spans="1:18" x14ac:dyDescent="0.25">
      <c r="A1903" s="8"/>
      <c r="B1903" s="9"/>
      <c r="C1903" s="10"/>
      <c r="D1903" s="10"/>
      <c r="E1903" s="9"/>
      <c r="F1903" s="11"/>
      <c r="G1903" s="9"/>
      <c r="H1903" s="10"/>
      <c r="I1903" s="10"/>
      <c r="J1903" s="11"/>
      <c r="K1903" s="11"/>
      <c r="L1903" s="11"/>
      <c r="M1903" s="10"/>
      <c r="N1903" s="11"/>
      <c r="O1903" s="10"/>
      <c r="P1903" s="11"/>
      <c r="Q1903" s="11"/>
      <c r="R1903" s="12"/>
    </row>
    <row r="1904" spans="1:18" x14ac:dyDescent="0.25">
      <c r="A1904" s="8"/>
      <c r="B1904" s="9"/>
      <c r="C1904" s="10"/>
      <c r="D1904" s="10"/>
      <c r="E1904" s="9"/>
      <c r="F1904" s="11"/>
      <c r="G1904" s="9"/>
      <c r="H1904" s="10"/>
      <c r="I1904" s="10"/>
      <c r="J1904" s="11"/>
      <c r="K1904" s="11"/>
      <c r="L1904" s="11"/>
      <c r="M1904" s="10"/>
      <c r="N1904" s="11"/>
      <c r="O1904" s="10"/>
      <c r="P1904" s="11"/>
      <c r="Q1904" s="11"/>
      <c r="R1904" s="12"/>
    </row>
    <row r="1905" spans="1:18" x14ac:dyDescent="0.25">
      <c r="A1905" s="8"/>
      <c r="B1905" s="9"/>
      <c r="C1905" s="10"/>
      <c r="D1905" s="10"/>
      <c r="E1905" s="9"/>
      <c r="F1905" s="11"/>
      <c r="G1905" s="9"/>
      <c r="H1905" s="10"/>
      <c r="I1905" s="10"/>
      <c r="J1905" s="11"/>
      <c r="K1905" s="11"/>
      <c r="L1905" s="11"/>
      <c r="M1905" s="10"/>
      <c r="N1905" s="11"/>
      <c r="O1905" s="10"/>
      <c r="P1905" s="11"/>
      <c r="Q1905" s="11"/>
      <c r="R1905" s="12"/>
    </row>
    <row r="1906" spans="1:18" x14ac:dyDescent="0.25">
      <c r="A1906" s="8"/>
      <c r="B1906" s="9"/>
      <c r="C1906" s="10"/>
      <c r="D1906" s="10"/>
      <c r="E1906" s="9"/>
      <c r="F1906" s="11"/>
      <c r="G1906" s="9"/>
      <c r="H1906" s="10"/>
      <c r="I1906" s="10"/>
      <c r="J1906" s="11"/>
      <c r="K1906" s="11"/>
      <c r="L1906" s="11"/>
      <c r="M1906" s="10"/>
      <c r="N1906" s="11"/>
      <c r="O1906" s="10"/>
      <c r="P1906" s="11"/>
      <c r="Q1906" s="11"/>
      <c r="R1906" s="12"/>
    </row>
    <row r="1907" spans="1:18" x14ac:dyDescent="0.25">
      <c r="A1907" s="8"/>
      <c r="B1907" s="9"/>
      <c r="C1907" s="10"/>
      <c r="D1907" s="10"/>
      <c r="E1907" s="9"/>
      <c r="F1907" s="11"/>
      <c r="G1907" s="9"/>
      <c r="H1907" s="10"/>
      <c r="I1907" s="10"/>
      <c r="J1907" s="11"/>
      <c r="K1907" s="11"/>
      <c r="L1907" s="11"/>
      <c r="M1907" s="10"/>
      <c r="N1907" s="11"/>
      <c r="O1907" s="10"/>
      <c r="P1907" s="11"/>
      <c r="Q1907" s="11"/>
      <c r="R1907" s="12"/>
    </row>
    <row r="1908" spans="1:18" x14ac:dyDescent="0.25">
      <c r="A1908" s="8"/>
      <c r="B1908" s="9"/>
      <c r="C1908" s="10"/>
      <c r="D1908" s="10"/>
      <c r="E1908" s="9"/>
      <c r="F1908" s="11"/>
      <c r="G1908" s="9"/>
      <c r="H1908" s="10"/>
      <c r="I1908" s="10"/>
      <c r="J1908" s="11"/>
      <c r="K1908" s="11"/>
      <c r="L1908" s="11"/>
      <c r="M1908" s="10"/>
      <c r="N1908" s="11"/>
      <c r="O1908" s="10"/>
      <c r="P1908" s="11"/>
      <c r="Q1908" s="11"/>
      <c r="R1908" s="12"/>
    </row>
    <row r="1909" spans="1:18" x14ac:dyDescent="0.25">
      <c r="A1909" s="8"/>
      <c r="B1909" s="9"/>
      <c r="C1909" s="10"/>
      <c r="D1909" s="10"/>
      <c r="E1909" s="9"/>
      <c r="F1909" s="11"/>
      <c r="G1909" s="9"/>
      <c r="H1909" s="10"/>
      <c r="I1909" s="10"/>
      <c r="J1909" s="11"/>
      <c r="K1909" s="11"/>
      <c r="L1909" s="11"/>
      <c r="M1909" s="10"/>
      <c r="N1909" s="11"/>
      <c r="O1909" s="10"/>
      <c r="P1909" s="11"/>
      <c r="Q1909" s="11"/>
      <c r="R1909" s="12"/>
    </row>
    <row r="1910" spans="1:18" x14ac:dyDescent="0.25">
      <c r="A1910" s="8"/>
      <c r="B1910" s="9"/>
      <c r="C1910" s="10"/>
      <c r="D1910" s="10"/>
      <c r="E1910" s="9"/>
      <c r="F1910" s="11"/>
      <c r="G1910" s="9"/>
      <c r="H1910" s="10"/>
      <c r="I1910" s="10"/>
      <c r="J1910" s="11"/>
      <c r="K1910" s="11"/>
      <c r="L1910" s="11"/>
      <c r="M1910" s="10"/>
      <c r="N1910" s="11"/>
      <c r="O1910" s="10"/>
      <c r="P1910" s="11"/>
      <c r="Q1910" s="11"/>
      <c r="R1910" s="12"/>
    </row>
    <row r="1911" spans="1:18" x14ac:dyDescent="0.25">
      <c r="A1911" s="8"/>
      <c r="B1911" s="9"/>
      <c r="C1911" s="10"/>
      <c r="D1911" s="10"/>
      <c r="E1911" s="9"/>
      <c r="F1911" s="11"/>
      <c r="G1911" s="9"/>
      <c r="H1911" s="10"/>
      <c r="I1911" s="10"/>
      <c r="J1911" s="11"/>
      <c r="K1911" s="11"/>
      <c r="L1911" s="11"/>
      <c r="M1911" s="10"/>
      <c r="N1911" s="11"/>
      <c r="O1911" s="10"/>
      <c r="P1911" s="11"/>
      <c r="Q1911" s="11"/>
      <c r="R1911" s="12"/>
    </row>
    <row r="1912" spans="1:18" x14ac:dyDescent="0.25">
      <c r="A1912" s="8"/>
      <c r="B1912" s="9"/>
      <c r="C1912" s="10"/>
      <c r="D1912" s="10"/>
      <c r="E1912" s="9"/>
      <c r="F1912" s="11"/>
      <c r="G1912" s="9"/>
      <c r="H1912" s="10"/>
      <c r="I1912" s="10"/>
      <c r="J1912" s="11"/>
      <c r="K1912" s="11"/>
      <c r="L1912" s="11"/>
      <c r="M1912" s="10"/>
      <c r="N1912" s="11"/>
      <c r="O1912" s="10"/>
      <c r="P1912" s="11"/>
      <c r="Q1912" s="11"/>
      <c r="R1912" s="12"/>
    </row>
    <row r="1913" spans="1:18" x14ac:dyDescent="0.25">
      <c r="A1913" s="8"/>
      <c r="B1913" s="9"/>
      <c r="C1913" s="10"/>
      <c r="D1913" s="10"/>
      <c r="E1913" s="9"/>
      <c r="F1913" s="11"/>
      <c r="G1913" s="9"/>
      <c r="H1913" s="10"/>
      <c r="I1913" s="10"/>
      <c r="J1913" s="11"/>
      <c r="K1913" s="11"/>
      <c r="L1913" s="11"/>
      <c r="M1913" s="10"/>
      <c r="N1913" s="11"/>
      <c r="O1913" s="10"/>
      <c r="P1913" s="11"/>
      <c r="Q1913" s="11"/>
      <c r="R1913" s="12"/>
    </row>
    <row r="1914" spans="1:18" x14ac:dyDescent="0.25">
      <c r="A1914" s="8"/>
      <c r="B1914" s="9"/>
      <c r="C1914" s="10"/>
      <c r="D1914" s="10"/>
      <c r="E1914" s="9"/>
      <c r="F1914" s="11"/>
      <c r="G1914" s="9"/>
      <c r="H1914" s="10"/>
      <c r="I1914" s="10"/>
      <c r="J1914" s="11"/>
      <c r="K1914" s="11"/>
      <c r="L1914" s="11"/>
      <c r="M1914" s="10"/>
      <c r="N1914" s="11"/>
      <c r="O1914" s="10"/>
      <c r="P1914" s="11"/>
      <c r="Q1914" s="11"/>
      <c r="R1914" s="12"/>
    </row>
    <row r="1915" spans="1:18" x14ac:dyDescent="0.25">
      <c r="A1915" s="8"/>
      <c r="B1915" s="9"/>
      <c r="C1915" s="10"/>
      <c r="D1915" s="10"/>
      <c r="E1915" s="9"/>
      <c r="F1915" s="11"/>
      <c r="G1915" s="9"/>
      <c r="H1915" s="10"/>
      <c r="I1915" s="10"/>
      <c r="J1915" s="11"/>
      <c r="K1915" s="11"/>
      <c r="L1915" s="11"/>
      <c r="M1915" s="10"/>
      <c r="N1915" s="11"/>
      <c r="O1915" s="10"/>
      <c r="P1915" s="11"/>
      <c r="Q1915" s="11"/>
      <c r="R1915" s="12"/>
    </row>
    <row r="1916" spans="1:18" x14ac:dyDescent="0.25">
      <c r="A1916" s="8"/>
      <c r="B1916" s="9"/>
      <c r="C1916" s="10"/>
      <c r="D1916" s="10"/>
      <c r="E1916" s="9"/>
      <c r="F1916" s="11"/>
      <c r="G1916" s="9"/>
      <c r="H1916" s="10"/>
      <c r="I1916" s="10"/>
      <c r="J1916" s="11"/>
      <c r="K1916" s="11"/>
      <c r="L1916" s="11"/>
      <c r="M1916" s="10"/>
      <c r="N1916" s="11"/>
      <c r="O1916" s="10"/>
      <c r="P1916" s="11"/>
      <c r="Q1916" s="11"/>
      <c r="R1916" s="12"/>
    </row>
    <row r="1917" spans="1:18" x14ac:dyDescent="0.25">
      <c r="A1917" s="8"/>
      <c r="B1917" s="9"/>
      <c r="C1917" s="10"/>
      <c r="D1917" s="10"/>
      <c r="E1917" s="9"/>
      <c r="F1917" s="11"/>
      <c r="G1917" s="9"/>
      <c r="H1917" s="10"/>
      <c r="I1917" s="10"/>
      <c r="J1917" s="11"/>
      <c r="K1917" s="11"/>
      <c r="L1917" s="11"/>
      <c r="M1917" s="10"/>
      <c r="N1917" s="11"/>
      <c r="O1917" s="10"/>
      <c r="P1917" s="11"/>
      <c r="Q1917" s="11"/>
      <c r="R1917" s="12"/>
    </row>
    <row r="1918" spans="1:18" x14ac:dyDescent="0.25">
      <c r="A1918" s="8"/>
      <c r="B1918" s="9"/>
      <c r="C1918" s="10"/>
      <c r="D1918" s="10"/>
      <c r="E1918" s="9"/>
      <c r="F1918" s="11"/>
      <c r="G1918" s="9"/>
      <c r="H1918" s="10"/>
      <c r="I1918" s="10"/>
      <c r="J1918" s="11"/>
      <c r="K1918" s="11"/>
      <c r="L1918" s="11"/>
      <c r="M1918" s="10"/>
      <c r="N1918" s="11"/>
      <c r="O1918" s="10"/>
      <c r="P1918" s="11"/>
      <c r="Q1918" s="11"/>
      <c r="R1918" s="12"/>
    </row>
    <row r="1919" spans="1:18" x14ac:dyDescent="0.25">
      <c r="A1919" s="8"/>
      <c r="B1919" s="9"/>
      <c r="C1919" s="10"/>
      <c r="D1919" s="10"/>
      <c r="E1919" s="9"/>
      <c r="F1919" s="11"/>
      <c r="G1919" s="9"/>
      <c r="H1919" s="10"/>
      <c r="I1919" s="10"/>
      <c r="J1919" s="11"/>
      <c r="K1919" s="11"/>
      <c r="L1919" s="11"/>
      <c r="M1919" s="10"/>
      <c r="N1919" s="11"/>
      <c r="O1919" s="10"/>
      <c r="P1919" s="11"/>
      <c r="Q1919" s="11"/>
      <c r="R1919" s="12"/>
    </row>
    <row r="1920" spans="1:18" x14ac:dyDescent="0.25">
      <c r="A1920" s="8"/>
      <c r="B1920" s="9"/>
      <c r="C1920" s="10"/>
      <c r="D1920" s="10"/>
      <c r="E1920" s="9"/>
      <c r="F1920" s="11"/>
      <c r="G1920" s="9"/>
      <c r="H1920" s="10"/>
      <c r="I1920" s="10"/>
      <c r="J1920" s="11"/>
      <c r="K1920" s="11"/>
      <c r="L1920" s="11"/>
      <c r="M1920" s="10"/>
      <c r="N1920" s="11"/>
      <c r="O1920" s="10"/>
      <c r="P1920" s="11"/>
      <c r="Q1920" s="11"/>
      <c r="R1920" s="12"/>
    </row>
    <row r="1921" spans="1:18" x14ac:dyDescent="0.25">
      <c r="A1921" s="8"/>
      <c r="B1921" s="9"/>
      <c r="C1921" s="10"/>
      <c r="D1921" s="10"/>
      <c r="E1921" s="9"/>
      <c r="F1921" s="11"/>
      <c r="G1921" s="9"/>
      <c r="H1921" s="10"/>
      <c r="I1921" s="10"/>
      <c r="J1921" s="11"/>
      <c r="K1921" s="11"/>
      <c r="L1921" s="11"/>
      <c r="M1921" s="10"/>
      <c r="N1921" s="11"/>
      <c r="O1921" s="10"/>
      <c r="P1921" s="11"/>
      <c r="Q1921" s="11"/>
      <c r="R1921" s="12"/>
    </row>
    <row r="1922" spans="1:18" x14ac:dyDescent="0.25">
      <c r="A1922" s="8"/>
      <c r="B1922" s="9"/>
      <c r="C1922" s="10"/>
      <c r="D1922" s="10"/>
      <c r="E1922" s="9"/>
      <c r="F1922" s="11"/>
      <c r="G1922" s="9"/>
      <c r="H1922" s="10"/>
      <c r="I1922" s="10"/>
      <c r="J1922" s="11"/>
      <c r="K1922" s="11"/>
      <c r="L1922" s="11"/>
      <c r="M1922" s="10"/>
      <c r="N1922" s="11"/>
      <c r="O1922" s="10"/>
      <c r="P1922" s="11"/>
      <c r="Q1922" s="11"/>
      <c r="R1922" s="12"/>
    </row>
    <row r="1923" spans="1:18" x14ac:dyDescent="0.25">
      <c r="A1923" s="8"/>
      <c r="B1923" s="9"/>
      <c r="C1923" s="10"/>
      <c r="D1923" s="10"/>
      <c r="E1923" s="9"/>
      <c r="F1923" s="11"/>
      <c r="G1923" s="9"/>
      <c r="H1923" s="10"/>
      <c r="I1923" s="10"/>
      <c r="J1923" s="11"/>
      <c r="K1923" s="11"/>
      <c r="L1923" s="11"/>
      <c r="M1923" s="10"/>
      <c r="N1923" s="11"/>
      <c r="O1923" s="10"/>
      <c r="P1923" s="11"/>
      <c r="Q1923" s="11"/>
      <c r="R1923" s="12"/>
    </row>
    <row r="1924" spans="1:18" x14ac:dyDescent="0.25">
      <c r="A1924" s="8"/>
      <c r="B1924" s="9"/>
      <c r="C1924" s="10"/>
      <c r="D1924" s="10"/>
      <c r="E1924" s="9"/>
      <c r="F1924" s="11"/>
      <c r="G1924" s="9"/>
      <c r="H1924" s="10"/>
      <c r="I1924" s="10"/>
      <c r="J1924" s="11"/>
      <c r="K1924" s="11"/>
      <c r="L1924" s="11"/>
      <c r="M1924" s="10"/>
      <c r="N1924" s="11"/>
      <c r="O1924" s="10"/>
      <c r="P1924" s="11"/>
      <c r="Q1924" s="11"/>
      <c r="R1924" s="12"/>
    </row>
    <row r="1925" spans="1:18" x14ac:dyDescent="0.25">
      <c r="A1925" s="8"/>
      <c r="B1925" s="9"/>
      <c r="C1925" s="10"/>
      <c r="D1925" s="10"/>
      <c r="E1925" s="9"/>
      <c r="F1925" s="11"/>
      <c r="G1925" s="9"/>
      <c r="H1925" s="10"/>
      <c r="I1925" s="10"/>
      <c r="J1925" s="11"/>
      <c r="K1925" s="11"/>
      <c r="L1925" s="11"/>
      <c r="M1925" s="10"/>
      <c r="N1925" s="11"/>
      <c r="O1925" s="10"/>
      <c r="P1925" s="11"/>
      <c r="Q1925" s="11"/>
      <c r="R1925" s="12"/>
    </row>
    <row r="1926" spans="1:18" x14ac:dyDescent="0.25">
      <c r="A1926" s="8"/>
      <c r="B1926" s="9"/>
      <c r="C1926" s="10"/>
      <c r="D1926" s="10"/>
      <c r="E1926" s="9"/>
      <c r="F1926" s="11"/>
      <c r="G1926" s="9"/>
      <c r="H1926" s="10"/>
      <c r="I1926" s="10"/>
      <c r="J1926" s="11"/>
      <c r="K1926" s="11"/>
      <c r="L1926" s="11"/>
      <c r="M1926" s="10"/>
      <c r="N1926" s="11"/>
      <c r="O1926" s="10"/>
      <c r="P1926" s="11"/>
      <c r="Q1926" s="11"/>
      <c r="R1926" s="12"/>
    </row>
    <row r="1927" spans="1:18" x14ac:dyDescent="0.25">
      <c r="A1927" s="8"/>
      <c r="B1927" s="9"/>
      <c r="C1927" s="10"/>
      <c r="D1927" s="10"/>
      <c r="E1927" s="9"/>
      <c r="F1927" s="11"/>
      <c r="G1927" s="9"/>
      <c r="H1927" s="10"/>
      <c r="I1927" s="10"/>
      <c r="J1927" s="11"/>
      <c r="K1927" s="11"/>
      <c r="L1927" s="11"/>
      <c r="M1927" s="10"/>
      <c r="N1927" s="11"/>
      <c r="O1927" s="10"/>
      <c r="P1927" s="11"/>
      <c r="Q1927" s="11"/>
      <c r="R1927" s="12"/>
    </row>
    <row r="1928" spans="1:18" x14ac:dyDescent="0.25">
      <c r="A1928" s="8"/>
      <c r="B1928" s="9"/>
      <c r="C1928" s="10"/>
      <c r="D1928" s="10"/>
      <c r="E1928" s="9"/>
      <c r="F1928" s="11"/>
      <c r="G1928" s="9"/>
      <c r="H1928" s="10"/>
      <c r="I1928" s="10"/>
      <c r="J1928" s="11"/>
      <c r="K1928" s="11"/>
      <c r="L1928" s="11"/>
      <c r="M1928" s="10"/>
      <c r="N1928" s="11"/>
      <c r="O1928" s="10"/>
      <c r="P1928" s="11"/>
      <c r="Q1928" s="11"/>
      <c r="R1928" s="12"/>
    </row>
    <row r="1929" spans="1:18" x14ac:dyDescent="0.25">
      <c r="A1929" s="8"/>
      <c r="B1929" s="9"/>
      <c r="C1929" s="10"/>
      <c r="D1929" s="10"/>
      <c r="E1929" s="9"/>
      <c r="F1929" s="11"/>
      <c r="G1929" s="9"/>
      <c r="H1929" s="10"/>
      <c r="I1929" s="10"/>
      <c r="J1929" s="11"/>
      <c r="K1929" s="11"/>
      <c r="L1929" s="11"/>
      <c r="M1929" s="10"/>
      <c r="N1929" s="11"/>
      <c r="O1929" s="10"/>
      <c r="P1929" s="11"/>
      <c r="Q1929" s="11"/>
      <c r="R1929" s="12"/>
    </row>
    <row r="1930" spans="1:18" x14ac:dyDescent="0.25">
      <c r="A1930" s="8"/>
      <c r="B1930" s="9"/>
      <c r="C1930" s="10"/>
      <c r="D1930" s="10"/>
      <c r="E1930" s="9"/>
      <c r="F1930" s="11"/>
      <c r="G1930" s="9"/>
      <c r="H1930" s="10"/>
      <c r="I1930" s="10"/>
      <c r="J1930" s="11"/>
      <c r="K1930" s="11"/>
      <c r="L1930" s="11"/>
      <c r="M1930" s="10"/>
      <c r="N1930" s="11"/>
      <c r="O1930" s="10"/>
      <c r="P1930" s="11"/>
      <c r="Q1930" s="11"/>
      <c r="R1930" s="12"/>
    </row>
    <row r="1931" spans="1:18" x14ac:dyDescent="0.25">
      <c r="A1931" s="8"/>
      <c r="B1931" s="9"/>
      <c r="C1931" s="10"/>
      <c r="D1931" s="10"/>
      <c r="E1931" s="9"/>
      <c r="F1931" s="11"/>
      <c r="G1931" s="9"/>
      <c r="H1931" s="10"/>
      <c r="I1931" s="10"/>
      <c r="J1931" s="11"/>
      <c r="K1931" s="11"/>
      <c r="L1931" s="11"/>
      <c r="M1931" s="10"/>
      <c r="N1931" s="11"/>
      <c r="O1931" s="10"/>
      <c r="P1931" s="11"/>
      <c r="Q1931" s="11"/>
      <c r="R1931" s="12"/>
    </row>
    <row r="1932" spans="1:18" x14ac:dyDescent="0.25">
      <c r="A1932" s="8"/>
      <c r="B1932" s="9"/>
      <c r="C1932" s="10"/>
      <c r="D1932" s="10"/>
      <c r="E1932" s="9"/>
      <c r="F1932" s="11"/>
      <c r="G1932" s="9"/>
      <c r="H1932" s="10"/>
      <c r="I1932" s="10"/>
      <c r="J1932" s="11"/>
      <c r="K1932" s="11"/>
      <c r="L1932" s="11"/>
      <c r="M1932" s="10"/>
      <c r="N1932" s="11"/>
      <c r="O1932" s="10"/>
      <c r="P1932" s="11"/>
      <c r="Q1932" s="11"/>
      <c r="R1932" s="12"/>
    </row>
    <row r="1933" spans="1:18" x14ac:dyDescent="0.25">
      <c r="A1933" s="8"/>
      <c r="B1933" s="9"/>
      <c r="C1933" s="10"/>
      <c r="D1933" s="10"/>
      <c r="E1933" s="9"/>
      <c r="F1933" s="11"/>
      <c r="G1933" s="9"/>
      <c r="H1933" s="10"/>
      <c r="I1933" s="10"/>
      <c r="J1933" s="11"/>
      <c r="K1933" s="11"/>
      <c r="L1933" s="11"/>
      <c r="M1933" s="10"/>
      <c r="N1933" s="11"/>
      <c r="O1933" s="10"/>
      <c r="P1933" s="11"/>
      <c r="Q1933" s="11"/>
      <c r="R1933" s="12"/>
    </row>
    <row r="1934" spans="1:18" x14ac:dyDescent="0.25">
      <c r="A1934" s="8"/>
      <c r="B1934" s="9"/>
      <c r="C1934" s="10"/>
      <c r="D1934" s="10"/>
      <c r="E1934" s="9"/>
      <c r="F1934" s="11"/>
      <c r="G1934" s="9"/>
      <c r="H1934" s="10"/>
      <c r="I1934" s="10"/>
      <c r="J1934" s="11"/>
      <c r="K1934" s="11"/>
      <c r="L1934" s="11"/>
      <c r="M1934" s="10"/>
      <c r="N1934" s="11"/>
      <c r="O1934" s="10"/>
      <c r="P1934" s="11"/>
      <c r="Q1934" s="11"/>
      <c r="R1934" s="12"/>
    </row>
    <row r="1935" spans="1:18" x14ac:dyDescent="0.25">
      <c r="A1935" s="8"/>
      <c r="B1935" s="9"/>
      <c r="C1935" s="10"/>
      <c r="D1935" s="10"/>
      <c r="E1935" s="9"/>
      <c r="F1935" s="11"/>
      <c r="G1935" s="9"/>
      <c r="H1935" s="10"/>
      <c r="I1935" s="10"/>
      <c r="J1935" s="11"/>
      <c r="K1935" s="11"/>
      <c r="L1935" s="11"/>
      <c r="M1935" s="10"/>
      <c r="N1935" s="11"/>
      <c r="O1935" s="10"/>
      <c r="P1935" s="11"/>
      <c r="Q1935" s="11"/>
      <c r="R1935" s="12"/>
    </row>
    <row r="1936" spans="1:18" x14ac:dyDescent="0.25">
      <c r="A1936" s="8"/>
      <c r="B1936" s="9"/>
      <c r="C1936" s="10"/>
      <c r="D1936" s="10"/>
      <c r="E1936" s="9"/>
      <c r="F1936" s="11"/>
      <c r="G1936" s="9"/>
      <c r="H1936" s="10"/>
      <c r="I1936" s="10"/>
      <c r="J1936" s="11"/>
      <c r="K1936" s="11"/>
      <c r="L1936" s="11"/>
      <c r="M1936" s="10"/>
      <c r="N1936" s="11"/>
      <c r="O1936" s="10"/>
      <c r="P1936" s="11"/>
      <c r="Q1936" s="11"/>
      <c r="R1936" s="12"/>
    </row>
    <row r="1937" spans="1:18" x14ac:dyDescent="0.25">
      <c r="A1937" s="8"/>
      <c r="B1937" s="9"/>
      <c r="C1937" s="10"/>
      <c r="D1937" s="10"/>
      <c r="E1937" s="9"/>
      <c r="F1937" s="11"/>
      <c r="G1937" s="9"/>
      <c r="H1937" s="10"/>
      <c r="I1937" s="10"/>
      <c r="J1937" s="11"/>
      <c r="K1937" s="11"/>
      <c r="L1937" s="11"/>
      <c r="M1937" s="10"/>
      <c r="N1937" s="11"/>
      <c r="O1937" s="10"/>
      <c r="P1937" s="11"/>
      <c r="Q1937" s="11"/>
      <c r="R1937" s="12"/>
    </row>
    <row r="1938" spans="1:18" x14ac:dyDescent="0.25">
      <c r="A1938" s="8"/>
      <c r="B1938" s="9"/>
      <c r="C1938" s="10"/>
      <c r="D1938" s="10"/>
      <c r="E1938" s="9"/>
      <c r="F1938" s="11"/>
      <c r="G1938" s="9"/>
      <c r="H1938" s="10"/>
      <c r="I1938" s="10"/>
      <c r="J1938" s="11"/>
      <c r="K1938" s="11"/>
      <c r="L1938" s="11"/>
      <c r="M1938" s="10"/>
      <c r="N1938" s="11"/>
      <c r="O1938" s="10"/>
      <c r="P1938" s="11"/>
      <c r="Q1938" s="11"/>
      <c r="R1938" s="12"/>
    </row>
    <row r="1939" spans="1:18" x14ac:dyDescent="0.25">
      <c r="A1939" s="8"/>
      <c r="B1939" s="9"/>
      <c r="C1939" s="10"/>
      <c r="D1939" s="10"/>
      <c r="E1939" s="9"/>
      <c r="F1939" s="11"/>
      <c r="G1939" s="9"/>
      <c r="H1939" s="10"/>
      <c r="I1939" s="10"/>
      <c r="J1939" s="11"/>
      <c r="K1939" s="11"/>
      <c r="L1939" s="11"/>
      <c r="M1939" s="10"/>
      <c r="N1939" s="11"/>
      <c r="O1939" s="10"/>
      <c r="P1939" s="11"/>
      <c r="Q1939" s="11"/>
      <c r="R1939" s="12"/>
    </row>
    <row r="1940" spans="1:18" x14ac:dyDescent="0.25">
      <c r="A1940" s="8"/>
      <c r="B1940" s="9"/>
      <c r="C1940" s="10"/>
      <c r="D1940" s="10"/>
      <c r="E1940" s="9"/>
      <c r="F1940" s="11"/>
      <c r="G1940" s="9"/>
      <c r="H1940" s="10"/>
      <c r="I1940" s="10"/>
      <c r="J1940" s="11"/>
      <c r="K1940" s="11"/>
      <c r="L1940" s="11"/>
      <c r="M1940" s="10"/>
      <c r="N1940" s="11"/>
      <c r="O1940" s="10"/>
      <c r="P1940" s="11"/>
      <c r="Q1940" s="11"/>
      <c r="R1940" s="12"/>
    </row>
    <row r="1941" spans="1:18" x14ac:dyDescent="0.25">
      <c r="A1941" s="8"/>
      <c r="B1941" s="9"/>
      <c r="C1941" s="10"/>
      <c r="D1941" s="10"/>
      <c r="E1941" s="9"/>
      <c r="F1941" s="11"/>
      <c r="G1941" s="9"/>
      <c r="H1941" s="10"/>
      <c r="I1941" s="10"/>
      <c r="J1941" s="11"/>
      <c r="K1941" s="11"/>
      <c r="L1941" s="11"/>
      <c r="M1941" s="10"/>
      <c r="N1941" s="11"/>
      <c r="O1941" s="10"/>
      <c r="P1941" s="11"/>
      <c r="Q1941" s="11"/>
      <c r="R1941" s="12"/>
    </row>
    <row r="1942" spans="1:18" x14ac:dyDescent="0.25">
      <c r="A1942" s="8"/>
      <c r="B1942" s="9"/>
      <c r="C1942" s="10"/>
      <c r="D1942" s="10"/>
      <c r="E1942" s="9"/>
      <c r="F1942" s="11"/>
      <c r="G1942" s="9"/>
      <c r="H1942" s="10"/>
      <c r="I1942" s="10"/>
      <c r="J1942" s="11"/>
      <c r="K1942" s="11"/>
      <c r="L1942" s="11"/>
      <c r="M1942" s="10"/>
      <c r="N1942" s="11"/>
      <c r="O1942" s="10"/>
      <c r="P1942" s="11"/>
      <c r="Q1942" s="11"/>
      <c r="R1942" s="12"/>
    </row>
    <row r="1943" spans="1:18" x14ac:dyDescent="0.25">
      <c r="A1943" s="8"/>
      <c r="B1943" s="9"/>
      <c r="C1943" s="10"/>
      <c r="D1943" s="10"/>
      <c r="E1943" s="9"/>
      <c r="F1943" s="11"/>
      <c r="G1943" s="9"/>
      <c r="H1943" s="10"/>
      <c r="I1943" s="10"/>
      <c r="J1943" s="11"/>
      <c r="K1943" s="11"/>
      <c r="L1943" s="11"/>
      <c r="M1943" s="10"/>
      <c r="N1943" s="11"/>
      <c r="O1943" s="10"/>
      <c r="P1943" s="11"/>
      <c r="Q1943" s="11"/>
      <c r="R1943" s="12"/>
    </row>
    <row r="1944" spans="1:18" x14ac:dyDescent="0.25">
      <c r="A1944" s="8"/>
      <c r="B1944" s="9"/>
      <c r="C1944" s="10"/>
      <c r="D1944" s="10"/>
      <c r="E1944" s="9"/>
      <c r="F1944" s="11"/>
      <c r="G1944" s="9"/>
      <c r="H1944" s="10"/>
      <c r="I1944" s="10"/>
      <c r="J1944" s="11"/>
      <c r="K1944" s="11"/>
      <c r="L1944" s="11"/>
      <c r="M1944" s="10"/>
      <c r="N1944" s="11"/>
      <c r="O1944" s="10"/>
      <c r="P1944" s="11"/>
      <c r="Q1944" s="11"/>
      <c r="R1944" s="12"/>
    </row>
    <row r="1945" spans="1:18" x14ac:dyDescent="0.25">
      <c r="A1945" s="8"/>
      <c r="B1945" s="9"/>
      <c r="C1945" s="10"/>
      <c r="D1945" s="10"/>
      <c r="E1945" s="9"/>
      <c r="F1945" s="11"/>
      <c r="G1945" s="9"/>
      <c r="H1945" s="10"/>
      <c r="I1945" s="10"/>
      <c r="J1945" s="11"/>
      <c r="K1945" s="11"/>
      <c r="L1945" s="11"/>
      <c r="M1945" s="10"/>
      <c r="N1945" s="11"/>
      <c r="O1945" s="10"/>
      <c r="P1945" s="11"/>
      <c r="Q1945" s="11"/>
      <c r="R1945" s="12"/>
    </row>
    <row r="1946" spans="1:18" x14ac:dyDescent="0.25">
      <c r="A1946" s="8"/>
      <c r="B1946" s="9"/>
      <c r="C1946" s="10"/>
      <c r="D1946" s="10"/>
      <c r="E1946" s="9"/>
      <c r="F1946" s="11"/>
      <c r="G1946" s="9"/>
      <c r="H1946" s="10"/>
      <c r="I1946" s="10"/>
      <c r="J1946" s="11"/>
      <c r="K1946" s="11"/>
      <c r="L1946" s="11"/>
      <c r="M1946" s="10"/>
      <c r="N1946" s="11"/>
      <c r="O1946" s="10"/>
      <c r="P1946" s="11"/>
      <c r="Q1946" s="11"/>
      <c r="R1946" s="12"/>
    </row>
    <row r="1947" spans="1:18" x14ac:dyDescent="0.25">
      <c r="A1947" s="8"/>
      <c r="B1947" s="9"/>
      <c r="C1947" s="10"/>
      <c r="D1947" s="10"/>
      <c r="E1947" s="9"/>
      <c r="F1947" s="11"/>
      <c r="G1947" s="9"/>
      <c r="H1947" s="10"/>
      <c r="I1947" s="10"/>
      <c r="J1947" s="11"/>
      <c r="K1947" s="11"/>
      <c r="L1947" s="11"/>
      <c r="M1947" s="10"/>
      <c r="N1947" s="11"/>
      <c r="O1947" s="10"/>
      <c r="P1947" s="11"/>
      <c r="Q1947" s="11"/>
      <c r="R1947" s="12"/>
    </row>
    <row r="1948" spans="1:18" x14ac:dyDescent="0.25">
      <c r="A1948" s="8"/>
      <c r="B1948" s="9"/>
      <c r="C1948" s="10"/>
      <c r="D1948" s="10"/>
      <c r="E1948" s="9"/>
      <c r="F1948" s="11"/>
      <c r="G1948" s="9"/>
      <c r="H1948" s="10"/>
      <c r="I1948" s="10"/>
      <c r="J1948" s="11"/>
      <c r="K1948" s="11"/>
      <c r="L1948" s="11"/>
      <c r="M1948" s="10"/>
      <c r="N1948" s="11"/>
      <c r="O1948" s="10"/>
      <c r="P1948" s="11"/>
      <c r="Q1948" s="11"/>
      <c r="R1948" s="12"/>
    </row>
    <row r="1949" spans="1:18" x14ac:dyDescent="0.25">
      <c r="A1949" s="8"/>
      <c r="B1949" s="9"/>
      <c r="C1949" s="10"/>
      <c r="D1949" s="10"/>
      <c r="E1949" s="9"/>
      <c r="F1949" s="11"/>
      <c r="G1949" s="9"/>
      <c r="H1949" s="10"/>
      <c r="I1949" s="10"/>
      <c r="J1949" s="11"/>
      <c r="K1949" s="11"/>
      <c r="L1949" s="11"/>
      <c r="M1949" s="10"/>
      <c r="N1949" s="11"/>
      <c r="O1949" s="10"/>
      <c r="P1949" s="11"/>
      <c r="Q1949" s="11"/>
      <c r="R1949" s="12"/>
    </row>
    <row r="1950" spans="1:18" x14ac:dyDescent="0.25">
      <c r="A1950" s="8"/>
      <c r="B1950" s="9"/>
      <c r="C1950" s="10"/>
      <c r="D1950" s="10"/>
      <c r="E1950" s="9"/>
      <c r="F1950" s="11"/>
      <c r="G1950" s="9"/>
      <c r="H1950" s="10"/>
      <c r="I1950" s="10"/>
      <c r="J1950" s="11"/>
      <c r="K1950" s="11"/>
      <c r="L1950" s="11"/>
      <c r="M1950" s="10"/>
      <c r="N1950" s="11"/>
      <c r="O1950" s="10"/>
      <c r="P1950" s="11"/>
      <c r="Q1950" s="11"/>
      <c r="R1950" s="12"/>
    </row>
    <row r="1951" spans="1:18" x14ac:dyDescent="0.25">
      <c r="A1951" s="8"/>
      <c r="B1951" s="9"/>
      <c r="C1951" s="10"/>
      <c r="D1951" s="10"/>
      <c r="E1951" s="9"/>
      <c r="F1951" s="11"/>
      <c r="G1951" s="9"/>
      <c r="H1951" s="10"/>
      <c r="I1951" s="10"/>
      <c r="J1951" s="11"/>
      <c r="K1951" s="11"/>
      <c r="L1951" s="11"/>
      <c r="M1951" s="10"/>
      <c r="N1951" s="11"/>
      <c r="O1951" s="10"/>
      <c r="P1951" s="11"/>
      <c r="Q1951" s="11"/>
      <c r="R1951" s="12"/>
    </row>
    <row r="1952" spans="1:18" x14ac:dyDescent="0.25">
      <c r="A1952" s="8"/>
      <c r="B1952" s="9"/>
      <c r="C1952" s="10"/>
      <c r="D1952" s="10"/>
      <c r="E1952" s="9"/>
      <c r="F1952" s="11"/>
      <c r="G1952" s="9"/>
      <c r="H1952" s="10"/>
      <c r="I1952" s="10"/>
      <c r="J1952" s="11"/>
      <c r="K1952" s="11"/>
      <c r="L1952" s="11"/>
      <c r="M1952" s="10"/>
      <c r="N1952" s="11"/>
      <c r="O1952" s="10"/>
      <c r="P1952" s="11"/>
      <c r="Q1952" s="11"/>
      <c r="R1952" s="12"/>
    </row>
    <row r="1953" spans="1:18" x14ac:dyDescent="0.25">
      <c r="A1953" s="8"/>
      <c r="B1953" s="9"/>
      <c r="C1953" s="10"/>
      <c r="D1953" s="10"/>
      <c r="E1953" s="9"/>
      <c r="F1953" s="11"/>
      <c r="G1953" s="9"/>
      <c r="H1953" s="10"/>
      <c r="I1953" s="10"/>
      <c r="J1953" s="11"/>
      <c r="K1953" s="11"/>
      <c r="L1953" s="11"/>
      <c r="M1953" s="10"/>
      <c r="N1953" s="11"/>
      <c r="O1953" s="10"/>
      <c r="P1953" s="11"/>
      <c r="Q1953" s="11"/>
      <c r="R1953" s="12"/>
    </row>
    <row r="1954" spans="1:18" x14ac:dyDescent="0.25">
      <c r="A1954" s="8"/>
      <c r="B1954" s="9"/>
      <c r="C1954" s="10"/>
      <c r="D1954" s="10"/>
      <c r="E1954" s="9"/>
      <c r="F1954" s="11"/>
      <c r="G1954" s="9"/>
      <c r="H1954" s="10"/>
      <c r="I1954" s="10"/>
      <c r="J1954" s="11"/>
      <c r="K1954" s="11"/>
      <c r="L1954" s="11"/>
      <c r="M1954" s="10"/>
      <c r="N1954" s="11"/>
      <c r="O1954" s="10"/>
      <c r="P1954" s="11"/>
      <c r="Q1954" s="11"/>
      <c r="R1954" s="12"/>
    </row>
    <row r="1955" spans="1:18" x14ac:dyDescent="0.25">
      <c r="A1955" s="8"/>
      <c r="B1955" s="9"/>
      <c r="C1955" s="10"/>
      <c r="D1955" s="10"/>
      <c r="E1955" s="9"/>
      <c r="F1955" s="11"/>
      <c r="G1955" s="9"/>
      <c r="H1955" s="10"/>
      <c r="I1955" s="10"/>
      <c r="J1955" s="11"/>
      <c r="K1955" s="11"/>
      <c r="L1955" s="11"/>
      <c r="M1955" s="10"/>
      <c r="N1955" s="11"/>
      <c r="O1955" s="10"/>
      <c r="P1955" s="11"/>
      <c r="Q1955" s="11"/>
      <c r="R1955" s="12"/>
    </row>
    <row r="1956" spans="1:18" x14ac:dyDescent="0.25">
      <c r="A1956" s="8"/>
      <c r="B1956" s="9"/>
      <c r="C1956" s="10"/>
      <c r="D1956" s="10"/>
      <c r="E1956" s="9"/>
      <c r="F1956" s="11"/>
      <c r="G1956" s="9"/>
      <c r="H1956" s="10"/>
      <c r="I1956" s="10"/>
      <c r="J1956" s="11"/>
      <c r="K1956" s="11"/>
      <c r="L1956" s="11"/>
      <c r="M1956" s="10"/>
      <c r="N1956" s="11"/>
      <c r="O1956" s="10"/>
      <c r="P1956" s="11"/>
      <c r="Q1956" s="11"/>
      <c r="R1956" s="12"/>
    </row>
    <row r="1957" spans="1:18" x14ac:dyDescent="0.25">
      <c r="A1957" s="8"/>
      <c r="B1957" s="9"/>
      <c r="C1957" s="10"/>
      <c r="D1957" s="10"/>
      <c r="E1957" s="9"/>
      <c r="F1957" s="11"/>
      <c r="G1957" s="9"/>
      <c r="H1957" s="10"/>
      <c r="I1957" s="10"/>
      <c r="J1957" s="11"/>
      <c r="K1957" s="11"/>
      <c r="L1957" s="11"/>
      <c r="M1957" s="10"/>
      <c r="N1957" s="11"/>
      <c r="O1957" s="10"/>
      <c r="P1957" s="11"/>
      <c r="Q1957" s="11"/>
      <c r="R1957" s="12"/>
    </row>
    <row r="1958" spans="1:18" x14ac:dyDescent="0.25">
      <c r="A1958" s="8"/>
      <c r="B1958" s="9"/>
      <c r="C1958" s="10"/>
      <c r="D1958" s="10"/>
      <c r="E1958" s="9"/>
      <c r="F1958" s="11"/>
      <c r="G1958" s="9"/>
      <c r="H1958" s="10"/>
      <c r="I1958" s="10"/>
      <c r="J1958" s="11"/>
      <c r="K1958" s="11"/>
      <c r="L1958" s="11"/>
      <c r="M1958" s="10"/>
      <c r="N1958" s="11"/>
      <c r="O1958" s="10"/>
      <c r="P1958" s="11"/>
      <c r="Q1958" s="11"/>
      <c r="R1958" s="12"/>
    </row>
    <row r="1959" spans="1:18" x14ac:dyDescent="0.25">
      <c r="A1959" s="8"/>
      <c r="B1959" s="9"/>
      <c r="C1959" s="10"/>
      <c r="D1959" s="10"/>
      <c r="E1959" s="9"/>
      <c r="F1959" s="11"/>
      <c r="G1959" s="9"/>
      <c r="H1959" s="10"/>
      <c r="I1959" s="10"/>
      <c r="J1959" s="11"/>
      <c r="K1959" s="11"/>
      <c r="L1959" s="11"/>
      <c r="M1959" s="10"/>
      <c r="N1959" s="11"/>
      <c r="O1959" s="10"/>
      <c r="P1959" s="11"/>
      <c r="Q1959" s="11"/>
      <c r="R1959" s="12"/>
    </row>
    <row r="1960" spans="1:18" x14ac:dyDescent="0.25">
      <c r="A1960" s="8"/>
      <c r="B1960" s="9"/>
      <c r="C1960" s="10"/>
      <c r="D1960" s="10"/>
      <c r="E1960" s="9"/>
      <c r="F1960" s="11"/>
      <c r="G1960" s="9"/>
      <c r="H1960" s="10"/>
      <c r="I1960" s="10"/>
      <c r="J1960" s="11"/>
      <c r="K1960" s="11"/>
      <c r="L1960" s="11"/>
      <c r="M1960" s="10"/>
      <c r="N1960" s="11"/>
      <c r="O1960" s="10"/>
      <c r="P1960" s="11"/>
      <c r="Q1960" s="11"/>
      <c r="R1960" s="12"/>
    </row>
    <row r="1961" spans="1:18" x14ac:dyDescent="0.25">
      <c r="A1961" s="8"/>
      <c r="B1961" s="9"/>
      <c r="C1961" s="10"/>
      <c r="D1961" s="10"/>
      <c r="E1961" s="9"/>
      <c r="F1961" s="11"/>
      <c r="G1961" s="9"/>
      <c r="H1961" s="10"/>
      <c r="I1961" s="10"/>
      <c r="J1961" s="11"/>
      <c r="K1961" s="11"/>
      <c r="L1961" s="11"/>
      <c r="M1961" s="10"/>
      <c r="N1961" s="11"/>
      <c r="O1961" s="10"/>
      <c r="P1961" s="11"/>
      <c r="Q1961" s="11"/>
      <c r="R1961" s="12"/>
    </row>
    <row r="1962" spans="1:18" x14ac:dyDescent="0.25">
      <c r="A1962" s="8"/>
      <c r="B1962" s="9"/>
      <c r="C1962" s="10"/>
      <c r="D1962" s="10"/>
      <c r="E1962" s="9"/>
      <c r="F1962" s="11"/>
      <c r="G1962" s="9"/>
      <c r="H1962" s="10"/>
      <c r="I1962" s="10"/>
      <c r="J1962" s="11"/>
      <c r="K1962" s="11"/>
      <c r="L1962" s="11"/>
      <c r="M1962" s="10"/>
      <c r="N1962" s="11"/>
      <c r="O1962" s="10"/>
      <c r="P1962" s="11"/>
      <c r="Q1962" s="11"/>
      <c r="R1962" s="12"/>
    </row>
    <row r="1963" spans="1:18" x14ac:dyDescent="0.25">
      <c r="A1963" s="8"/>
      <c r="B1963" s="9"/>
      <c r="C1963" s="10"/>
      <c r="D1963" s="10"/>
      <c r="E1963" s="9"/>
      <c r="F1963" s="11"/>
      <c r="G1963" s="9"/>
      <c r="H1963" s="10"/>
      <c r="I1963" s="10"/>
      <c r="J1963" s="11"/>
      <c r="K1963" s="11"/>
      <c r="L1963" s="11"/>
      <c r="M1963" s="10"/>
      <c r="N1963" s="11"/>
      <c r="O1963" s="10"/>
      <c r="P1963" s="11"/>
      <c r="Q1963" s="11"/>
      <c r="R1963" s="12"/>
    </row>
    <row r="1964" spans="1:18" x14ac:dyDescent="0.25">
      <c r="A1964" s="8"/>
      <c r="B1964" s="9"/>
      <c r="C1964" s="10"/>
      <c r="D1964" s="10"/>
      <c r="E1964" s="9"/>
      <c r="F1964" s="11"/>
      <c r="G1964" s="9"/>
      <c r="H1964" s="10"/>
      <c r="I1964" s="10"/>
      <c r="J1964" s="11"/>
      <c r="K1964" s="11"/>
      <c r="L1964" s="11"/>
      <c r="M1964" s="10"/>
      <c r="N1964" s="11"/>
      <c r="O1964" s="10"/>
      <c r="P1964" s="11"/>
      <c r="Q1964" s="11"/>
      <c r="R1964" s="12"/>
    </row>
    <row r="1965" spans="1:18" x14ac:dyDescent="0.25">
      <c r="A1965" s="8"/>
      <c r="B1965" s="9"/>
      <c r="C1965" s="10"/>
      <c r="D1965" s="10"/>
      <c r="E1965" s="9"/>
      <c r="F1965" s="11"/>
      <c r="G1965" s="9"/>
      <c r="H1965" s="10"/>
      <c r="I1965" s="10"/>
      <c r="J1965" s="11"/>
      <c r="K1965" s="11"/>
      <c r="L1965" s="11"/>
      <c r="M1965" s="10"/>
      <c r="N1965" s="11"/>
      <c r="O1965" s="10"/>
      <c r="P1965" s="11"/>
      <c r="Q1965" s="11"/>
      <c r="R1965" s="12"/>
    </row>
    <row r="1966" spans="1:18" x14ac:dyDescent="0.25">
      <c r="A1966" s="8"/>
      <c r="B1966" s="9"/>
      <c r="C1966" s="10"/>
      <c r="D1966" s="10"/>
      <c r="E1966" s="9"/>
      <c r="F1966" s="11"/>
      <c r="G1966" s="9"/>
      <c r="H1966" s="10"/>
      <c r="I1966" s="10"/>
      <c r="J1966" s="11"/>
      <c r="K1966" s="11"/>
      <c r="L1966" s="11"/>
      <c r="M1966" s="10"/>
      <c r="N1966" s="11"/>
      <c r="O1966" s="10"/>
      <c r="P1966" s="11"/>
      <c r="Q1966" s="11"/>
      <c r="R1966" s="12"/>
    </row>
    <row r="1967" spans="1:18" x14ac:dyDescent="0.25">
      <c r="A1967" s="8"/>
      <c r="B1967" s="9"/>
      <c r="C1967" s="10"/>
      <c r="D1967" s="10"/>
      <c r="E1967" s="9"/>
      <c r="F1967" s="11"/>
      <c r="G1967" s="9"/>
      <c r="H1967" s="10"/>
      <c r="I1967" s="10"/>
      <c r="J1967" s="11"/>
      <c r="K1967" s="11"/>
      <c r="L1967" s="11"/>
      <c r="M1967" s="10"/>
      <c r="N1967" s="11"/>
      <c r="O1967" s="10"/>
      <c r="P1967" s="11"/>
      <c r="Q1967" s="11"/>
      <c r="R1967" s="12"/>
    </row>
    <row r="1968" spans="1:18" x14ac:dyDescent="0.25">
      <c r="A1968" s="8"/>
      <c r="B1968" s="9"/>
      <c r="C1968" s="10"/>
      <c r="D1968" s="10"/>
      <c r="E1968" s="9"/>
      <c r="F1968" s="11"/>
      <c r="G1968" s="9"/>
      <c r="H1968" s="10"/>
      <c r="I1968" s="10"/>
      <c r="J1968" s="11"/>
      <c r="K1968" s="11"/>
      <c r="L1968" s="11"/>
      <c r="M1968" s="10"/>
      <c r="N1968" s="11"/>
      <c r="O1968" s="10"/>
      <c r="P1968" s="11"/>
      <c r="Q1968" s="11"/>
      <c r="R1968" s="12"/>
    </row>
    <row r="1969" spans="1:18" x14ac:dyDescent="0.25">
      <c r="A1969" s="8"/>
      <c r="B1969" s="9"/>
      <c r="C1969" s="10"/>
      <c r="D1969" s="10"/>
      <c r="E1969" s="9"/>
      <c r="F1969" s="11"/>
      <c r="G1969" s="9"/>
      <c r="H1969" s="10"/>
      <c r="I1969" s="10"/>
      <c r="J1969" s="11"/>
      <c r="K1969" s="11"/>
      <c r="L1969" s="11"/>
      <c r="M1969" s="10"/>
      <c r="N1969" s="11"/>
      <c r="O1969" s="10"/>
      <c r="P1969" s="11"/>
      <c r="Q1969" s="11"/>
      <c r="R1969" s="12"/>
    </row>
    <row r="1970" spans="1:18" x14ac:dyDescent="0.25">
      <c r="A1970" s="8"/>
      <c r="B1970" s="9"/>
      <c r="C1970" s="10"/>
      <c r="D1970" s="10"/>
      <c r="E1970" s="9"/>
      <c r="F1970" s="11"/>
      <c r="G1970" s="9"/>
      <c r="H1970" s="10"/>
      <c r="I1970" s="10"/>
      <c r="J1970" s="11"/>
      <c r="K1970" s="11"/>
      <c r="L1970" s="11"/>
      <c r="M1970" s="10"/>
      <c r="N1970" s="11"/>
      <c r="O1970" s="10"/>
      <c r="P1970" s="11"/>
      <c r="Q1970" s="11"/>
      <c r="R1970" s="12"/>
    </row>
    <row r="1971" spans="1:18" x14ac:dyDescent="0.25">
      <c r="A1971" s="8"/>
      <c r="B1971" s="9"/>
      <c r="C1971" s="10"/>
      <c r="D1971" s="10"/>
      <c r="E1971" s="9"/>
      <c r="F1971" s="11"/>
      <c r="G1971" s="9"/>
      <c r="H1971" s="10"/>
      <c r="I1971" s="10"/>
      <c r="J1971" s="11"/>
      <c r="K1971" s="11"/>
      <c r="L1971" s="11"/>
      <c r="M1971" s="10"/>
      <c r="N1971" s="11"/>
      <c r="O1971" s="10"/>
      <c r="P1971" s="11"/>
      <c r="Q1971" s="11"/>
      <c r="R1971" s="12"/>
    </row>
    <row r="1972" spans="1:18" x14ac:dyDescent="0.25">
      <c r="A1972" s="8"/>
      <c r="B1972" s="9"/>
      <c r="C1972" s="10"/>
      <c r="D1972" s="10"/>
      <c r="E1972" s="9"/>
      <c r="F1972" s="11"/>
      <c r="G1972" s="9"/>
      <c r="H1972" s="10"/>
      <c r="I1972" s="10"/>
      <c r="J1972" s="11"/>
      <c r="K1972" s="11"/>
      <c r="L1972" s="11"/>
      <c r="M1972" s="10"/>
      <c r="N1972" s="11"/>
      <c r="O1972" s="10"/>
      <c r="P1972" s="11"/>
      <c r="Q1972" s="11"/>
      <c r="R1972" s="12"/>
    </row>
    <row r="1973" spans="1:18" x14ac:dyDescent="0.25">
      <c r="A1973" s="8"/>
      <c r="B1973" s="9"/>
      <c r="C1973" s="10"/>
      <c r="D1973" s="10"/>
      <c r="E1973" s="9"/>
      <c r="F1973" s="11"/>
      <c r="G1973" s="9"/>
      <c r="H1973" s="10"/>
      <c r="I1973" s="10"/>
      <c r="J1973" s="11"/>
      <c r="K1973" s="11"/>
      <c r="L1973" s="11"/>
      <c r="M1973" s="10"/>
      <c r="N1973" s="11"/>
      <c r="O1973" s="10"/>
      <c r="P1973" s="11"/>
      <c r="Q1973" s="11"/>
      <c r="R1973" s="12"/>
    </row>
    <row r="1974" spans="1:18" x14ac:dyDescent="0.25">
      <c r="A1974" s="8"/>
      <c r="B1974" s="9"/>
      <c r="C1974" s="10"/>
      <c r="D1974" s="10"/>
      <c r="E1974" s="9"/>
      <c r="F1974" s="11"/>
      <c r="G1974" s="9"/>
      <c r="H1974" s="10"/>
      <c r="I1974" s="10"/>
      <c r="J1974" s="11"/>
      <c r="K1974" s="11"/>
      <c r="L1974" s="11"/>
      <c r="M1974" s="10"/>
      <c r="N1974" s="11"/>
      <c r="O1974" s="10"/>
      <c r="P1974" s="11"/>
      <c r="Q1974" s="11"/>
      <c r="R1974" s="12"/>
    </row>
    <row r="1975" spans="1:18" x14ac:dyDescent="0.25">
      <c r="A1975" s="8"/>
      <c r="B1975" s="9"/>
      <c r="C1975" s="10"/>
      <c r="D1975" s="10"/>
      <c r="E1975" s="9"/>
      <c r="F1975" s="11"/>
      <c r="G1975" s="9"/>
      <c r="H1975" s="10"/>
      <c r="I1975" s="10"/>
      <c r="J1975" s="11"/>
      <c r="K1975" s="11"/>
      <c r="L1975" s="11"/>
      <c r="M1975" s="10"/>
      <c r="N1975" s="11"/>
      <c r="O1975" s="10"/>
      <c r="P1975" s="11"/>
      <c r="Q1975" s="11"/>
      <c r="R1975" s="12"/>
    </row>
    <row r="1976" spans="1:18" x14ac:dyDescent="0.25">
      <c r="A1976" s="8"/>
      <c r="B1976" s="9"/>
      <c r="C1976" s="10"/>
      <c r="D1976" s="10"/>
      <c r="E1976" s="9"/>
      <c r="F1976" s="11"/>
      <c r="G1976" s="9"/>
      <c r="H1976" s="10"/>
      <c r="I1976" s="10"/>
      <c r="J1976" s="11"/>
      <c r="K1976" s="11"/>
      <c r="L1976" s="11"/>
      <c r="M1976" s="10"/>
      <c r="N1976" s="11"/>
      <c r="O1976" s="10"/>
      <c r="P1976" s="11"/>
      <c r="Q1976" s="11"/>
      <c r="R1976" s="12"/>
    </row>
    <row r="1977" spans="1:18" x14ac:dyDescent="0.25">
      <c r="A1977" s="8"/>
      <c r="B1977" s="9"/>
      <c r="C1977" s="10"/>
      <c r="D1977" s="10"/>
      <c r="E1977" s="9"/>
      <c r="F1977" s="11"/>
      <c r="G1977" s="9"/>
      <c r="H1977" s="10"/>
      <c r="I1977" s="10"/>
      <c r="J1977" s="11"/>
      <c r="K1977" s="11"/>
      <c r="L1977" s="11"/>
      <c r="M1977" s="10"/>
      <c r="N1977" s="11"/>
      <c r="O1977" s="10"/>
      <c r="P1977" s="11"/>
      <c r="Q1977" s="11"/>
      <c r="R1977" s="12"/>
    </row>
    <row r="1978" spans="1:18" x14ac:dyDescent="0.25">
      <c r="A1978" s="8"/>
      <c r="B1978" s="9"/>
      <c r="C1978" s="10"/>
      <c r="D1978" s="10"/>
      <c r="E1978" s="9"/>
      <c r="F1978" s="11"/>
      <c r="G1978" s="9"/>
      <c r="H1978" s="10"/>
      <c r="I1978" s="10"/>
      <c r="J1978" s="11"/>
      <c r="K1978" s="11"/>
      <c r="L1978" s="11"/>
      <c r="M1978" s="10"/>
      <c r="N1978" s="11"/>
      <c r="O1978" s="10"/>
      <c r="P1978" s="11"/>
      <c r="Q1978" s="11"/>
      <c r="R1978" s="12"/>
    </row>
    <row r="1979" spans="1:18" x14ac:dyDescent="0.25">
      <c r="A1979" s="8"/>
      <c r="B1979" s="9"/>
      <c r="C1979" s="10"/>
      <c r="D1979" s="10"/>
      <c r="E1979" s="9"/>
      <c r="F1979" s="11"/>
      <c r="G1979" s="9"/>
      <c r="H1979" s="10"/>
      <c r="I1979" s="10"/>
      <c r="J1979" s="11"/>
      <c r="K1979" s="11"/>
      <c r="L1979" s="11"/>
      <c r="M1979" s="10"/>
      <c r="N1979" s="11"/>
      <c r="O1979" s="10"/>
      <c r="P1979" s="11"/>
      <c r="Q1979" s="11"/>
      <c r="R1979" s="12"/>
    </row>
    <row r="1980" spans="1:18" x14ac:dyDescent="0.25">
      <c r="A1980" s="8"/>
      <c r="B1980" s="9"/>
      <c r="C1980" s="10"/>
      <c r="D1980" s="10"/>
      <c r="E1980" s="9"/>
      <c r="F1980" s="11"/>
      <c r="G1980" s="9"/>
      <c r="H1980" s="10"/>
      <c r="I1980" s="10"/>
      <c r="J1980" s="11"/>
      <c r="K1980" s="11"/>
      <c r="L1980" s="11"/>
      <c r="M1980" s="10"/>
      <c r="N1980" s="11"/>
      <c r="O1980" s="10"/>
      <c r="P1980" s="11"/>
      <c r="Q1980" s="11"/>
      <c r="R1980" s="12"/>
    </row>
    <row r="1981" spans="1:18" x14ac:dyDescent="0.25">
      <c r="A1981" s="8"/>
      <c r="B1981" s="9"/>
      <c r="C1981" s="10"/>
      <c r="D1981" s="10"/>
      <c r="E1981" s="9"/>
      <c r="F1981" s="11"/>
      <c r="G1981" s="9"/>
      <c r="H1981" s="10"/>
      <c r="I1981" s="10"/>
      <c r="J1981" s="11"/>
      <c r="K1981" s="11"/>
      <c r="L1981" s="11"/>
      <c r="M1981" s="10"/>
      <c r="N1981" s="11"/>
      <c r="O1981" s="10"/>
      <c r="P1981" s="11"/>
      <c r="Q1981" s="11"/>
      <c r="R1981" s="12"/>
    </row>
    <row r="1982" spans="1:18" x14ac:dyDescent="0.25">
      <c r="A1982" s="8"/>
      <c r="B1982" s="9"/>
      <c r="C1982" s="10"/>
      <c r="D1982" s="10"/>
      <c r="E1982" s="9"/>
      <c r="F1982" s="11"/>
      <c r="G1982" s="9"/>
      <c r="H1982" s="10"/>
      <c r="I1982" s="10"/>
      <c r="J1982" s="11"/>
      <c r="K1982" s="11"/>
      <c r="L1982" s="11"/>
      <c r="M1982" s="10"/>
      <c r="N1982" s="11"/>
      <c r="O1982" s="10"/>
      <c r="P1982" s="11"/>
      <c r="Q1982" s="11"/>
      <c r="R1982" s="12"/>
    </row>
    <row r="1983" spans="1:18" x14ac:dyDescent="0.25">
      <c r="A1983" s="8"/>
      <c r="B1983" s="9"/>
      <c r="C1983" s="10"/>
      <c r="D1983" s="10"/>
      <c r="E1983" s="9"/>
      <c r="F1983" s="11"/>
      <c r="G1983" s="9"/>
      <c r="H1983" s="10"/>
      <c r="I1983" s="10"/>
      <c r="J1983" s="11"/>
      <c r="K1983" s="11"/>
      <c r="L1983" s="11"/>
      <c r="M1983" s="10"/>
      <c r="N1983" s="11"/>
      <c r="O1983" s="10"/>
      <c r="P1983" s="11"/>
      <c r="Q1983" s="11"/>
      <c r="R1983" s="12"/>
    </row>
    <row r="1984" spans="1:18" x14ac:dyDescent="0.25">
      <c r="A1984" s="8"/>
      <c r="B1984" s="9"/>
      <c r="C1984" s="10"/>
      <c r="D1984" s="10"/>
      <c r="E1984" s="9"/>
      <c r="F1984" s="11"/>
      <c r="G1984" s="9"/>
      <c r="H1984" s="10"/>
      <c r="I1984" s="10"/>
      <c r="J1984" s="11"/>
      <c r="K1984" s="11"/>
      <c r="L1984" s="11"/>
      <c r="M1984" s="10"/>
      <c r="N1984" s="11"/>
      <c r="O1984" s="10"/>
      <c r="P1984" s="11"/>
      <c r="Q1984" s="11"/>
      <c r="R1984" s="12"/>
    </row>
    <row r="1985" spans="1:18" x14ac:dyDescent="0.25">
      <c r="A1985" s="8"/>
      <c r="B1985" s="9"/>
      <c r="C1985" s="10"/>
      <c r="D1985" s="10"/>
      <c r="E1985" s="9"/>
      <c r="F1985" s="11"/>
      <c r="G1985" s="9"/>
      <c r="H1985" s="10"/>
      <c r="I1985" s="10"/>
      <c r="J1985" s="11"/>
      <c r="K1985" s="11"/>
      <c r="L1985" s="11"/>
      <c r="M1985" s="10"/>
      <c r="N1985" s="11"/>
      <c r="O1985" s="10"/>
      <c r="P1985" s="11"/>
      <c r="Q1985" s="11"/>
      <c r="R1985" s="12"/>
    </row>
    <row r="1986" spans="1:18" x14ac:dyDescent="0.25">
      <c r="A1986" s="8"/>
      <c r="B1986" s="9"/>
      <c r="C1986" s="10"/>
      <c r="D1986" s="10"/>
      <c r="E1986" s="9"/>
      <c r="F1986" s="11"/>
      <c r="G1986" s="9"/>
      <c r="H1986" s="10"/>
      <c r="I1986" s="10"/>
      <c r="J1986" s="11"/>
      <c r="K1986" s="11"/>
      <c r="L1986" s="11"/>
      <c r="M1986" s="10"/>
      <c r="N1986" s="11"/>
      <c r="O1986" s="10"/>
      <c r="P1986" s="11"/>
      <c r="Q1986" s="11"/>
      <c r="R1986" s="12"/>
    </row>
    <row r="1987" spans="1:18" x14ac:dyDescent="0.25">
      <c r="A1987" s="8"/>
      <c r="B1987" s="9"/>
      <c r="C1987" s="10"/>
      <c r="D1987" s="10"/>
      <c r="E1987" s="9"/>
      <c r="F1987" s="11"/>
      <c r="G1987" s="9"/>
      <c r="H1987" s="10"/>
      <c r="I1987" s="10"/>
      <c r="J1987" s="11"/>
      <c r="K1987" s="11"/>
      <c r="L1987" s="11"/>
      <c r="M1987" s="10"/>
      <c r="N1987" s="11"/>
      <c r="O1987" s="10"/>
      <c r="P1987" s="11"/>
      <c r="Q1987" s="11"/>
      <c r="R1987" s="12"/>
    </row>
    <row r="1988" spans="1:18" x14ac:dyDescent="0.25">
      <c r="A1988" s="8"/>
      <c r="B1988" s="9"/>
      <c r="C1988" s="10"/>
      <c r="D1988" s="10"/>
      <c r="E1988" s="9"/>
      <c r="F1988" s="11"/>
      <c r="G1988" s="9"/>
      <c r="H1988" s="10"/>
      <c r="I1988" s="10"/>
      <c r="J1988" s="11"/>
      <c r="K1988" s="11"/>
      <c r="L1988" s="11"/>
      <c r="M1988" s="10"/>
      <c r="N1988" s="11"/>
      <c r="O1988" s="10"/>
      <c r="P1988" s="11"/>
      <c r="Q1988" s="11"/>
      <c r="R1988" s="12"/>
    </row>
    <row r="1989" spans="1:18" x14ac:dyDescent="0.25">
      <c r="A1989" s="8"/>
      <c r="B1989" s="9"/>
      <c r="C1989" s="10"/>
      <c r="D1989" s="10"/>
      <c r="E1989" s="9"/>
      <c r="F1989" s="11"/>
      <c r="G1989" s="9"/>
      <c r="H1989" s="10"/>
      <c r="I1989" s="10"/>
      <c r="J1989" s="11"/>
      <c r="K1989" s="11"/>
      <c r="L1989" s="11"/>
      <c r="M1989" s="10"/>
      <c r="N1989" s="11"/>
      <c r="O1989" s="10"/>
      <c r="P1989" s="11"/>
      <c r="Q1989" s="11"/>
      <c r="R1989" s="12"/>
    </row>
    <row r="1990" spans="1:18" x14ac:dyDescent="0.25">
      <c r="A1990" s="8"/>
      <c r="B1990" s="9"/>
      <c r="C1990" s="10"/>
      <c r="D1990" s="10"/>
      <c r="E1990" s="9"/>
      <c r="F1990" s="11"/>
      <c r="G1990" s="9"/>
      <c r="H1990" s="10"/>
      <c r="I1990" s="10"/>
      <c r="J1990" s="11"/>
      <c r="K1990" s="11"/>
      <c r="L1990" s="11"/>
      <c r="M1990" s="10"/>
      <c r="N1990" s="11"/>
      <c r="O1990" s="10"/>
      <c r="P1990" s="11"/>
      <c r="Q1990" s="11"/>
      <c r="R1990" s="12"/>
    </row>
    <row r="1991" spans="1:18" x14ac:dyDescent="0.25">
      <c r="A1991" s="8"/>
      <c r="B1991" s="9"/>
      <c r="C1991" s="10"/>
      <c r="D1991" s="10"/>
      <c r="E1991" s="9"/>
      <c r="F1991" s="11"/>
      <c r="G1991" s="9"/>
      <c r="H1991" s="10"/>
      <c r="I1991" s="10"/>
      <c r="J1991" s="11"/>
      <c r="K1991" s="11"/>
      <c r="L1991" s="11"/>
      <c r="M1991" s="10"/>
      <c r="N1991" s="11"/>
      <c r="O1991" s="10"/>
      <c r="P1991" s="11"/>
      <c r="Q1991" s="11"/>
      <c r="R1991" s="12"/>
    </row>
    <row r="1992" spans="1:18" x14ac:dyDescent="0.25">
      <c r="A1992" s="8"/>
      <c r="B1992" s="9"/>
      <c r="C1992" s="10"/>
      <c r="D1992" s="10"/>
      <c r="E1992" s="9"/>
      <c r="F1992" s="11"/>
      <c r="G1992" s="9"/>
      <c r="H1992" s="10"/>
      <c r="I1992" s="10"/>
      <c r="J1992" s="11"/>
      <c r="K1992" s="11"/>
      <c r="L1992" s="11"/>
      <c r="M1992" s="10"/>
      <c r="N1992" s="11"/>
      <c r="O1992" s="10"/>
      <c r="P1992" s="11"/>
      <c r="Q1992" s="11"/>
      <c r="R1992" s="12"/>
    </row>
    <row r="1993" spans="1:18" x14ac:dyDescent="0.25">
      <c r="A1993" s="8"/>
      <c r="B1993" s="9"/>
      <c r="C1993" s="10"/>
      <c r="D1993" s="10"/>
      <c r="E1993" s="9"/>
      <c r="F1993" s="11"/>
      <c r="G1993" s="9"/>
      <c r="H1993" s="10"/>
      <c r="I1993" s="10"/>
      <c r="J1993" s="11"/>
      <c r="K1993" s="11"/>
      <c r="L1993" s="11"/>
      <c r="M1993" s="10"/>
      <c r="N1993" s="11"/>
      <c r="O1993" s="10"/>
      <c r="P1993" s="11"/>
      <c r="Q1993" s="11"/>
      <c r="R1993" s="12"/>
    </row>
    <row r="1994" spans="1:18" x14ac:dyDescent="0.25">
      <c r="A1994" s="8"/>
      <c r="B1994" s="9"/>
      <c r="C1994" s="10"/>
      <c r="D1994" s="10"/>
      <c r="E1994" s="9"/>
      <c r="F1994" s="11"/>
      <c r="G1994" s="9"/>
      <c r="H1994" s="10"/>
      <c r="I1994" s="10"/>
      <c r="J1994" s="11"/>
      <c r="K1994" s="11"/>
      <c r="L1994" s="11"/>
      <c r="M1994" s="10"/>
      <c r="N1994" s="11"/>
      <c r="O1994" s="10"/>
      <c r="P1994" s="11"/>
      <c r="Q1994" s="11"/>
      <c r="R1994" s="12"/>
    </row>
    <row r="1995" spans="1:18" x14ac:dyDescent="0.25">
      <c r="A1995" s="8"/>
      <c r="B1995" s="9"/>
      <c r="C1995" s="10"/>
      <c r="D1995" s="10"/>
      <c r="E1995" s="9"/>
      <c r="F1995" s="11"/>
      <c r="G1995" s="9"/>
      <c r="H1995" s="10"/>
      <c r="I1995" s="10"/>
      <c r="J1995" s="11"/>
      <c r="K1995" s="11"/>
      <c r="L1995" s="11"/>
      <c r="M1995" s="10"/>
      <c r="N1995" s="11"/>
      <c r="O1995" s="10"/>
      <c r="P1995" s="11"/>
      <c r="Q1995" s="11"/>
      <c r="R1995" s="12"/>
    </row>
    <row r="1996" spans="1:18" x14ac:dyDescent="0.25">
      <c r="A1996" s="8"/>
      <c r="B1996" s="9"/>
      <c r="C1996" s="10"/>
      <c r="D1996" s="10"/>
      <c r="E1996" s="9"/>
      <c r="F1996" s="11"/>
      <c r="G1996" s="9"/>
      <c r="H1996" s="10"/>
      <c r="I1996" s="10"/>
      <c r="J1996" s="11"/>
      <c r="K1996" s="11"/>
      <c r="L1996" s="11"/>
      <c r="M1996" s="10"/>
      <c r="N1996" s="11"/>
      <c r="O1996" s="10"/>
      <c r="P1996" s="11"/>
      <c r="Q1996" s="11"/>
      <c r="R1996" s="12"/>
    </row>
    <row r="1997" spans="1:18" x14ac:dyDescent="0.25">
      <c r="A1997" s="8"/>
      <c r="B1997" s="9"/>
      <c r="C1997" s="10"/>
      <c r="D1997" s="10"/>
      <c r="E1997" s="9"/>
      <c r="F1997" s="11"/>
      <c r="G1997" s="9"/>
      <c r="H1997" s="10"/>
      <c r="I1997" s="10"/>
      <c r="J1997" s="11"/>
      <c r="K1997" s="11"/>
      <c r="L1997" s="11"/>
      <c r="M1997" s="10"/>
      <c r="N1997" s="11"/>
      <c r="O1997" s="10"/>
      <c r="P1997" s="11"/>
      <c r="Q1997" s="11"/>
      <c r="R1997" s="12"/>
    </row>
    <row r="1998" spans="1:18" x14ac:dyDescent="0.25">
      <c r="A1998" s="8"/>
      <c r="B1998" s="9"/>
      <c r="C1998" s="10"/>
      <c r="D1998" s="10"/>
      <c r="E1998" s="9"/>
      <c r="F1998" s="11"/>
      <c r="G1998" s="9"/>
      <c r="H1998" s="10"/>
      <c r="I1998" s="10"/>
      <c r="J1998" s="11"/>
      <c r="K1998" s="11"/>
      <c r="L1998" s="11"/>
      <c r="M1998" s="10"/>
      <c r="N1998" s="11"/>
      <c r="O1998" s="10"/>
      <c r="P1998" s="11"/>
      <c r="Q1998" s="11"/>
      <c r="R1998" s="12"/>
    </row>
    <row r="1999" spans="1:18" x14ac:dyDescent="0.25">
      <c r="A1999" s="8"/>
      <c r="B1999" s="9"/>
      <c r="C1999" s="10"/>
      <c r="D1999" s="10"/>
      <c r="E1999" s="9"/>
      <c r="F1999" s="11"/>
      <c r="G1999" s="9"/>
      <c r="H1999" s="10"/>
      <c r="I1999" s="10"/>
      <c r="J1999" s="11"/>
      <c r="K1999" s="11"/>
      <c r="L1999" s="11"/>
      <c r="M1999" s="10"/>
      <c r="N1999" s="11"/>
      <c r="O1999" s="10"/>
      <c r="P1999" s="11"/>
      <c r="Q1999" s="11"/>
      <c r="R1999" s="12"/>
    </row>
    <row r="2000" spans="1:18" x14ac:dyDescent="0.25">
      <c r="A2000" s="8"/>
      <c r="B2000" s="9"/>
      <c r="C2000" s="10"/>
      <c r="D2000" s="10"/>
      <c r="E2000" s="9"/>
      <c r="F2000" s="11"/>
      <c r="G2000" s="9"/>
      <c r="H2000" s="10"/>
      <c r="I2000" s="10"/>
      <c r="J2000" s="11"/>
      <c r="K2000" s="11"/>
      <c r="L2000" s="11"/>
      <c r="M2000" s="10"/>
      <c r="N2000" s="11"/>
      <c r="O2000" s="10"/>
      <c r="P2000" s="11"/>
      <c r="Q2000" s="11"/>
      <c r="R2000" s="12"/>
    </row>
    <row r="2001" spans="1:18" x14ac:dyDescent="0.25">
      <c r="A2001" s="17"/>
      <c r="B2001" s="18"/>
      <c r="C2001" s="19"/>
      <c r="D2001" s="19"/>
      <c r="E2001" s="18"/>
      <c r="F2001" s="20"/>
      <c r="G2001" s="18"/>
      <c r="H2001" s="19"/>
      <c r="I2001" s="19"/>
      <c r="J2001" s="20"/>
      <c r="K2001" s="20"/>
      <c r="L2001" s="20"/>
      <c r="M2001" s="19"/>
      <c r="N2001" s="20"/>
      <c r="O2001" s="19"/>
      <c r="P2001" s="20"/>
      <c r="Q2001" s="20"/>
      <c r="R2001" s="21"/>
    </row>
  </sheetData>
  <pageMargins left="0.70000004768371604" right="0.70000004768371604" top="0.75" bottom="0.75" header="0.30000001192092901" footer="0.3000000119209290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1"/>
  <sheetViews>
    <sheetView workbookViewId="0">
      <selection activeCell="B6" sqref="B6"/>
    </sheetView>
  </sheetViews>
  <sheetFormatPr defaultRowHeight="15" x14ac:dyDescent="0.25"/>
  <cols>
    <col min="1" max="1" width="5.42578125" customWidth="1"/>
    <col min="2" max="2" width="66" customWidth="1"/>
    <col min="3" max="3" width="40.5703125" customWidth="1"/>
    <col min="4" max="4" width="24.7109375" customWidth="1"/>
    <col min="5" max="5" width="10.42578125" customWidth="1"/>
    <col min="6" max="6" width="8.7109375" customWidth="1"/>
    <col min="7" max="7" width="10.140625" customWidth="1"/>
    <col min="8" max="8" width="14" customWidth="1"/>
    <col min="9" max="9" width="17.28515625" customWidth="1"/>
    <col min="10" max="10" width="24" customWidth="1"/>
    <col min="11" max="11" width="18.28515625" customWidth="1"/>
    <col min="12" max="13" width="5.42578125" customWidth="1"/>
    <col min="14" max="14" width="16.42578125" customWidth="1"/>
    <col min="15" max="15" width="11.42578125" customWidth="1"/>
  </cols>
  <sheetData>
    <row r="1" spans="1:15" ht="45" x14ac:dyDescent="0.25">
      <c r="A1" s="150">
        <v>0</v>
      </c>
      <c r="B1" s="149" t="s">
        <v>2</v>
      </c>
      <c r="C1" s="149" t="s">
        <v>3</v>
      </c>
      <c r="D1" s="182" t="s">
        <v>4</v>
      </c>
      <c r="E1" s="151" t="s">
        <v>5</v>
      </c>
      <c r="F1" s="150" t="s">
        <v>3648</v>
      </c>
      <c r="G1" s="150" t="s">
        <v>3668</v>
      </c>
      <c r="H1" s="152" t="s">
        <v>6</v>
      </c>
      <c r="I1" s="152"/>
      <c r="J1" s="149" t="s">
        <v>7</v>
      </c>
      <c r="K1" s="179" t="s">
        <v>8</v>
      </c>
      <c r="L1" s="149" t="s">
        <v>9</v>
      </c>
      <c r="M1" s="149" t="s">
        <v>11</v>
      </c>
      <c r="N1" s="149" t="s">
        <v>3651</v>
      </c>
      <c r="O1" s="149" t="s">
        <v>3671</v>
      </c>
    </row>
    <row r="2" spans="1:15" x14ac:dyDescent="0.25">
      <c r="A2" s="415">
        <v>279</v>
      </c>
      <c r="B2" s="440" t="s">
        <v>4479</v>
      </c>
      <c r="C2" s="440"/>
      <c r="D2" s="441" t="s">
        <v>4481</v>
      </c>
      <c r="E2" s="171"/>
      <c r="F2" s="442">
        <v>2011</v>
      </c>
      <c r="G2" s="173"/>
      <c r="H2" s="447" t="s">
        <v>4480</v>
      </c>
      <c r="I2" s="157" t="str">
        <f t="shared" ref="I2:I21" si="0">CONCATENATE("К",H2)</f>
        <v>К08103074</v>
      </c>
      <c r="J2" s="448" t="s">
        <v>5506</v>
      </c>
      <c r="K2" s="172"/>
      <c r="L2" s="172"/>
      <c r="M2" s="440"/>
      <c r="N2" s="305"/>
      <c r="O2" s="289"/>
    </row>
    <row r="3" spans="1:15" ht="30" x14ac:dyDescent="0.25">
      <c r="A3" s="415">
        <v>280</v>
      </c>
      <c r="B3" s="440" t="s">
        <v>3654</v>
      </c>
      <c r="C3" s="440"/>
      <c r="D3" s="441" t="s">
        <v>4483</v>
      </c>
      <c r="E3" s="171"/>
      <c r="F3" s="442">
        <v>2010</v>
      </c>
      <c r="G3" s="173"/>
      <c r="H3" s="447" t="s">
        <v>4482</v>
      </c>
      <c r="I3" s="157" t="str">
        <f t="shared" si="0"/>
        <v>К08102889</v>
      </c>
      <c r="J3" s="448" t="s">
        <v>5506</v>
      </c>
      <c r="K3" s="172"/>
      <c r="L3" s="172"/>
      <c r="M3" s="440"/>
      <c r="N3" s="305" t="s">
        <v>4484</v>
      </c>
      <c r="O3" s="443">
        <v>40987</v>
      </c>
    </row>
    <row r="4" spans="1:15" ht="30" x14ac:dyDescent="0.25">
      <c r="A4" s="444">
        <v>281</v>
      </c>
      <c r="B4" s="440" t="s">
        <v>4485</v>
      </c>
      <c r="C4" s="440"/>
      <c r="D4" s="346"/>
      <c r="E4" s="446" t="s">
        <v>159</v>
      </c>
      <c r="F4" s="442">
        <v>2012</v>
      </c>
      <c r="G4" s="173"/>
      <c r="H4" s="447" t="s">
        <v>4486</v>
      </c>
      <c r="I4" s="157" t="str">
        <f t="shared" si="0"/>
        <v>К08104456</v>
      </c>
      <c r="J4" s="448" t="s">
        <v>5506</v>
      </c>
      <c r="K4" s="172"/>
      <c r="L4" s="172"/>
      <c r="M4" s="440"/>
      <c r="N4" s="305" t="s">
        <v>4487</v>
      </c>
      <c r="O4" s="445">
        <v>40525</v>
      </c>
    </row>
    <row r="5" spans="1:15" x14ac:dyDescent="0.25">
      <c r="A5" s="415">
        <v>282</v>
      </c>
      <c r="B5" s="440" t="s">
        <v>4489</v>
      </c>
      <c r="C5" s="440"/>
      <c r="D5" s="346" t="s">
        <v>4490</v>
      </c>
      <c r="E5" s="171"/>
      <c r="F5" s="442">
        <v>2012</v>
      </c>
      <c r="G5" s="173"/>
      <c r="H5" s="447" t="s">
        <v>4486</v>
      </c>
      <c r="I5" s="157" t="str">
        <f t="shared" si="0"/>
        <v>К08104456</v>
      </c>
      <c r="J5" s="448" t="s">
        <v>5506</v>
      </c>
      <c r="K5" s="172"/>
      <c r="L5" s="172"/>
      <c r="M5" s="440"/>
      <c r="N5" s="305" t="s">
        <v>4487</v>
      </c>
      <c r="O5" s="445">
        <v>40525</v>
      </c>
    </row>
    <row r="6" spans="1:15" x14ac:dyDescent="0.25">
      <c r="A6" s="415">
        <v>283</v>
      </c>
      <c r="B6" s="440" t="s">
        <v>4489</v>
      </c>
      <c r="C6" s="440"/>
      <c r="D6" s="346" t="s">
        <v>4491</v>
      </c>
      <c r="E6" s="171"/>
      <c r="F6" s="442">
        <v>2012</v>
      </c>
      <c r="G6" s="173"/>
      <c r="H6" s="447" t="s">
        <v>4486</v>
      </c>
      <c r="I6" s="157" t="str">
        <f t="shared" si="0"/>
        <v>К08104456</v>
      </c>
      <c r="J6" s="448" t="s">
        <v>5506</v>
      </c>
      <c r="K6" s="172"/>
      <c r="L6" s="172"/>
      <c r="M6" s="440"/>
      <c r="N6" s="305" t="s">
        <v>4487</v>
      </c>
      <c r="O6" s="445">
        <v>40525</v>
      </c>
    </row>
    <row r="7" spans="1:15" x14ac:dyDescent="0.25">
      <c r="A7" s="415">
        <v>284</v>
      </c>
      <c r="B7" s="440" t="s">
        <v>4492</v>
      </c>
      <c r="C7" s="440"/>
      <c r="D7" s="346" t="s">
        <v>4493</v>
      </c>
      <c r="E7" s="171"/>
      <c r="F7" s="442">
        <v>2012</v>
      </c>
      <c r="G7" s="173"/>
      <c r="H7" s="447" t="s">
        <v>4486</v>
      </c>
      <c r="I7" s="157" t="str">
        <f t="shared" si="0"/>
        <v>К08104456</v>
      </c>
      <c r="J7" s="448" t="s">
        <v>5506</v>
      </c>
      <c r="K7" s="172"/>
      <c r="L7" s="172"/>
      <c r="M7" s="440"/>
      <c r="N7" s="305" t="s">
        <v>4487</v>
      </c>
      <c r="O7" s="445">
        <v>40525</v>
      </c>
    </row>
    <row r="8" spans="1:15" x14ac:dyDescent="0.25">
      <c r="A8" s="415">
        <v>285</v>
      </c>
      <c r="B8" s="440" t="s">
        <v>4494</v>
      </c>
      <c r="C8" s="440"/>
      <c r="D8" s="346" t="s">
        <v>4495</v>
      </c>
      <c r="E8" s="171"/>
      <c r="F8" s="442">
        <v>2012</v>
      </c>
      <c r="G8" s="173"/>
      <c r="H8" s="447" t="s">
        <v>4486</v>
      </c>
      <c r="I8" s="157" t="str">
        <f t="shared" si="0"/>
        <v>К08104456</v>
      </c>
      <c r="J8" s="448" t="s">
        <v>5506</v>
      </c>
      <c r="K8" s="172"/>
      <c r="L8" s="172"/>
      <c r="M8" s="440"/>
      <c r="N8" s="305" t="s">
        <v>4487</v>
      </c>
      <c r="O8" s="445">
        <v>40525</v>
      </c>
    </row>
    <row r="9" spans="1:15" x14ac:dyDescent="0.25">
      <c r="A9" s="415">
        <v>290</v>
      </c>
      <c r="B9" s="440" t="s">
        <v>4509</v>
      </c>
      <c r="C9" s="440"/>
      <c r="D9" s="441" t="s">
        <v>4511</v>
      </c>
      <c r="E9" s="446" t="s">
        <v>159</v>
      </c>
      <c r="F9" s="442">
        <v>2012</v>
      </c>
      <c r="G9" s="173"/>
      <c r="H9" s="447" t="s">
        <v>4510</v>
      </c>
      <c r="I9" s="157" t="str">
        <f t="shared" si="0"/>
        <v>К08104455</v>
      </c>
      <c r="J9" s="448" t="s">
        <v>5506</v>
      </c>
      <c r="K9" s="172"/>
      <c r="L9" s="172"/>
      <c r="M9" s="440"/>
      <c r="N9" s="305" t="s">
        <v>4512</v>
      </c>
      <c r="O9" s="443">
        <v>41410</v>
      </c>
    </row>
    <row r="10" spans="1:15" x14ac:dyDescent="0.25">
      <c r="A10" s="415">
        <v>291</v>
      </c>
      <c r="B10" s="440" t="s">
        <v>4513</v>
      </c>
      <c r="C10" s="440"/>
      <c r="D10" s="441" t="s">
        <v>4514</v>
      </c>
      <c r="E10" s="171"/>
      <c r="F10" s="442">
        <v>2012</v>
      </c>
      <c r="G10" s="173"/>
      <c r="H10" s="447" t="s">
        <v>4510</v>
      </c>
      <c r="I10" s="157" t="str">
        <f t="shared" si="0"/>
        <v>К08104455</v>
      </c>
      <c r="J10" s="448" t="s">
        <v>5506</v>
      </c>
      <c r="K10" s="172"/>
      <c r="L10" s="172"/>
      <c r="M10" s="440"/>
      <c r="N10" s="305" t="s">
        <v>4512</v>
      </c>
      <c r="O10" s="443">
        <v>41410</v>
      </c>
    </row>
    <row r="11" spans="1:15" x14ac:dyDescent="0.25">
      <c r="A11" s="415">
        <v>292</v>
      </c>
      <c r="B11" s="440" t="s">
        <v>4515</v>
      </c>
      <c r="C11" s="440"/>
      <c r="D11" s="441" t="s">
        <v>4516</v>
      </c>
      <c r="E11" s="171"/>
      <c r="F11" s="442">
        <v>2012</v>
      </c>
      <c r="G11" s="173"/>
      <c r="H11" s="447" t="s">
        <v>4510</v>
      </c>
      <c r="I11" s="157" t="str">
        <f t="shared" si="0"/>
        <v>К08104455</v>
      </c>
      <c r="J11" s="448" t="s">
        <v>5506</v>
      </c>
      <c r="K11" s="172"/>
      <c r="L11" s="172"/>
      <c r="M11" s="440"/>
      <c r="N11" s="305" t="s">
        <v>4512</v>
      </c>
      <c r="O11" s="443">
        <v>41410</v>
      </c>
    </row>
    <row r="12" spans="1:15" x14ac:dyDescent="0.25">
      <c r="A12" s="415">
        <v>293</v>
      </c>
      <c r="B12" s="440" t="s">
        <v>4517</v>
      </c>
      <c r="C12" s="440"/>
      <c r="D12" s="441" t="s">
        <v>4518</v>
      </c>
      <c r="E12" s="171"/>
      <c r="F12" s="442">
        <v>2012</v>
      </c>
      <c r="G12" s="173"/>
      <c r="H12" s="447" t="s">
        <v>4510</v>
      </c>
      <c r="I12" s="157" t="str">
        <f t="shared" si="0"/>
        <v>К08104455</v>
      </c>
      <c r="J12" s="448" t="s">
        <v>5506</v>
      </c>
      <c r="K12" s="172"/>
      <c r="L12" s="172"/>
      <c r="M12" s="440"/>
      <c r="N12" s="305" t="s">
        <v>4512</v>
      </c>
      <c r="O12" s="443">
        <v>41410</v>
      </c>
    </row>
    <row r="13" spans="1:15" x14ac:dyDescent="0.25">
      <c r="A13" s="415">
        <v>294</v>
      </c>
      <c r="B13" s="440" t="s">
        <v>4519</v>
      </c>
      <c r="C13" s="440"/>
      <c r="D13" s="441" t="s">
        <v>4520</v>
      </c>
      <c r="E13" s="171"/>
      <c r="F13" s="442">
        <v>2012</v>
      </c>
      <c r="G13" s="173"/>
      <c r="H13" s="447" t="s">
        <v>4510</v>
      </c>
      <c r="I13" s="157" t="str">
        <f t="shared" si="0"/>
        <v>К08104455</v>
      </c>
      <c r="J13" s="448" t="s">
        <v>5506</v>
      </c>
      <c r="K13" s="172"/>
      <c r="L13" s="172"/>
      <c r="M13" s="440"/>
      <c r="N13" s="305" t="s">
        <v>4512</v>
      </c>
      <c r="O13" s="443">
        <v>41410</v>
      </c>
    </row>
    <row r="14" spans="1:15" x14ac:dyDescent="0.25">
      <c r="A14" s="444">
        <v>295</v>
      </c>
      <c r="B14" s="440" t="s">
        <v>4521</v>
      </c>
      <c r="C14" s="440"/>
      <c r="D14" s="441" t="s">
        <v>4522</v>
      </c>
      <c r="E14" s="171"/>
      <c r="F14" s="442">
        <v>2012</v>
      </c>
      <c r="G14" s="173"/>
      <c r="H14" s="447" t="s">
        <v>4510</v>
      </c>
      <c r="I14" s="157" t="str">
        <f t="shared" si="0"/>
        <v>К08104455</v>
      </c>
      <c r="J14" s="448" t="s">
        <v>5506</v>
      </c>
      <c r="K14" s="172"/>
      <c r="L14" s="172"/>
      <c r="M14" s="440"/>
      <c r="N14" s="305" t="s">
        <v>4512</v>
      </c>
      <c r="O14" s="443">
        <v>41410</v>
      </c>
    </row>
    <row r="15" spans="1:15" ht="30" x14ac:dyDescent="0.25">
      <c r="A15" s="415">
        <v>296</v>
      </c>
      <c r="B15" s="440" t="s">
        <v>4523</v>
      </c>
      <c r="C15" s="440"/>
      <c r="D15" s="441">
        <v>593</v>
      </c>
      <c r="E15" s="171"/>
      <c r="F15" s="442">
        <v>2012</v>
      </c>
      <c r="G15" s="173"/>
      <c r="H15" s="447" t="s">
        <v>4524</v>
      </c>
      <c r="I15" s="157" t="str">
        <f t="shared" si="0"/>
        <v>К08104245</v>
      </c>
      <c r="J15" s="448" t="s">
        <v>5506</v>
      </c>
      <c r="K15" s="172"/>
      <c r="L15" s="172"/>
      <c r="M15" s="440"/>
      <c r="N15" s="305" t="s">
        <v>4525</v>
      </c>
      <c r="O15" s="443">
        <v>40458</v>
      </c>
    </row>
    <row r="16" spans="1:15" x14ac:dyDescent="0.25">
      <c r="A16" s="415">
        <v>297</v>
      </c>
      <c r="B16" s="440" t="s">
        <v>4527</v>
      </c>
      <c r="C16" s="440"/>
      <c r="D16" s="441" t="s">
        <v>4529</v>
      </c>
      <c r="E16" s="446" t="s">
        <v>90</v>
      </c>
      <c r="F16" s="442">
        <v>2006</v>
      </c>
      <c r="G16" s="173"/>
      <c r="H16" s="447" t="s">
        <v>4528</v>
      </c>
      <c r="I16" s="157" t="str">
        <f t="shared" si="0"/>
        <v>К04700196</v>
      </c>
      <c r="J16" s="448" t="s">
        <v>5506</v>
      </c>
      <c r="K16" s="172"/>
      <c r="L16" s="172"/>
      <c r="M16" s="440"/>
      <c r="N16" s="305" t="s">
        <v>4530</v>
      </c>
      <c r="O16" s="443">
        <v>38295</v>
      </c>
    </row>
    <row r="17" spans="1:15" x14ac:dyDescent="0.25">
      <c r="A17" s="415">
        <v>298</v>
      </c>
      <c r="B17" s="440" t="s">
        <v>4531</v>
      </c>
      <c r="C17" s="440"/>
      <c r="D17" s="441" t="s">
        <v>4532</v>
      </c>
      <c r="E17" s="171"/>
      <c r="F17" s="442">
        <v>2006</v>
      </c>
      <c r="G17" s="173"/>
      <c r="H17" s="447" t="s">
        <v>4528</v>
      </c>
      <c r="I17" s="157" t="str">
        <f t="shared" si="0"/>
        <v>К04700196</v>
      </c>
      <c r="J17" s="448" t="s">
        <v>5506</v>
      </c>
      <c r="K17" s="172"/>
      <c r="L17" s="172"/>
      <c r="M17" s="440"/>
      <c r="N17" s="305" t="s">
        <v>4530</v>
      </c>
      <c r="O17" s="443">
        <v>38295</v>
      </c>
    </row>
    <row r="18" spans="1:15" x14ac:dyDescent="0.25">
      <c r="A18" s="415">
        <v>299</v>
      </c>
      <c r="B18" s="440" t="s">
        <v>4533</v>
      </c>
      <c r="C18" s="440"/>
      <c r="D18" s="441" t="s">
        <v>4534</v>
      </c>
      <c r="E18" s="171"/>
      <c r="F18" s="442">
        <v>2006</v>
      </c>
      <c r="G18" s="173"/>
      <c r="H18" s="447" t="s">
        <v>4528</v>
      </c>
      <c r="I18" s="157" t="str">
        <f t="shared" si="0"/>
        <v>К04700196</v>
      </c>
      <c r="J18" s="448" t="s">
        <v>5506</v>
      </c>
      <c r="K18" s="172"/>
      <c r="L18" s="172"/>
      <c r="M18" s="440"/>
      <c r="N18" s="305" t="s">
        <v>4530</v>
      </c>
      <c r="O18" s="443">
        <v>38295</v>
      </c>
    </row>
    <row r="19" spans="1:15" x14ac:dyDescent="0.25">
      <c r="A19" s="415">
        <v>300</v>
      </c>
      <c r="B19" s="440" t="s">
        <v>4535</v>
      </c>
      <c r="C19" s="440"/>
      <c r="D19" s="441" t="s">
        <v>4536</v>
      </c>
      <c r="E19" s="171"/>
      <c r="F19" s="442">
        <v>2006</v>
      </c>
      <c r="G19" s="173"/>
      <c r="H19" s="447" t="s">
        <v>4528</v>
      </c>
      <c r="I19" s="157" t="str">
        <f t="shared" si="0"/>
        <v>К04700196</v>
      </c>
      <c r="J19" s="448" t="s">
        <v>5506</v>
      </c>
      <c r="K19" s="172"/>
      <c r="L19" s="172"/>
      <c r="M19" s="440"/>
      <c r="N19" s="305" t="s">
        <v>4530</v>
      </c>
      <c r="O19" s="443">
        <v>38295</v>
      </c>
    </row>
    <row r="20" spans="1:15" ht="30" x14ac:dyDescent="0.25">
      <c r="A20" s="415">
        <v>301</v>
      </c>
      <c r="B20" s="440" t="s">
        <v>4537</v>
      </c>
      <c r="C20" s="440"/>
      <c r="D20" s="441" t="s">
        <v>4539</v>
      </c>
      <c r="E20" s="171"/>
      <c r="F20" s="442">
        <v>2004</v>
      </c>
      <c r="G20" s="173"/>
      <c r="H20" s="447" t="s">
        <v>4538</v>
      </c>
      <c r="I20" s="157" t="str">
        <f t="shared" si="0"/>
        <v>К01370838</v>
      </c>
      <c r="J20" s="448" t="s">
        <v>5506</v>
      </c>
      <c r="K20" s="172"/>
      <c r="L20" s="172"/>
      <c r="M20" s="440"/>
      <c r="N20" s="305" t="s">
        <v>4540</v>
      </c>
      <c r="O20" s="443">
        <v>40525</v>
      </c>
    </row>
    <row r="21" spans="1:15" ht="30" x14ac:dyDescent="0.25">
      <c r="A21" s="444">
        <v>302</v>
      </c>
      <c r="B21" s="440" t="s">
        <v>3655</v>
      </c>
      <c r="C21" s="440"/>
      <c r="D21" s="441" t="s">
        <v>4542</v>
      </c>
      <c r="E21" s="171"/>
      <c r="F21" s="442">
        <v>2012</v>
      </c>
      <c r="G21" s="173"/>
      <c r="H21" s="447" t="s">
        <v>4541</v>
      </c>
      <c r="I21" s="157" t="str">
        <f t="shared" si="0"/>
        <v>К08104246</v>
      </c>
      <c r="J21" s="448" t="s">
        <v>5506</v>
      </c>
      <c r="K21" s="172"/>
      <c r="L21" s="172"/>
      <c r="M21" s="440"/>
      <c r="N21" s="305" t="s">
        <v>4484</v>
      </c>
      <c r="O21" s="443">
        <v>40987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9</vt:i4>
      </vt:variant>
    </vt:vector>
  </HeadingPairs>
  <TitlesOfParts>
    <vt:vector size="22" baseType="lpstr">
      <vt:lpstr>Общее</vt:lpstr>
      <vt:lpstr>Холодильники</vt:lpstr>
      <vt:lpstr>Офто</vt:lpstr>
      <vt:lpstr>Лаб</vt:lpstr>
      <vt:lpstr>РАО-ФД</vt:lpstr>
      <vt:lpstr>Общемед</vt:lpstr>
      <vt:lpstr>Статрая таблица</vt:lpstr>
      <vt:lpstr>Холодильнтки</vt:lpstr>
      <vt:lpstr>ЦСМ Все отделения</vt:lpstr>
      <vt:lpstr>ОРБ-1Н</vt:lpstr>
      <vt:lpstr>Стерилизация</vt:lpstr>
      <vt:lpstr>Рентген</vt:lpstr>
      <vt:lpstr>НФ</vt:lpstr>
      <vt:lpstr>Общее!Z_026EB64F_A55E_4418_A397_D7B670E810CA_.wvu.Cols</vt:lpstr>
      <vt:lpstr>Рентген!Z_026EB64F_A55E_4418_A397_D7B670E810CA_.wvu.Cols</vt:lpstr>
      <vt:lpstr>Общее!Z_026EB64F_A55E_4418_A397_D7B670E810CA_.wvu.FilterData</vt:lpstr>
      <vt:lpstr>Рентген!Z_026EB64F_A55E_4418_A397_D7B670E810CA_.wvu.FilterData</vt:lpstr>
      <vt:lpstr>Стерилизация!Z_026EB64F_A55E_4418_A397_D7B670E810CA_.wvu.FilterData</vt:lpstr>
      <vt:lpstr>Общее!Z_11E19EA1_0D2C_48E6_A529_374A86CE93E2_.wvu.FilterData</vt:lpstr>
      <vt:lpstr>Общее!Z_27EA2BD6_F361_489C_A001_1501813EC814_.wvu.FilterData</vt:lpstr>
      <vt:lpstr>'ОРБ-1Н'!Заголовки_для_печати</vt:lpstr>
      <vt:lpstr>'ОРБ-1Н'!Область_печати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sa</cp:lastModifiedBy>
  <cp:lastPrinted>2023-10-19T02:08:29Z</cp:lastPrinted>
  <dcterms:created xsi:type="dcterms:W3CDTF">2022-05-31T07:20:28Z</dcterms:created>
  <dcterms:modified xsi:type="dcterms:W3CDTF">2026-02-10T05:43:59Z</dcterms:modified>
</cp:coreProperties>
</file>